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خلاصه" sheetId="1" state="visible" r:id="rId1"/>
    <sheet name="کدهای پیام‌داروساز" sheetId="2" state="visible" r:id="rId2"/>
    <sheet name="پوشش تی‌تک" sheetId="3" state="visible" r:id="rId3"/>
    <sheet name="پوشش کد ژنریک آریا" sheetId="4" state="visible" r:id="rId4"/>
    <sheet name="در پیام نیست" sheetId="5" state="visible" r:id="rId5"/>
  </sheets>
  <definedNames>
    <definedName name="_xlnm._FilterDatabase" localSheetId="4" hidden="1">'در پیام نیست'!$A$1:$F$1705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1F3864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 wrapText="1"/>
    </xf>
    <xf numFmtId="0" fontId="10" fillId="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5" customWidth="1" style="13" min="1" max="1"/>
    <col width="14" customWidth="1" style="13" min="2" max="3"/>
  </cols>
  <sheetData>
    <row r="1" ht="17.35" customHeight="1" s="14">
      <c r="A1" s="15" t="inlineStr">
        <is>
          <t>خلاصه گزارش پوشش کدهای ژنریک — فایل‌های قیمت پیام‌داروساز</t>
        </is>
      </c>
    </row>
    <row r="2" ht="12.65" customHeight="1" s="14">
      <c r="A2" s="16" t="inlineStr">
        <is>
          <t>بر اساس ۲۰۲ فایل اکسل تغییرات قیمت دانلود‌شده از پیام‌داروساز (Drug Exel)</t>
        </is>
      </c>
    </row>
    <row r="4" ht="15" customHeight="1" s="14">
      <c r="A4" s="17" t="inlineStr">
        <is>
          <t>گزارش ۱: پوشش کدهای ژنریک تی‌تک</t>
        </is>
      </c>
    </row>
    <row r="5" ht="15" customHeight="1" s="14">
      <c r="A5" s="18" t="inlineStr">
        <is>
          <t>تعداد کل کد ژنریک یکتا در تی‌تک</t>
        </is>
      </c>
      <c r="B5" s="19" t="n">
        <v>3983</v>
      </c>
    </row>
    <row r="6" ht="15" customHeight="1" s="14">
      <c r="A6" s="18" t="inlineStr">
        <is>
          <t>تعداد کد ژنریک یکتا در فایل‌های پیام</t>
        </is>
      </c>
      <c r="B6" s="19" t="n">
        <v>2441</v>
      </c>
    </row>
    <row r="7" ht="15" customHeight="1" s="14">
      <c r="A7" s="18" t="inlineStr">
        <is>
          <t>تعداد کدهای تی‌تک که در فایل‌های پیام هم هست</t>
        </is>
      </c>
      <c r="B7" s="19">
        <f>COUNTIF('پوشش تی‌تک'!C5:C3987,"بله")</f>
        <v/>
      </c>
    </row>
    <row r="8" ht="15" customHeight="1" s="14">
      <c r="A8" s="18" t="inlineStr">
        <is>
          <t>درصد پوشش تی‌تک توسط فایل‌های پیام</t>
        </is>
      </c>
      <c r="B8" s="20">
        <f>B7/B5</f>
        <v/>
      </c>
    </row>
    <row r="10" ht="15" customHeight="1" s="14">
      <c r="A10" s="17" t="inlineStr">
        <is>
          <t>گزارش ۲: پوشش کدهای ژنریک موجود در آریا (خروجی زنده سرور)</t>
        </is>
      </c>
    </row>
    <row r="11" ht="15" customHeight="1" s="14">
      <c r="A11" s="18" t="inlineStr">
        <is>
          <t>تعداد کل کد ژنریک یکتا (غیرصفر) در آریا — خروجی زنده SQL از جدول Kala</t>
        </is>
      </c>
      <c r="B11" s="19" t="n">
        <v>3966</v>
      </c>
    </row>
    <row r="12" ht="15" customHeight="1" s="14">
      <c r="A12" s="18" t="inlineStr">
        <is>
          <t>تعداد کد ژنریک یکتا در فایل‌های پیام</t>
        </is>
      </c>
      <c r="B12" s="19" t="n">
        <v>2441</v>
      </c>
    </row>
    <row r="13" ht="15" customHeight="1" s="14">
      <c r="A13" s="18" t="inlineStr">
        <is>
          <t>تعداد کدهای آریا که در فایل‌های پیام هم هست</t>
        </is>
      </c>
      <c r="B13" s="19">
        <f>COUNTIF('پوشش کد ژنریک آریا'!C6:C3971,"بله")</f>
        <v/>
      </c>
    </row>
    <row r="14" ht="15" customHeight="1" s="14">
      <c r="A14" s="18" t="inlineStr">
        <is>
          <t>درصد پوشش کدهای آریا توسط فایل‌های پیام</t>
        </is>
      </c>
      <c r="B14" s="20">
        <f>B13/B11</f>
        <v/>
      </c>
    </row>
    <row r="16" ht="15" customHeight="1" s="14">
      <c r="A16" s="19" t="inlineStr">
        <is>
          <t>منبع داده‌ها</t>
        </is>
      </c>
    </row>
    <row r="17" ht="99.75" customHeight="1" s="14">
      <c r="A17" s="21" t="inlineStr">
        <is>
          <t>گزارش ۱ (تی‌تک): از فایل «اقلام تی‌تک - دارو.xlsx» که خودتان آپلود کردید.
گزارش ۲ (آریا): مستقیماً از سرور SQL زنده (SERVER، دیتابیس drug، جدول Kala) در تاریخ 1405/07/01 گرفته شد — یعنی جدیدترین وضعیت موجود، شامل کالاهای مکملی که اخیراً وارد شده‌اند. ۱۳۴ کد که به دو شکل با/بدون صفر ابتدایی ثبت شده بودند، یکسان‌سازی و به‌عنوان یک کد شمرده شدند (۴۱۰۰ ردیف خام → ۳۹۶۶ کد یکتای واقعی).</t>
        </is>
      </c>
    </row>
    <row r="18" ht="15" customHeight="1" s="14"/>
    <row r="19" ht="15" customHeight="1" s="14"/>
    <row r="20" ht="15" customHeight="1" s="14"/>
    <row r="21" ht="15" customHeight="1" s="14"/>
    <row r="22" ht="15" customHeight="1" s="14"/>
  </sheetData>
  <mergeCells count="5">
    <mergeCell ref="A4:B4"/>
    <mergeCell ref="A1:C1"/>
    <mergeCell ref="A10:B10"/>
    <mergeCell ref="A17:C2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44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3" min="1" max="1"/>
  </cols>
  <sheetData>
    <row r="1" ht="15" customHeight="1" s="14">
      <c r="A1" s="22" t="inlineStr">
        <is>
          <t>کد ژنریک</t>
        </is>
      </c>
    </row>
    <row r="2" ht="15" customHeight="1" s="14">
      <c r="A2" s="18" t="n">
        <v>1</v>
      </c>
    </row>
    <row r="3" ht="15" customHeight="1" s="14">
      <c r="A3" s="18" t="n">
        <v>3</v>
      </c>
    </row>
    <row r="4" ht="15" customHeight="1" s="14">
      <c r="A4" s="18" t="n">
        <v>4</v>
      </c>
    </row>
    <row r="5" ht="15" customHeight="1" s="14">
      <c r="A5" s="18" t="n">
        <v>5</v>
      </c>
    </row>
    <row r="6" ht="15" customHeight="1" s="14">
      <c r="A6" s="18" t="n">
        <v>6</v>
      </c>
    </row>
    <row r="7" ht="15" customHeight="1" s="14">
      <c r="A7" s="18" t="n">
        <v>7</v>
      </c>
    </row>
    <row r="8" ht="15" customHeight="1" s="14">
      <c r="A8" s="18" t="n">
        <v>8</v>
      </c>
    </row>
    <row r="9" ht="15" customHeight="1" s="14">
      <c r="A9" s="18" t="n">
        <v>11</v>
      </c>
    </row>
    <row r="10" ht="15" customHeight="1" s="14">
      <c r="A10" s="18" t="n">
        <v>17</v>
      </c>
    </row>
    <row r="11" ht="15" customHeight="1" s="14">
      <c r="A11" s="18" t="n">
        <v>18</v>
      </c>
    </row>
    <row r="12" ht="15" customHeight="1" s="14">
      <c r="A12" s="18" t="n">
        <v>19</v>
      </c>
    </row>
    <row r="13" ht="15" customHeight="1" s="14">
      <c r="A13" s="18" t="n">
        <v>20</v>
      </c>
    </row>
    <row r="14" ht="15" customHeight="1" s="14">
      <c r="A14" s="18" t="n">
        <v>21</v>
      </c>
    </row>
    <row r="15" ht="15" customHeight="1" s="14">
      <c r="A15" s="18" t="n">
        <v>22</v>
      </c>
    </row>
    <row r="16" ht="15" customHeight="1" s="14">
      <c r="A16" s="18" t="n">
        <v>23</v>
      </c>
    </row>
    <row r="17" ht="15" customHeight="1" s="14">
      <c r="A17" s="18" t="n">
        <v>24</v>
      </c>
    </row>
    <row r="18" ht="15" customHeight="1" s="14">
      <c r="A18" s="18" t="n">
        <v>26</v>
      </c>
    </row>
    <row r="19" ht="15" customHeight="1" s="14">
      <c r="A19" s="18" t="n">
        <v>27</v>
      </c>
    </row>
    <row r="20" ht="15" customHeight="1" s="14">
      <c r="A20" s="18" t="n">
        <v>38</v>
      </c>
    </row>
    <row r="21" ht="15" customHeight="1" s="14">
      <c r="A21" s="18" t="n">
        <v>40</v>
      </c>
    </row>
    <row r="22" ht="15" customHeight="1" s="14">
      <c r="A22" s="18" t="n">
        <v>42</v>
      </c>
    </row>
    <row r="23" ht="15" customHeight="1" s="14">
      <c r="A23" s="18" t="n">
        <v>46</v>
      </c>
    </row>
    <row r="24" ht="15" customHeight="1" s="14">
      <c r="A24" s="18" t="n">
        <v>47</v>
      </c>
    </row>
    <row r="25" ht="15" customHeight="1" s="14">
      <c r="A25" s="18" t="n">
        <v>48</v>
      </c>
    </row>
    <row r="26" ht="15" customHeight="1" s="14">
      <c r="A26" s="18" t="n">
        <v>49</v>
      </c>
    </row>
    <row r="27" ht="15" customHeight="1" s="14">
      <c r="A27" s="18" t="n">
        <v>50</v>
      </c>
    </row>
    <row r="28" ht="15" customHeight="1" s="14">
      <c r="A28" s="18" t="n">
        <v>51</v>
      </c>
    </row>
    <row r="29" ht="15" customHeight="1" s="14">
      <c r="A29" s="18" t="n">
        <v>53</v>
      </c>
    </row>
    <row r="30" ht="15" customHeight="1" s="14">
      <c r="A30" s="18" t="n">
        <v>54</v>
      </c>
    </row>
    <row r="31" ht="15" customHeight="1" s="14">
      <c r="A31" s="18" t="n">
        <v>55</v>
      </c>
    </row>
    <row r="32" ht="15" customHeight="1" s="14">
      <c r="A32" s="18" t="n">
        <v>56</v>
      </c>
    </row>
    <row r="33" ht="15" customHeight="1" s="14">
      <c r="A33" s="18" t="n">
        <v>61</v>
      </c>
    </row>
    <row r="34" ht="15" customHeight="1" s="14">
      <c r="A34" s="18" t="n">
        <v>63</v>
      </c>
    </row>
    <row r="35" ht="15" customHeight="1" s="14">
      <c r="A35" s="18" t="n">
        <v>64</v>
      </c>
    </row>
    <row r="36" ht="15" customHeight="1" s="14">
      <c r="A36" s="18" t="n">
        <v>65</v>
      </c>
    </row>
    <row r="37" ht="15" customHeight="1" s="14">
      <c r="A37" s="18" t="n">
        <v>66</v>
      </c>
    </row>
    <row r="38" ht="15" customHeight="1" s="14">
      <c r="A38" s="18" t="n">
        <v>68</v>
      </c>
    </row>
    <row r="39" ht="15" customHeight="1" s="14">
      <c r="A39" s="18" t="n">
        <v>69</v>
      </c>
    </row>
    <row r="40" ht="15" customHeight="1" s="14">
      <c r="A40" s="18" t="n">
        <v>70</v>
      </c>
    </row>
    <row r="41" ht="15" customHeight="1" s="14">
      <c r="A41" s="18" t="n">
        <v>75</v>
      </c>
    </row>
    <row r="42" ht="15" customHeight="1" s="14">
      <c r="A42" s="18" t="n">
        <v>76</v>
      </c>
    </row>
    <row r="43" ht="15" customHeight="1" s="14">
      <c r="A43" s="18" t="n">
        <v>77</v>
      </c>
    </row>
    <row r="44" ht="15" customHeight="1" s="14">
      <c r="A44" s="18" t="n">
        <v>78</v>
      </c>
    </row>
    <row r="45" ht="15" customHeight="1" s="14">
      <c r="A45" s="18" t="n">
        <v>79</v>
      </c>
    </row>
    <row r="46" ht="15" customHeight="1" s="14">
      <c r="A46" s="18" t="n">
        <v>80</v>
      </c>
    </row>
    <row r="47" ht="15" customHeight="1" s="14">
      <c r="A47" s="18" t="n">
        <v>81</v>
      </c>
    </row>
    <row r="48" ht="15" customHeight="1" s="14">
      <c r="A48" s="18" t="n">
        <v>82</v>
      </c>
    </row>
    <row r="49" ht="15" customHeight="1" s="14">
      <c r="A49" s="18" t="n">
        <v>83</v>
      </c>
    </row>
    <row r="50" ht="15" customHeight="1" s="14">
      <c r="A50" s="18" t="n">
        <v>84</v>
      </c>
    </row>
    <row r="51" ht="15" customHeight="1" s="14">
      <c r="A51" s="18" t="n">
        <v>85</v>
      </c>
    </row>
    <row r="52" ht="15" customHeight="1" s="14">
      <c r="A52" s="18" t="n">
        <v>86</v>
      </c>
    </row>
    <row r="53" ht="15" customHeight="1" s="14">
      <c r="A53" s="18" t="n">
        <v>93</v>
      </c>
    </row>
    <row r="54" ht="15" customHeight="1" s="14">
      <c r="A54" s="18" t="n">
        <v>94</v>
      </c>
    </row>
    <row r="55" ht="15" customHeight="1" s="14">
      <c r="A55" s="18" t="n">
        <v>95</v>
      </c>
    </row>
    <row r="56" ht="15" customHeight="1" s="14">
      <c r="A56" s="18" t="n">
        <v>96</v>
      </c>
    </row>
    <row r="57" ht="15" customHeight="1" s="14">
      <c r="A57" s="18" t="n">
        <v>97</v>
      </c>
    </row>
    <row r="58" ht="15" customHeight="1" s="14">
      <c r="A58" s="18" t="n">
        <v>100</v>
      </c>
    </row>
    <row r="59" ht="15" customHeight="1" s="14">
      <c r="A59" s="18" t="n">
        <v>101</v>
      </c>
    </row>
    <row r="60" ht="15" customHeight="1" s="14">
      <c r="A60" s="18" t="n">
        <v>106</v>
      </c>
    </row>
    <row r="61" ht="15" customHeight="1" s="14">
      <c r="A61" s="18" t="n">
        <v>109</v>
      </c>
    </row>
    <row r="62" ht="15" customHeight="1" s="14">
      <c r="A62" s="18" t="n">
        <v>113</v>
      </c>
    </row>
    <row r="63" ht="15" customHeight="1" s="14">
      <c r="A63" s="18" t="n">
        <v>114</v>
      </c>
    </row>
    <row r="64" ht="15" customHeight="1" s="14">
      <c r="A64" s="18" t="n">
        <v>115</v>
      </c>
    </row>
    <row r="65" ht="15" customHeight="1" s="14">
      <c r="A65" s="18" t="n">
        <v>116</v>
      </c>
    </row>
    <row r="66" ht="15" customHeight="1" s="14">
      <c r="A66" s="18" t="n">
        <v>117</v>
      </c>
    </row>
    <row r="67" ht="15" customHeight="1" s="14">
      <c r="A67" s="18" t="n">
        <v>118</v>
      </c>
    </row>
    <row r="68" ht="15" customHeight="1" s="14">
      <c r="A68" s="18" t="n">
        <v>119</v>
      </c>
    </row>
    <row r="69" ht="15" customHeight="1" s="14">
      <c r="A69" s="18" t="n">
        <v>121</v>
      </c>
    </row>
    <row r="70" ht="15" customHeight="1" s="14">
      <c r="A70" s="18" t="n">
        <v>122</v>
      </c>
    </row>
    <row r="71" ht="15" customHeight="1" s="14">
      <c r="A71" s="18" t="n">
        <v>123</v>
      </c>
    </row>
    <row r="72" ht="15" customHeight="1" s="14">
      <c r="A72" s="18" t="n">
        <v>125</v>
      </c>
    </row>
    <row r="73" ht="15" customHeight="1" s="14">
      <c r="A73" s="18" t="n">
        <v>129</v>
      </c>
    </row>
    <row r="74" ht="15" customHeight="1" s="14">
      <c r="A74" s="18" t="n">
        <v>130</v>
      </c>
    </row>
    <row r="75" ht="15" customHeight="1" s="14">
      <c r="A75" s="18" t="n">
        <v>133</v>
      </c>
    </row>
    <row r="76" ht="15" customHeight="1" s="14">
      <c r="A76" s="18" t="n">
        <v>136</v>
      </c>
    </row>
    <row r="77" ht="15" customHeight="1" s="14">
      <c r="A77" s="18" t="n">
        <v>137</v>
      </c>
    </row>
    <row r="78" ht="15" customHeight="1" s="14">
      <c r="A78" s="18" t="n">
        <v>139</v>
      </c>
    </row>
    <row r="79" ht="15" customHeight="1" s="14">
      <c r="A79" s="18" t="n">
        <v>148</v>
      </c>
    </row>
    <row r="80" ht="15" customHeight="1" s="14">
      <c r="A80" s="18" t="n">
        <v>149</v>
      </c>
    </row>
    <row r="81" ht="15" customHeight="1" s="14">
      <c r="A81" s="18" t="n">
        <v>150</v>
      </c>
    </row>
    <row r="82" ht="15" customHeight="1" s="14">
      <c r="A82" s="18" t="n">
        <v>151</v>
      </c>
    </row>
    <row r="83" ht="15" customHeight="1" s="14">
      <c r="A83" s="18" t="n">
        <v>152</v>
      </c>
    </row>
    <row r="84" ht="15" customHeight="1" s="14">
      <c r="A84" s="18" t="n">
        <v>153</v>
      </c>
    </row>
    <row r="85" ht="15" customHeight="1" s="14">
      <c r="A85" s="18" t="n">
        <v>159</v>
      </c>
    </row>
    <row r="86" ht="15" customHeight="1" s="14">
      <c r="A86" s="18" t="n">
        <v>160</v>
      </c>
    </row>
    <row r="87" ht="15" customHeight="1" s="14">
      <c r="A87" s="18" t="n">
        <v>161</v>
      </c>
    </row>
    <row r="88" ht="15" customHeight="1" s="14">
      <c r="A88" s="18" t="n">
        <v>162</v>
      </c>
    </row>
    <row r="89" ht="15" customHeight="1" s="14">
      <c r="A89" s="18" t="n">
        <v>163</v>
      </c>
    </row>
    <row r="90" ht="15" customHeight="1" s="14">
      <c r="A90" s="18" t="n">
        <v>164</v>
      </c>
    </row>
    <row r="91" ht="15" customHeight="1" s="14">
      <c r="A91" s="18" t="n">
        <v>165</v>
      </c>
    </row>
    <row r="92" ht="15" customHeight="1" s="14">
      <c r="A92" s="18" t="n">
        <v>166</v>
      </c>
    </row>
    <row r="93" ht="15" customHeight="1" s="14">
      <c r="A93" s="18" t="n">
        <v>167</v>
      </c>
    </row>
    <row r="94" ht="15" customHeight="1" s="14">
      <c r="A94" s="18" t="n">
        <v>168</v>
      </c>
    </row>
    <row r="95" ht="15" customHeight="1" s="14">
      <c r="A95" s="18" t="n">
        <v>169</v>
      </c>
    </row>
    <row r="96" ht="15" customHeight="1" s="14">
      <c r="A96" s="18" t="n">
        <v>170</v>
      </c>
    </row>
    <row r="97" ht="15" customHeight="1" s="14">
      <c r="A97" s="18" t="n">
        <v>176</v>
      </c>
    </row>
    <row r="98" ht="15" customHeight="1" s="14">
      <c r="A98" s="18" t="n">
        <v>177</v>
      </c>
    </row>
    <row r="99" ht="15" customHeight="1" s="14">
      <c r="A99" s="18" t="n">
        <v>178</v>
      </c>
    </row>
    <row r="100" ht="15" customHeight="1" s="14">
      <c r="A100" s="18" t="n">
        <v>179</v>
      </c>
    </row>
    <row r="101" ht="15" customHeight="1" s="14">
      <c r="A101" s="18" t="n">
        <v>183</v>
      </c>
    </row>
    <row r="102" ht="15" customHeight="1" s="14">
      <c r="A102" s="18" t="n">
        <v>185</v>
      </c>
    </row>
    <row r="103" ht="15" customHeight="1" s="14">
      <c r="A103" s="18" t="n">
        <v>190</v>
      </c>
    </row>
    <row r="104" ht="15" customHeight="1" s="14">
      <c r="A104" s="18" t="n">
        <v>192</v>
      </c>
    </row>
    <row r="105" ht="15" customHeight="1" s="14">
      <c r="A105" s="18" t="n">
        <v>194</v>
      </c>
    </row>
    <row r="106" ht="15" customHeight="1" s="14">
      <c r="A106" s="18" t="n">
        <v>195</v>
      </c>
    </row>
    <row r="107" ht="15" customHeight="1" s="14">
      <c r="A107" s="18" t="n">
        <v>200</v>
      </c>
    </row>
    <row r="108" ht="15" customHeight="1" s="14">
      <c r="A108" s="18" t="n">
        <v>201</v>
      </c>
    </row>
    <row r="109" ht="15" customHeight="1" s="14">
      <c r="A109" s="18" t="n">
        <v>205</v>
      </c>
    </row>
    <row r="110" ht="15" customHeight="1" s="14">
      <c r="A110" s="18" t="n">
        <v>206</v>
      </c>
    </row>
    <row r="111" ht="15" customHeight="1" s="14">
      <c r="A111" s="18" t="n">
        <v>208</v>
      </c>
    </row>
    <row r="112" ht="15" customHeight="1" s="14">
      <c r="A112" s="18" t="n">
        <v>214</v>
      </c>
    </row>
    <row r="113" ht="15" customHeight="1" s="14">
      <c r="A113" s="18" t="n">
        <v>215</v>
      </c>
    </row>
    <row r="114" ht="15" customHeight="1" s="14">
      <c r="A114" s="18" t="n">
        <v>220</v>
      </c>
    </row>
    <row r="115" ht="15" customHeight="1" s="14">
      <c r="A115" s="18" t="n">
        <v>222</v>
      </c>
    </row>
    <row r="116" ht="15" customHeight="1" s="14">
      <c r="A116" s="18" t="n">
        <v>223</v>
      </c>
    </row>
    <row r="117" ht="15" customHeight="1" s="14">
      <c r="A117" s="18" t="n">
        <v>224</v>
      </c>
    </row>
    <row r="118" ht="15" customHeight="1" s="14">
      <c r="A118" s="18" t="n">
        <v>226</v>
      </c>
    </row>
    <row r="119" ht="15" customHeight="1" s="14">
      <c r="A119" s="18" t="n">
        <v>227</v>
      </c>
    </row>
    <row r="120" ht="15" customHeight="1" s="14">
      <c r="A120" s="18" t="n">
        <v>229</v>
      </c>
    </row>
    <row r="121" ht="15" customHeight="1" s="14">
      <c r="A121" s="18" t="n">
        <v>230</v>
      </c>
    </row>
    <row r="122" ht="15" customHeight="1" s="14">
      <c r="A122" s="18" t="n">
        <v>231</v>
      </c>
    </row>
    <row r="123" ht="15" customHeight="1" s="14">
      <c r="A123" s="18" t="n">
        <v>232</v>
      </c>
    </row>
    <row r="124" ht="15" customHeight="1" s="14">
      <c r="A124" s="18" t="n">
        <v>233</v>
      </c>
    </row>
    <row r="125" ht="15" customHeight="1" s="14">
      <c r="A125" s="18" t="n">
        <v>234</v>
      </c>
    </row>
    <row r="126" ht="15" customHeight="1" s="14">
      <c r="A126" s="18" t="n">
        <v>237</v>
      </c>
    </row>
    <row r="127" ht="15" customHeight="1" s="14">
      <c r="A127" s="18" t="n">
        <v>239</v>
      </c>
    </row>
    <row r="128" ht="15" customHeight="1" s="14">
      <c r="A128" s="18" t="n">
        <v>242</v>
      </c>
    </row>
    <row r="129" ht="15" customHeight="1" s="14">
      <c r="A129" s="18" t="n">
        <v>243</v>
      </c>
    </row>
    <row r="130" ht="15" customHeight="1" s="14">
      <c r="A130" s="18" t="n">
        <v>245</v>
      </c>
    </row>
    <row r="131" ht="15" customHeight="1" s="14">
      <c r="A131" s="18" t="n">
        <v>246</v>
      </c>
    </row>
    <row r="132" ht="15" customHeight="1" s="14">
      <c r="A132" s="18" t="n">
        <v>262</v>
      </c>
    </row>
    <row r="133" ht="15" customHeight="1" s="14">
      <c r="A133" s="18" t="n">
        <v>264</v>
      </c>
    </row>
    <row r="134" ht="15" customHeight="1" s="14">
      <c r="A134" s="18" t="n">
        <v>266</v>
      </c>
    </row>
    <row r="135" ht="15" customHeight="1" s="14">
      <c r="A135" s="18" t="n">
        <v>267</v>
      </c>
    </row>
    <row r="136" ht="15" customHeight="1" s="14">
      <c r="A136" s="18" t="n">
        <v>268</v>
      </c>
    </row>
    <row r="137" ht="15" customHeight="1" s="14">
      <c r="A137" s="18" t="n">
        <v>271</v>
      </c>
    </row>
    <row r="138" ht="15" customHeight="1" s="14">
      <c r="A138" s="18" t="n">
        <v>275</v>
      </c>
    </row>
    <row r="139" ht="15" customHeight="1" s="14">
      <c r="A139" s="18" t="n">
        <v>276</v>
      </c>
    </row>
    <row r="140" ht="15" customHeight="1" s="14">
      <c r="A140" s="18" t="n">
        <v>277</v>
      </c>
    </row>
    <row r="141" ht="15" customHeight="1" s="14">
      <c r="A141" s="18" t="n">
        <v>278</v>
      </c>
    </row>
    <row r="142" ht="15" customHeight="1" s="14">
      <c r="A142" s="18" t="n">
        <v>279</v>
      </c>
    </row>
    <row r="143" ht="15" customHeight="1" s="14">
      <c r="A143" s="18" t="n">
        <v>280</v>
      </c>
    </row>
    <row r="144" ht="15" customHeight="1" s="14">
      <c r="A144" s="18" t="n">
        <v>283</v>
      </c>
    </row>
    <row r="145" ht="15" customHeight="1" s="14">
      <c r="A145" s="18" t="n">
        <v>284</v>
      </c>
    </row>
    <row r="146" ht="15" customHeight="1" s="14">
      <c r="A146" s="18" t="n">
        <v>285</v>
      </c>
    </row>
    <row r="147" ht="15" customHeight="1" s="14">
      <c r="A147" s="18" t="n">
        <v>286</v>
      </c>
    </row>
    <row r="148" ht="15" customHeight="1" s="14">
      <c r="A148" s="18" t="n">
        <v>287</v>
      </c>
    </row>
    <row r="149" ht="15" customHeight="1" s="14">
      <c r="A149" s="18" t="n">
        <v>288</v>
      </c>
    </row>
    <row r="150" ht="15" customHeight="1" s="14">
      <c r="A150" s="18" t="n">
        <v>289</v>
      </c>
    </row>
    <row r="151" ht="15" customHeight="1" s="14">
      <c r="A151" s="18" t="n">
        <v>290</v>
      </c>
    </row>
    <row r="152" ht="15" customHeight="1" s="14">
      <c r="A152" s="18" t="n">
        <v>291</v>
      </c>
    </row>
    <row r="153" ht="15" customHeight="1" s="14">
      <c r="A153" s="18" t="n">
        <v>292</v>
      </c>
    </row>
    <row r="154" ht="15" customHeight="1" s="14">
      <c r="A154" s="18" t="n">
        <v>293</v>
      </c>
    </row>
    <row r="155" ht="15" customHeight="1" s="14">
      <c r="A155" s="18" t="n">
        <v>295</v>
      </c>
    </row>
    <row r="156" ht="15" customHeight="1" s="14">
      <c r="A156" s="18" t="n">
        <v>296</v>
      </c>
    </row>
    <row r="157" ht="15" customHeight="1" s="14">
      <c r="A157" s="18" t="n">
        <v>297</v>
      </c>
    </row>
    <row r="158" ht="15" customHeight="1" s="14">
      <c r="A158" s="18" t="n">
        <v>301</v>
      </c>
    </row>
    <row r="159" ht="15" customHeight="1" s="14">
      <c r="A159" s="18" t="n">
        <v>303</v>
      </c>
    </row>
    <row r="160" ht="15" customHeight="1" s="14">
      <c r="A160" s="18" t="n">
        <v>305</v>
      </c>
    </row>
    <row r="161" ht="15" customHeight="1" s="14">
      <c r="A161" s="18" t="n">
        <v>306</v>
      </c>
    </row>
    <row r="162" ht="15" customHeight="1" s="14">
      <c r="A162" s="18" t="n">
        <v>307</v>
      </c>
    </row>
    <row r="163" ht="15" customHeight="1" s="14">
      <c r="A163" s="18" t="n">
        <v>308</v>
      </c>
    </row>
    <row r="164" ht="15" customHeight="1" s="14">
      <c r="A164" s="18" t="n">
        <v>309</v>
      </c>
    </row>
    <row r="165" ht="15" customHeight="1" s="14">
      <c r="A165" s="18" t="n">
        <v>312</v>
      </c>
    </row>
    <row r="166" ht="15" customHeight="1" s="14">
      <c r="A166" s="18" t="n">
        <v>313</v>
      </c>
    </row>
    <row r="167" ht="15" customHeight="1" s="14">
      <c r="A167" s="18" t="n">
        <v>314</v>
      </c>
    </row>
    <row r="168" ht="15" customHeight="1" s="14">
      <c r="A168" s="18" t="n">
        <v>318</v>
      </c>
    </row>
    <row r="169" ht="15" customHeight="1" s="14">
      <c r="A169" s="18" t="n">
        <v>319</v>
      </c>
    </row>
    <row r="170" ht="15" customHeight="1" s="14">
      <c r="A170" s="18" t="n">
        <v>320</v>
      </c>
    </row>
    <row r="171" ht="15" customHeight="1" s="14">
      <c r="A171" s="18" t="n">
        <v>321</v>
      </c>
    </row>
    <row r="172" ht="15" customHeight="1" s="14">
      <c r="A172" s="18" t="n">
        <v>322</v>
      </c>
    </row>
    <row r="173" ht="15" customHeight="1" s="14">
      <c r="A173" s="18" t="n">
        <v>323</v>
      </c>
    </row>
    <row r="174" ht="15" customHeight="1" s="14">
      <c r="A174" s="18" t="n">
        <v>324</v>
      </c>
    </row>
    <row r="175" ht="15" customHeight="1" s="14">
      <c r="A175" s="18" t="n">
        <v>325</v>
      </c>
    </row>
    <row r="176" ht="15" customHeight="1" s="14">
      <c r="A176" s="18" t="n">
        <v>326</v>
      </c>
    </row>
    <row r="177" ht="15" customHeight="1" s="14">
      <c r="A177" s="18" t="n">
        <v>327</v>
      </c>
    </row>
    <row r="178" ht="15" customHeight="1" s="14">
      <c r="A178" s="18" t="n">
        <v>328</v>
      </c>
    </row>
    <row r="179" ht="15" customHeight="1" s="14">
      <c r="A179" s="18" t="n">
        <v>329</v>
      </c>
    </row>
    <row r="180" ht="15" customHeight="1" s="14">
      <c r="A180" s="18" t="n">
        <v>331</v>
      </c>
    </row>
    <row r="181" ht="15" customHeight="1" s="14">
      <c r="A181" s="18" t="n">
        <v>332</v>
      </c>
    </row>
    <row r="182" ht="15" customHeight="1" s="14">
      <c r="A182" s="18" t="n">
        <v>334</v>
      </c>
    </row>
    <row r="183" ht="15" customHeight="1" s="14">
      <c r="A183" s="18" t="n">
        <v>335</v>
      </c>
    </row>
    <row r="184" ht="15" customHeight="1" s="14">
      <c r="A184" s="18" t="n">
        <v>337</v>
      </c>
    </row>
    <row r="185" ht="15" customHeight="1" s="14">
      <c r="A185" s="18" t="n">
        <v>338</v>
      </c>
    </row>
    <row r="186" ht="15" customHeight="1" s="14">
      <c r="A186" s="18" t="n">
        <v>339</v>
      </c>
    </row>
    <row r="187" ht="15" customHeight="1" s="14">
      <c r="A187" s="18" t="n">
        <v>340</v>
      </c>
    </row>
    <row r="188" ht="15" customHeight="1" s="14">
      <c r="A188" s="18" t="n">
        <v>341</v>
      </c>
    </row>
    <row r="189" ht="15" customHeight="1" s="14">
      <c r="A189" s="18" t="n">
        <v>342</v>
      </c>
    </row>
    <row r="190" ht="15" customHeight="1" s="14">
      <c r="A190" s="18" t="n">
        <v>348</v>
      </c>
    </row>
    <row r="191" ht="15" customHeight="1" s="14">
      <c r="A191" s="18" t="n">
        <v>352</v>
      </c>
    </row>
    <row r="192" ht="15" customHeight="1" s="14">
      <c r="A192" s="18" t="n">
        <v>353</v>
      </c>
    </row>
    <row r="193" ht="15" customHeight="1" s="14">
      <c r="A193" s="18" t="n">
        <v>354</v>
      </c>
    </row>
    <row r="194" ht="15" customHeight="1" s="14">
      <c r="A194" s="18" t="n">
        <v>356</v>
      </c>
    </row>
    <row r="195" ht="15" customHeight="1" s="14">
      <c r="A195" s="18" t="n">
        <v>357</v>
      </c>
    </row>
    <row r="196" ht="15" customHeight="1" s="14">
      <c r="A196" s="18" t="n">
        <v>358</v>
      </c>
    </row>
    <row r="197" ht="15" customHeight="1" s="14">
      <c r="A197" s="18" t="n">
        <v>366</v>
      </c>
    </row>
    <row r="198" ht="15" customHeight="1" s="14">
      <c r="A198" s="18" t="n">
        <v>368</v>
      </c>
    </row>
    <row r="199" ht="15" customHeight="1" s="14">
      <c r="A199" s="18" t="n">
        <v>369</v>
      </c>
    </row>
    <row r="200" ht="15" customHeight="1" s="14">
      <c r="A200" s="18" t="n">
        <v>370</v>
      </c>
    </row>
    <row r="201" ht="15" customHeight="1" s="14">
      <c r="A201" s="18" t="n">
        <v>372</v>
      </c>
    </row>
    <row r="202" ht="15" customHeight="1" s="14">
      <c r="A202" s="18" t="n">
        <v>373</v>
      </c>
    </row>
    <row r="203" ht="15" customHeight="1" s="14">
      <c r="A203" s="18" t="n">
        <v>374</v>
      </c>
    </row>
    <row r="204" ht="15" customHeight="1" s="14">
      <c r="A204" s="18" t="n">
        <v>375</v>
      </c>
    </row>
    <row r="205" ht="15" customHeight="1" s="14">
      <c r="A205" s="18" t="n">
        <v>376</v>
      </c>
    </row>
    <row r="206" ht="15" customHeight="1" s="14">
      <c r="A206" s="18" t="n">
        <v>377</v>
      </c>
    </row>
    <row r="207" ht="15" customHeight="1" s="14">
      <c r="A207" s="18" t="n">
        <v>378</v>
      </c>
    </row>
    <row r="208" ht="15" customHeight="1" s="14">
      <c r="A208" s="18" t="n">
        <v>379</v>
      </c>
    </row>
    <row r="209" ht="15" customHeight="1" s="14">
      <c r="A209" s="18" t="n">
        <v>380</v>
      </c>
    </row>
    <row r="210" ht="15" customHeight="1" s="14">
      <c r="A210" s="18" t="n">
        <v>386</v>
      </c>
    </row>
    <row r="211" ht="15" customHeight="1" s="14">
      <c r="A211" s="18" t="n">
        <v>388</v>
      </c>
    </row>
    <row r="212" ht="15" customHeight="1" s="14">
      <c r="A212" s="18" t="n">
        <v>392</v>
      </c>
    </row>
    <row r="213" ht="15" customHeight="1" s="14">
      <c r="A213" s="18" t="n">
        <v>393</v>
      </c>
    </row>
    <row r="214" ht="15" customHeight="1" s="14">
      <c r="A214" s="18" t="n">
        <v>395</v>
      </c>
    </row>
    <row r="215" ht="15" customHeight="1" s="14">
      <c r="A215" s="18" t="n">
        <v>398</v>
      </c>
    </row>
    <row r="216" ht="15" customHeight="1" s="14">
      <c r="A216" s="18" t="n">
        <v>399</v>
      </c>
    </row>
    <row r="217" ht="15" customHeight="1" s="14">
      <c r="A217" s="18" t="n">
        <v>400</v>
      </c>
    </row>
    <row r="218" ht="15" customHeight="1" s="14">
      <c r="A218" s="18" t="n">
        <v>403</v>
      </c>
    </row>
    <row r="219" ht="15" customHeight="1" s="14">
      <c r="A219" s="18" t="n">
        <v>405</v>
      </c>
    </row>
    <row r="220" ht="15" customHeight="1" s="14">
      <c r="A220" s="18" t="n">
        <v>406</v>
      </c>
    </row>
    <row r="221" ht="15" customHeight="1" s="14">
      <c r="A221" s="18" t="n">
        <v>407</v>
      </c>
    </row>
    <row r="222" ht="15" customHeight="1" s="14">
      <c r="A222" s="18" t="n">
        <v>408</v>
      </c>
    </row>
    <row r="223" ht="15" customHeight="1" s="14">
      <c r="A223" s="18" t="n">
        <v>410</v>
      </c>
    </row>
    <row r="224" ht="15" customHeight="1" s="14">
      <c r="A224" s="18" t="n">
        <v>411</v>
      </c>
    </row>
    <row r="225" ht="15" customHeight="1" s="14">
      <c r="A225" s="18" t="n">
        <v>413</v>
      </c>
    </row>
    <row r="226" ht="15" customHeight="1" s="14">
      <c r="A226" s="18" t="n">
        <v>416</v>
      </c>
    </row>
    <row r="227" ht="15" customHeight="1" s="14">
      <c r="A227" s="18" t="n">
        <v>417</v>
      </c>
    </row>
    <row r="228" ht="15" customHeight="1" s="14">
      <c r="A228" s="18" t="n">
        <v>418</v>
      </c>
    </row>
    <row r="229" ht="15" customHeight="1" s="14">
      <c r="A229" s="18" t="n">
        <v>419</v>
      </c>
    </row>
    <row r="230" ht="15" customHeight="1" s="14">
      <c r="A230" s="18" t="n">
        <v>420</v>
      </c>
    </row>
    <row r="231" ht="15" customHeight="1" s="14">
      <c r="A231" s="18" t="n">
        <v>421</v>
      </c>
    </row>
    <row r="232" ht="15" customHeight="1" s="14">
      <c r="A232" s="18" t="n">
        <v>424</v>
      </c>
    </row>
    <row r="233" ht="15" customHeight="1" s="14">
      <c r="A233" s="18" t="n">
        <v>425</v>
      </c>
    </row>
    <row r="234" ht="15" customHeight="1" s="14">
      <c r="A234" s="18" t="n">
        <v>426</v>
      </c>
    </row>
    <row r="235" ht="15" customHeight="1" s="14">
      <c r="A235" s="18" t="n">
        <v>427</v>
      </c>
    </row>
    <row r="236" ht="15" customHeight="1" s="14">
      <c r="A236" s="18" t="n">
        <v>428</v>
      </c>
    </row>
    <row r="237" ht="15" customHeight="1" s="14">
      <c r="A237" s="18" t="n">
        <v>429</v>
      </c>
    </row>
    <row r="238" ht="15" customHeight="1" s="14">
      <c r="A238" s="18" t="n">
        <v>430</v>
      </c>
    </row>
    <row r="239" ht="15" customHeight="1" s="14">
      <c r="A239" s="18" t="n">
        <v>431</v>
      </c>
    </row>
    <row r="240" ht="15" customHeight="1" s="14">
      <c r="A240" s="18" t="n">
        <v>435</v>
      </c>
    </row>
    <row r="241" ht="15" customHeight="1" s="14">
      <c r="A241" s="18" t="n">
        <v>436</v>
      </c>
    </row>
    <row r="242" ht="15" customHeight="1" s="14">
      <c r="A242" s="18" t="n">
        <v>438</v>
      </c>
    </row>
    <row r="243" ht="15" customHeight="1" s="14">
      <c r="A243" s="18" t="n">
        <v>439</v>
      </c>
    </row>
    <row r="244" ht="15" customHeight="1" s="14">
      <c r="A244" s="18" t="n">
        <v>440</v>
      </c>
    </row>
    <row r="245" ht="15" customHeight="1" s="14">
      <c r="A245" s="18" t="n">
        <v>447</v>
      </c>
    </row>
    <row r="246" ht="15" customHeight="1" s="14">
      <c r="A246" s="18" t="n">
        <v>448</v>
      </c>
    </row>
    <row r="247" ht="15" customHeight="1" s="14">
      <c r="A247" s="18" t="n">
        <v>453</v>
      </c>
    </row>
    <row r="248" ht="15" customHeight="1" s="14">
      <c r="A248" s="18" t="n">
        <v>454</v>
      </c>
    </row>
    <row r="249" ht="15" customHeight="1" s="14">
      <c r="A249" s="18" t="n">
        <v>456</v>
      </c>
    </row>
    <row r="250" ht="15" customHeight="1" s="14">
      <c r="A250" s="18" t="n">
        <v>457</v>
      </c>
    </row>
    <row r="251" ht="15" customHeight="1" s="14">
      <c r="A251" s="18" t="n">
        <v>459</v>
      </c>
    </row>
    <row r="252" ht="15" customHeight="1" s="14">
      <c r="A252" s="18" t="n">
        <v>460</v>
      </c>
    </row>
    <row r="253" ht="15" customHeight="1" s="14">
      <c r="A253" s="18" t="n">
        <v>461</v>
      </c>
    </row>
    <row r="254" ht="15" customHeight="1" s="14">
      <c r="A254" s="18" t="n">
        <v>466</v>
      </c>
    </row>
    <row r="255" ht="15" customHeight="1" s="14">
      <c r="A255" s="18" t="n">
        <v>468</v>
      </c>
    </row>
    <row r="256" ht="15" customHeight="1" s="14">
      <c r="A256" s="18" t="n">
        <v>469</v>
      </c>
    </row>
    <row r="257" ht="15" customHeight="1" s="14">
      <c r="A257" s="18" t="n">
        <v>470</v>
      </c>
    </row>
    <row r="258" ht="15" customHeight="1" s="14">
      <c r="A258" s="18" t="n">
        <v>471</v>
      </c>
    </row>
    <row r="259" ht="15" customHeight="1" s="14">
      <c r="A259" s="18" t="n">
        <v>474</v>
      </c>
    </row>
    <row r="260" ht="15" customHeight="1" s="14">
      <c r="A260" s="18" t="n">
        <v>482</v>
      </c>
    </row>
    <row r="261" ht="15" customHeight="1" s="14">
      <c r="A261" s="18" t="n">
        <v>483</v>
      </c>
    </row>
    <row r="262" ht="15" customHeight="1" s="14">
      <c r="A262" s="18" t="n">
        <v>493</v>
      </c>
    </row>
    <row r="263" ht="15" customHeight="1" s="14">
      <c r="A263" s="18" t="n">
        <v>495</v>
      </c>
    </row>
    <row r="264" ht="15" customHeight="1" s="14">
      <c r="A264" s="18" t="n">
        <v>496</v>
      </c>
    </row>
    <row r="265" ht="15" customHeight="1" s="14">
      <c r="A265" s="18" t="n">
        <v>497</v>
      </c>
    </row>
    <row r="266" ht="15" customHeight="1" s="14">
      <c r="A266" s="18" t="n">
        <v>499</v>
      </c>
    </row>
    <row r="267" ht="15" customHeight="1" s="14">
      <c r="A267" s="18" t="n">
        <v>502</v>
      </c>
    </row>
    <row r="268" ht="15" customHeight="1" s="14">
      <c r="A268" s="18" t="n">
        <v>503</v>
      </c>
    </row>
    <row r="269" ht="15" customHeight="1" s="14">
      <c r="A269" s="18" t="n">
        <v>504</v>
      </c>
    </row>
    <row r="270" ht="15" customHeight="1" s="14">
      <c r="A270" s="18" t="n">
        <v>511</v>
      </c>
    </row>
    <row r="271" ht="15" customHeight="1" s="14">
      <c r="A271" s="18" t="n">
        <v>512</v>
      </c>
    </row>
    <row r="272" ht="15" customHeight="1" s="14">
      <c r="A272" s="18" t="n">
        <v>513</v>
      </c>
    </row>
    <row r="273" ht="15" customHeight="1" s="14">
      <c r="A273" s="18" t="n">
        <v>518</v>
      </c>
    </row>
    <row r="274" ht="15" customHeight="1" s="14">
      <c r="A274" s="18" t="n">
        <v>520</v>
      </c>
    </row>
    <row r="275" ht="15" customHeight="1" s="14">
      <c r="A275" s="18" t="n">
        <v>523</v>
      </c>
    </row>
    <row r="276" ht="15" customHeight="1" s="14">
      <c r="A276" s="18" t="n">
        <v>524</v>
      </c>
    </row>
    <row r="277" ht="15" customHeight="1" s="14">
      <c r="A277" s="18" t="n">
        <v>527</v>
      </c>
    </row>
    <row r="278" ht="15" customHeight="1" s="14">
      <c r="A278" s="18" t="n">
        <v>528</v>
      </c>
    </row>
    <row r="279" ht="15" customHeight="1" s="14">
      <c r="A279" s="18" t="n">
        <v>532</v>
      </c>
    </row>
    <row r="280" ht="15" customHeight="1" s="14">
      <c r="A280" s="18" t="n">
        <v>533</v>
      </c>
    </row>
    <row r="281" ht="15" customHeight="1" s="14">
      <c r="A281" s="18" t="n">
        <v>535</v>
      </c>
    </row>
    <row r="282" ht="15" customHeight="1" s="14">
      <c r="A282" s="18" t="n">
        <v>536</v>
      </c>
    </row>
    <row r="283" ht="15" customHeight="1" s="14">
      <c r="A283" s="18" t="n">
        <v>537</v>
      </c>
    </row>
    <row r="284" ht="15" customHeight="1" s="14">
      <c r="A284" s="18" t="n">
        <v>538</v>
      </c>
    </row>
    <row r="285" ht="15" customHeight="1" s="14">
      <c r="A285" s="18" t="n">
        <v>540</v>
      </c>
    </row>
    <row r="286" ht="15" customHeight="1" s="14">
      <c r="A286" s="18" t="n">
        <v>543</v>
      </c>
    </row>
    <row r="287" ht="15" customHeight="1" s="14">
      <c r="A287" s="18" t="n">
        <v>544</v>
      </c>
    </row>
    <row r="288" ht="15" customHeight="1" s="14">
      <c r="A288" s="18" t="n">
        <v>545</v>
      </c>
    </row>
    <row r="289" ht="15" customHeight="1" s="14">
      <c r="A289" s="18" t="n">
        <v>546</v>
      </c>
    </row>
    <row r="290" ht="15" customHeight="1" s="14">
      <c r="A290" s="18" t="n">
        <v>547</v>
      </c>
    </row>
    <row r="291" ht="15" customHeight="1" s="14">
      <c r="A291" s="18" t="n">
        <v>548</v>
      </c>
    </row>
    <row r="292" ht="15" customHeight="1" s="14">
      <c r="A292" s="18" t="n">
        <v>549</v>
      </c>
    </row>
    <row r="293" ht="15" customHeight="1" s="14">
      <c r="A293" s="18" t="n">
        <v>550</v>
      </c>
    </row>
    <row r="294" ht="15" customHeight="1" s="14">
      <c r="A294" s="18" t="n">
        <v>551</v>
      </c>
    </row>
    <row r="295" ht="15" customHeight="1" s="14">
      <c r="A295" s="18" t="n">
        <v>553</v>
      </c>
    </row>
    <row r="296" ht="15" customHeight="1" s="14">
      <c r="A296" s="18" t="n">
        <v>554</v>
      </c>
    </row>
    <row r="297" ht="15" customHeight="1" s="14">
      <c r="A297" s="18" t="n">
        <v>555</v>
      </c>
    </row>
    <row r="298" ht="15" customHeight="1" s="14">
      <c r="A298" s="18" t="n">
        <v>558</v>
      </c>
    </row>
    <row r="299" ht="15" customHeight="1" s="14">
      <c r="A299" s="18" t="n">
        <v>560</v>
      </c>
    </row>
    <row r="300" ht="15" customHeight="1" s="14">
      <c r="A300" s="18" t="n">
        <v>562</v>
      </c>
    </row>
    <row r="301" ht="15" customHeight="1" s="14">
      <c r="A301" s="18" t="n">
        <v>568</v>
      </c>
    </row>
    <row r="302" ht="15" customHeight="1" s="14">
      <c r="A302" s="18" t="n">
        <v>569</v>
      </c>
    </row>
    <row r="303" ht="15" customHeight="1" s="14">
      <c r="A303" s="18" t="n">
        <v>571</v>
      </c>
    </row>
    <row r="304" ht="15" customHeight="1" s="14">
      <c r="A304" s="18" t="n">
        <v>572</v>
      </c>
    </row>
    <row r="305" ht="15" customHeight="1" s="14">
      <c r="A305" s="18" t="n">
        <v>573</v>
      </c>
    </row>
    <row r="306" ht="15" customHeight="1" s="14">
      <c r="A306" s="18" t="n">
        <v>574</v>
      </c>
    </row>
    <row r="307" ht="15" customHeight="1" s="14">
      <c r="A307" s="18" t="n">
        <v>575</v>
      </c>
    </row>
    <row r="308" ht="15" customHeight="1" s="14">
      <c r="A308" s="18" t="n">
        <v>577</v>
      </c>
    </row>
    <row r="309" ht="15" customHeight="1" s="14">
      <c r="A309" s="18" t="n">
        <v>581</v>
      </c>
    </row>
    <row r="310" ht="15" customHeight="1" s="14">
      <c r="A310" s="18" t="n">
        <v>584</v>
      </c>
    </row>
    <row r="311" ht="15" customHeight="1" s="14">
      <c r="A311" s="18" t="n">
        <v>587</v>
      </c>
    </row>
    <row r="312" ht="15" customHeight="1" s="14">
      <c r="A312" s="18" t="n">
        <v>588</v>
      </c>
    </row>
    <row r="313" ht="15" customHeight="1" s="14">
      <c r="A313" s="18" t="n">
        <v>589</v>
      </c>
    </row>
    <row r="314" ht="15" customHeight="1" s="14">
      <c r="A314" s="18" t="n">
        <v>590</v>
      </c>
    </row>
    <row r="315" ht="15" customHeight="1" s="14">
      <c r="A315" s="18" t="n">
        <v>592</v>
      </c>
    </row>
    <row r="316" ht="15" customHeight="1" s="14">
      <c r="A316" s="18" t="n">
        <v>595</v>
      </c>
    </row>
    <row r="317" ht="15" customHeight="1" s="14">
      <c r="A317" s="18" t="n">
        <v>601</v>
      </c>
    </row>
    <row r="318" ht="15" customHeight="1" s="14">
      <c r="A318" s="18" t="n">
        <v>609</v>
      </c>
    </row>
    <row r="319" ht="15" customHeight="1" s="14">
      <c r="A319" s="18" t="n">
        <v>610</v>
      </c>
    </row>
    <row r="320" ht="15" customHeight="1" s="14">
      <c r="A320" s="18" t="n">
        <v>614</v>
      </c>
    </row>
    <row r="321" ht="15" customHeight="1" s="14">
      <c r="A321" s="18" t="n">
        <v>617</v>
      </c>
    </row>
    <row r="322" ht="15" customHeight="1" s="14">
      <c r="A322" s="18" t="n">
        <v>618</v>
      </c>
    </row>
    <row r="323" ht="15" customHeight="1" s="14">
      <c r="A323" s="18" t="n">
        <v>619</v>
      </c>
    </row>
    <row r="324" ht="15" customHeight="1" s="14">
      <c r="A324" s="18" t="n">
        <v>620</v>
      </c>
    </row>
    <row r="325" ht="15" customHeight="1" s="14">
      <c r="A325" s="18" t="n">
        <v>622</v>
      </c>
    </row>
    <row r="326" ht="15" customHeight="1" s="14">
      <c r="A326" s="18" t="n">
        <v>624</v>
      </c>
    </row>
    <row r="327" ht="15" customHeight="1" s="14">
      <c r="A327" s="18" t="n">
        <v>625</v>
      </c>
    </row>
    <row r="328" ht="15" customHeight="1" s="14">
      <c r="A328" s="18" t="n">
        <v>630</v>
      </c>
    </row>
    <row r="329" ht="15" customHeight="1" s="14">
      <c r="A329" s="18" t="n">
        <v>631</v>
      </c>
    </row>
    <row r="330" ht="15" customHeight="1" s="14">
      <c r="A330" s="18" t="n">
        <v>632</v>
      </c>
    </row>
    <row r="331" ht="15" customHeight="1" s="14">
      <c r="A331" s="18" t="n">
        <v>633</v>
      </c>
    </row>
    <row r="332" ht="15" customHeight="1" s="14">
      <c r="A332" s="18" t="n">
        <v>636</v>
      </c>
    </row>
    <row r="333" ht="15" customHeight="1" s="14">
      <c r="A333" s="18" t="n">
        <v>637</v>
      </c>
    </row>
    <row r="334" ht="15" customHeight="1" s="14">
      <c r="A334" s="18" t="n">
        <v>638</v>
      </c>
    </row>
    <row r="335" ht="15" customHeight="1" s="14">
      <c r="A335" s="18" t="n">
        <v>639</v>
      </c>
    </row>
    <row r="336" ht="15" customHeight="1" s="14">
      <c r="A336" s="18" t="n">
        <v>640</v>
      </c>
    </row>
    <row r="337" ht="15" customHeight="1" s="14">
      <c r="A337" s="18" t="n">
        <v>641</v>
      </c>
    </row>
    <row r="338" ht="15" customHeight="1" s="14">
      <c r="A338" s="18" t="n">
        <v>648</v>
      </c>
    </row>
    <row r="339" ht="15" customHeight="1" s="14">
      <c r="A339" s="18" t="n">
        <v>650</v>
      </c>
    </row>
    <row r="340" ht="15" customHeight="1" s="14">
      <c r="A340" s="18" t="n">
        <v>651</v>
      </c>
    </row>
    <row r="341" ht="15" customHeight="1" s="14">
      <c r="A341" s="18" t="n">
        <v>652</v>
      </c>
    </row>
    <row r="342" ht="15" customHeight="1" s="14">
      <c r="A342" s="18" t="n">
        <v>653</v>
      </c>
    </row>
    <row r="343" ht="15" customHeight="1" s="14">
      <c r="A343" s="18" t="n">
        <v>654</v>
      </c>
    </row>
    <row r="344" ht="15" customHeight="1" s="14">
      <c r="A344" s="18" t="n">
        <v>655</v>
      </c>
    </row>
    <row r="345" ht="15" customHeight="1" s="14">
      <c r="A345" s="18" t="n">
        <v>656</v>
      </c>
    </row>
    <row r="346" ht="15" customHeight="1" s="14">
      <c r="A346" s="18" t="n">
        <v>657</v>
      </c>
    </row>
    <row r="347" ht="15" customHeight="1" s="14">
      <c r="A347" s="18" t="n">
        <v>658</v>
      </c>
    </row>
    <row r="348" ht="15" customHeight="1" s="14">
      <c r="A348" s="18" t="n">
        <v>659</v>
      </c>
    </row>
    <row r="349" ht="15" customHeight="1" s="14">
      <c r="A349" s="18" t="n">
        <v>662</v>
      </c>
    </row>
    <row r="350" ht="15" customHeight="1" s="14">
      <c r="A350" s="18" t="n">
        <v>664</v>
      </c>
    </row>
    <row r="351" ht="15" customHeight="1" s="14">
      <c r="A351" s="18" t="n">
        <v>665</v>
      </c>
    </row>
    <row r="352" ht="15" customHeight="1" s="14">
      <c r="A352" s="18" t="n">
        <v>666</v>
      </c>
    </row>
    <row r="353" ht="15" customHeight="1" s="14">
      <c r="A353" s="18" t="n">
        <v>668</v>
      </c>
    </row>
    <row r="354" ht="15" customHeight="1" s="14">
      <c r="A354" s="18" t="n">
        <v>669</v>
      </c>
    </row>
    <row r="355" ht="15" customHeight="1" s="14">
      <c r="A355" s="18" t="n">
        <v>670</v>
      </c>
    </row>
    <row r="356" ht="15" customHeight="1" s="14">
      <c r="A356" s="18" t="n">
        <v>671</v>
      </c>
    </row>
    <row r="357" ht="15" customHeight="1" s="14">
      <c r="A357" s="18" t="n">
        <v>674</v>
      </c>
    </row>
    <row r="358" ht="15" customHeight="1" s="14">
      <c r="A358" s="18" t="n">
        <v>676</v>
      </c>
    </row>
    <row r="359" ht="15" customHeight="1" s="14">
      <c r="A359" s="18" t="n">
        <v>682</v>
      </c>
    </row>
    <row r="360" ht="15" customHeight="1" s="14">
      <c r="A360" s="18" t="n">
        <v>686</v>
      </c>
    </row>
    <row r="361" ht="15" customHeight="1" s="14">
      <c r="A361" s="18" t="n">
        <v>690</v>
      </c>
    </row>
    <row r="362" ht="15" customHeight="1" s="14">
      <c r="A362" s="18" t="n">
        <v>693</v>
      </c>
    </row>
    <row r="363" ht="15" customHeight="1" s="14">
      <c r="A363" s="18" t="n">
        <v>694</v>
      </c>
    </row>
    <row r="364" ht="15" customHeight="1" s="14">
      <c r="A364" s="18" t="n">
        <v>698</v>
      </c>
    </row>
    <row r="365" ht="15" customHeight="1" s="14">
      <c r="A365" s="18" t="n">
        <v>699</v>
      </c>
    </row>
    <row r="366" ht="15" customHeight="1" s="14">
      <c r="A366" s="18" t="n">
        <v>701</v>
      </c>
    </row>
    <row r="367" ht="15" customHeight="1" s="14">
      <c r="A367" s="18" t="n">
        <v>708</v>
      </c>
    </row>
    <row r="368" ht="15" customHeight="1" s="14">
      <c r="A368" s="18" t="n">
        <v>712</v>
      </c>
    </row>
    <row r="369" ht="15" customHeight="1" s="14">
      <c r="A369" s="18" t="n">
        <v>713</v>
      </c>
    </row>
    <row r="370" ht="15" customHeight="1" s="14">
      <c r="A370" s="18" t="n">
        <v>717</v>
      </c>
    </row>
    <row r="371" ht="15" customHeight="1" s="14">
      <c r="A371" s="18" t="n">
        <v>718</v>
      </c>
    </row>
    <row r="372" ht="15" customHeight="1" s="14">
      <c r="A372" s="18" t="n">
        <v>720</v>
      </c>
    </row>
    <row r="373" ht="15" customHeight="1" s="14">
      <c r="A373" s="18" t="n">
        <v>721</v>
      </c>
    </row>
    <row r="374" ht="15" customHeight="1" s="14">
      <c r="A374" s="18" t="n">
        <v>722</v>
      </c>
    </row>
    <row r="375" ht="15" customHeight="1" s="14">
      <c r="A375" s="18" t="n">
        <v>723</v>
      </c>
    </row>
    <row r="376" ht="15" customHeight="1" s="14">
      <c r="A376" s="18" t="n">
        <v>725</v>
      </c>
    </row>
    <row r="377" ht="15" customHeight="1" s="14">
      <c r="A377" s="18" t="n">
        <v>726</v>
      </c>
    </row>
    <row r="378" ht="15" customHeight="1" s="14">
      <c r="A378" s="18" t="n">
        <v>727</v>
      </c>
    </row>
    <row r="379" ht="15" customHeight="1" s="14">
      <c r="A379" s="18" t="n">
        <v>728</v>
      </c>
    </row>
    <row r="380" ht="15" customHeight="1" s="14">
      <c r="A380" s="18" t="n">
        <v>731</v>
      </c>
    </row>
    <row r="381" ht="15" customHeight="1" s="14">
      <c r="A381" s="18" t="n">
        <v>732</v>
      </c>
    </row>
    <row r="382" ht="15" customHeight="1" s="14">
      <c r="A382" s="18" t="n">
        <v>733</v>
      </c>
    </row>
    <row r="383" ht="15" customHeight="1" s="14">
      <c r="A383" s="18" t="n">
        <v>736</v>
      </c>
    </row>
    <row r="384" ht="15" customHeight="1" s="14">
      <c r="A384" s="18" t="n">
        <v>738</v>
      </c>
    </row>
    <row r="385" ht="15" customHeight="1" s="14">
      <c r="A385" s="18" t="n">
        <v>741</v>
      </c>
    </row>
    <row r="386" ht="15" customHeight="1" s="14">
      <c r="A386" s="18" t="n">
        <v>743</v>
      </c>
    </row>
    <row r="387" ht="15" customHeight="1" s="14">
      <c r="A387" s="18" t="n">
        <v>745</v>
      </c>
    </row>
    <row r="388" ht="15" customHeight="1" s="14">
      <c r="A388" s="18" t="n">
        <v>746</v>
      </c>
    </row>
    <row r="389" ht="15" customHeight="1" s="14">
      <c r="A389" s="18" t="n">
        <v>747</v>
      </c>
    </row>
    <row r="390" ht="15" customHeight="1" s="14">
      <c r="A390" s="18" t="n">
        <v>748</v>
      </c>
    </row>
    <row r="391" ht="15" customHeight="1" s="14">
      <c r="A391" s="18" t="n">
        <v>751</v>
      </c>
    </row>
    <row r="392" ht="15" customHeight="1" s="14">
      <c r="A392" s="18" t="n">
        <v>753</v>
      </c>
    </row>
    <row r="393" ht="15" customHeight="1" s="14">
      <c r="A393" s="18" t="n">
        <v>755</v>
      </c>
    </row>
    <row r="394" ht="15" customHeight="1" s="14">
      <c r="A394" s="18" t="n">
        <v>756</v>
      </c>
    </row>
    <row r="395" ht="15" customHeight="1" s="14">
      <c r="A395" s="18" t="n">
        <v>757</v>
      </c>
    </row>
    <row r="396" ht="15" customHeight="1" s="14">
      <c r="A396" s="18" t="n">
        <v>762</v>
      </c>
    </row>
    <row r="397" ht="15" customHeight="1" s="14">
      <c r="A397" s="18" t="n">
        <v>763</v>
      </c>
    </row>
    <row r="398" ht="15" customHeight="1" s="14">
      <c r="A398" s="18" t="n">
        <v>764</v>
      </c>
    </row>
    <row r="399" ht="15" customHeight="1" s="14">
      <c r="A399" s="18" t="n">
        <v>765</v>
      </c>
    </row>
    <row r="400" ht="15" customHeight="1" s="14">
      <c r="A400" s="18" t="n">
        <v>766</v>
      </c>
    </row>
    <row r="401" ht="15" customHeight="1" s="14">
      <c r="A401" s="18" t="n">
        <v>767</v>
      </c>
    </row>
    <row r="402" ht="15" customHeight="1" s="14">
      <c r="A402" s="18" t="n">
        <v>769</v>
      </c>
    </row>
    <row r="403" ht="15" customHeight="1" s="14">
      <c r="A403" s="18" t="n">
        <v>771</v>
      </c>
    </row>
    <row r="404" ht="15" customHeight="1" s="14">
      <c r="A404" s="18" t="n">
        <v>772</v>
      </c>
    </row>
    <row r="405" ht="15" customHeight="1" s="14">
      <c r="A405" s="18" t="n">
        <v>773</v>
      </c>
    </row>
    <row r="406" ht="15" customHeight="1" s="14">
      <c r="A406" s="18" t="n">
        <v>775</v>
      </c>
    </row>
    <row r="407" ht="15" customHeight="1" s="14">
      <c r="A407" s="18" t="n">
        <v>777</v>
      </c>
    </row>
    <row r="408" ht="15" customHeight="1" s="14">
      <c r="A408" s="18" t="n">
        <v>781</v>
      </c>
    </row>
    <row r="409" ht="15" customHeight="1" s="14">
      <c r="A409" s="18" t="n">
        <v>782</v>
      </c>
    </row>
    <row r="410" ht="15" customHeight="1" s="14">
      <c r="A410" s="18" t="n">
        <v>783</v>
      </c>
    </row>
    <row r="411" ht="15" customHeight="1" s="14">
      <c r="A411" s="18" t="n">
        <v>784</v>
      </c>
    </row>
    <row r="412" ht="15" customHeight="1" s="14">
      <c r="A412" s="18" t="n">
        <v>785</v>
      </c>
    </row>
    <row r="413" ht="15" customHeight="1" s="14">
      <c r="A413" s="18" t="n">
        <v>786</v>
      </c>
    </row>
    <row r="414" ht="15" customHeight="1" s="14">
      <c r="A414" s="18" t="n">
        <v>787</v>
      </c>
    </row>
    <row r="415" ht="15" customHeight="1" s="14">
      <c r="A415" s="18" t="n">
        <v>791</v>
      </c>
    </row>
    <row r="416" ht="15" customHeight="1" s="14">
      <c r="A416" s="18" t="n">
        <v>792</v>
      </c>
    </row>
    <row r="417" ht="15" customHeight="1" s="14">
      <c r="A417" s="18" t="n">
        <v>794</v>
      </c>
    </row>
    <row r="418" ht="15" customHeight="1" s="14">
      <c r="A418" s="18" t="n">
        <v>795</v>
      </c>
    </row>
    <row r="419" ht="15" customHeight="1" s="14">
      <c r="A419" s="18" t="n">
        <v>797</v>
      </c>
    </row>
    <row r="420" ht="15" customHeight="1" s="14">
      <c r="A420" s="18" t="n">
        <v>799</v>
      </c>
    </row>
    <row r="421" ht="15" customHeight="1" s="14">
      <c r="A421" s="18" t="n">
        <v>800</v>
      </c>
    </row>
    <row r="422" ht="15" customHeight="1" s="14">
      <c r="A422" s="18" t="n">
        <v>803</v>
      </c>
    </row>
    <row r="423" ht="15" customHeight="1" s="14">
      <c r="A423" s="18" t="n">
        <v>804</v>
      </c>
    </row>
    <row r="424" ht="15" customHeight="1" s="14">
      <c r="A424" s="18" t="n">
        <v>807</v>
      </c>
    </row>
    <row r="425" ht="15" customHeight="1" s="14">
      <c r="A425" s="18" t="n">
        <v>811</v>
      </c>
    </row>
    <row r="426" ht="15" customHeight="1" s="14">
      <c r="A426" s="18" t="n">
        <v>812</v>
      </c>
    </row>
    <row r="427" ht="15" customHeight="1" s="14">
      <c r="A427" s="18" t="n">
        <v>813</v>
      </c>
    </row>
    <row r="428" ht="15" customHeight="1" s="14">
      <c r="A428" s="18" t="n">
        <v>814</v>
      </c>
    </row>
    <row r="429" ht="15" customHeight="1" s="14">
      <c r="A429" s="18" t="n">
        <v>817</v>
      </c>
    </row>
    <row r="430" ht="15" customHeight="1" s="14">
      <c r="A430" s="18" t="n">
        <v>818</v>
      </c>
    </row>
    <row r="431" ht="15" customHeight="1" s="14">
      <c r="A431" s="18" t="n">
        <v>819</v>
      </c>
    </row>
    <row r="432" ht="15" customHeight="1" s="14">
      <c r="A432" s="18" t="n">
        <v>821</v>
      </c>
    </row>
    <row r="433" ht="15" customHeight="1" s="14">
      <c r="A433" s="18" t="n">
        <v>822</v>
      </c>
    </row>
    <row r="434" ht="15" customHeight="1" s="14">
      <c r="A434" s="18" t="n">
        <v>823</v>
      </c>
    </row>
    <row r="435" ht="15" customHeight="1" s="14">
      <c r="A435" s="18" t="n">
        <v>824</v>
      </c>
    </row>
    <row r="436" ht="15" customHeight="1" s="14">
      <c r="A436" s="18" t="n">
        <v>826</v>
      </c>
    </row>
    <row r="437" ht="15" customHeight="1" s="14">
      <c r="A437" s="18" t="n">
        <v>829</v>
      </c>
    </row>
    <row r="438" ht="15" customHeight="1" s="14">
      <c r="A438" s="18" t="n">
        <v>830</v>
      </c>
    </row>
    <row r="439" ht="15" customHeight="1" s="14">
      <c r="A439" s="18" t="n">
        <v>831</v>
      </c>
    </row>
    <row r="440" ht="15" customHeight="1" s="14">
      <c r="A440" s="18" t="n">
        <v>832</v>
      </c>
    </row>
    <row r="441" ht="15" customHeight="1" s="14">
      <c r="A441" s="18" t="n">
        <v>833</v>
      </c>
    </row>
    <row r="442" ht="15" customHeight="1" s="14">
      <c r="A442" s="18" t="n">
        <v>834</v>
      </c>
    </row>
    <row r="443" ht="15" customHeight="1" s="14">
      <c r="A443" s="18" t="n">
        <v>835</v>
      </c>
    </row>
    <row r="444" ht="15" customHeight="1" s="14">
      <c r="A444" s="18" t="n">
        <v>836</v>
      </c>
    </row>
    <row r="445" ht="15" customHeight="1" s="14">
      <c r="A445" s="18" t="n">
        <v>838</v>
      </c>
    </row>
    <row r="446" ht="15" customHeight="1" s="14">
      <c r="A446" s="18" t="n">
        <v>839</v>
      </c>
    </row>
    <row r="447" ht="15" customHeight="1" s="14">
      <c r="A447" s="18" t="n">
        <v>840</v>
      </c>
    </row>
    <row r="448" ht="15" customHeight="1" s="14">
      <c r="A448" s="18" t="n">
        <v>841</v>
      </c>
    </row>
    <row r="449" ht="15" customHeight="1" s="14">
      <c r="A449" s="18" t="n">
        <v>843</v>
      </c>
    </row>
    <row r="450" ht="15" customHeight="1" s="14">
      <c r="A450" s="18" t="n">
        <v>844</v>
      </c>
    </row>
    <row r="451" ht="15" customHeight="1" s="14">
      <c r="A451" s="18" t="n">
        <v>845</v>
      </c>
    </row>
    <row r="452" ht="15" customHeight="1" s="14">
      <c r="A452" s="18" t="n">
        <v>846</v>
      </c>
    </row>
    <row r="453" ht="15" customHeight="1" s="14">
      <c r="A453" s="18" t="n">
        <v>848</v>
      </c>
    </row>
    <row r="454" ht="15" customHeight="1" s="14">
      <c r="A454" s="18" t="n">
        <v>849</v>
      </c>
    </row>
    <row r="455" ht="15" customHeight="1" s="14">
      <c r="A455" s="18" t="n">
        <v>850</v>
      </c>
    </row>
    <row r="456" ht="15" customHeight="1" s="14">
      <c r="A456" s="18" t="n">
        <v>851</v>
      </c>
    </row>
    <row r="457" ht="15" customHeight="1" s="14">
      <c r="A457" s="18" t="n">
        <v>852</v>
      </c>
    </row>
    <row r="458" ht="15" customHeight="1" s="14">
      <c r="A458" s="18" t="n">
        <v>855</v>
      </c>
    </row>
    <row r="459" ht="15" customHeight="1" s="14">
      <c r="A459" s="18" t="n">
        <v>856</v>
      </c>
    </row>
    <row r="460" ht="15" customHeight="1" s="14">
      <c r="A460" s="18" t="n">
        <v>857</v>
      </c>
    </row>
    <row r="461" ht="15" customHeight="1" s="14">
      <c r="A461" s="18" t="n">
        <v>859</v>
      </c>
    </row>
    <row r="462" ht="15" customHeight="1" s="14">
      <c r="A462" s="18" t="n">
        <v>864</v>
      </c>
    </row>
    <row r="463" ht="15" customHeight="1" s="14">
      <c r="A463" s="18" t="n">
        <v>867</v>
      </c>
    </row>
    <row r="464" ht="15" customHeight="1" s="14">
      <c r="A464" s="18" t="n">
        <v>875</v>
      </c>
    </row>
    <row r="465" ht="15" customHeight="1" s="14">
      <c r="A465" s="18" t="n">
        <v>881</v>
      </c>
    </row>
    <row r="466" ht="15" customHeight="1" s="14">
      <c r="A466" s="18" t="n">
        <v>882</v>
      </c>
    </row>
    <row r="467" ht="15" customHeight="1" s="14">
      <c r="A467" s="18" t="n">
        <v>884</v>
      </c>
    </row>
    <row r="468" ht="15" customHeight="1" s="14">
      <c r="A468" s="18" t="n">
        <v>886</v>
      </c>
    </row>
    <row r="469" ht="15" customHeight="1" s="14">
      <c r="A469" s="18" t="n">
        <v>887</v>
      </c>
    </row>
    <row r="470" ht="15" customHeight="1" s="14">
      <c r="A470" s="18" t="n">
        <v>888</v>
      </c>
    </row>
    <row r="471" ht="15" customHeight="1" s="14">
      <c r="A471" s="18" t="n">
        <v>889</v>
      </c>
    </row>
    <row r="472" ht="15" customHeight="1" s="14">
      <c r="A472" s="18" t="n">
        <v>893</v>
      </c>
    </row>
    <row r="473" ht="15" customHeight="1" s="14">
      <c r="A473" s="18" t="n">
        <v>895</v>
      </c>
    </row>
    <row r="474" ht="15" customHeight="1" s="14">
      <c r="A474" s="18" t="n">
        <v>897</v>
      </c>
    </row>
    <row r="475" ht="15" customHeight="1" s="14">
      <c r="A475" s="18" t="n">
        <v>898</v>
      </c>
    </row>
    <row r="476" ht="15" customHeight="1" s="14">
      <c r="A476" s="18" t="n">
        <v>899</v>
      </c>
    </row>
    <row r="477" ht="15" customHeight="1" s="14">
      <c r="A477" s="18" t="n">
        <v>902</v>
      </c>
    </row>
    <row r="478" ht="15" customHeight="1" s="14">
      <c r="A478" s="18" t="n">
        <v>903</v>
      </c>
    </row>
    <row r="479" ht="15" customHeight="1" s="14">
      <c r="A479" s="18" t="n">
        <v>904</v>
      </c>
    </row>
    <row r="480" ht="15" customHeight="1" s="14">
      <c r="A480" s="18" t="n">
        <v>906</v>
      </c>
    </row>
    <row r="481" ht="15" customHeight="1" s="14">
      <c r="A481" s="18" t="n">
        <v>907</v>
      </c>
    </row>
    <row r="482" ht="15" customHeight="1" s="14">
      <c r="A482" s="18" t="n">
        <v>909</v>
      </c>
    </row>
    <row r="483" ht="15" customHeight="1" s="14">
      <c r="A483" s="18" t="n">
        <v>910</v>
      </c>
    </row>
    <row r="484" ht="15" customHeight="1" s="14">
      <c r="A484" s="18" t="n">
        <v>913</v>
      </c>
    </row>
    <row r="485" ht="15" customHeight="1" s="14">
      <c r="A485" s="18" t="n">
        <v>914</v>
      </c>
    </row>
    <row r="486" ht="15" customHeight="1" s="14">
      <c r="A486" s="18" t="n">
        <v>915</v>
      </c>
    </row>
    <row r="487" ht="15" customHeight="1" s="14">
      <c r="A487" s="18" t="n">
        <v>921</v>
      </c>
    </row>
    <row r="488" ht="15" customHeight="1" s="14">
      <c r="A488" s="18" t="n">
        <v>922</v>
      </c>
    </row>
    <row r="489" ht="15" customHeight="1" s="14">
      <c r="A489" s="18" t="n">
        <v>923</v>
      </c>
    </row>
    <row r="490" ht="15" customHeight="1" s="14">
      <c r="A490" s="18" t="n">
        <v>924</v>
      </c>
    </row>
    <row r="491" ht="15" customHeight="1" s="14">
      <c r="A491" s="18" t="n">
        <v>925</v>
      </c>
    </row>
    <row r="492" ht="15" customHeight="1" s="14">
      <c r="A492" s="18" t="n">
        <v>926</v>
      </c>
    </row>
    <row r="493" ht="15" customHeight="1" s="14">
      <c r="A493" s="18" t="n">
        <v>928</v>
      </c>
    </row>
    <row r="494" ht="15" customHeight="1" s="14">
      <c r="A494" s="18" t="n">
        <v>930</v>
      </c>
    </row>
    <row r="495" ht="15" customHeight="1" s="14">
      <c r="A495" s="18" t="n">
        <v>931</v>
      </c>
    </row>
    <row r="496" ht="15" customHeight="1" s="14">
      <c r="A496" s="18" t="n">
        <v>934</v>
      </c>
    </row>
    <row r="497" ht="15" customHeight="1" s="14">
      <c r="A497" s="18" t="n">
        <v>935</v>
      </c>
    </row>
    <row r="498" ht="15" customHeight="1" s="14">
      <c r="A498" s="18" t="n">
        <v>936</v>
      </c>
    </row>
    <row r="499" ht="15" customHeight="1" s="14">
      <c r="A499" s="18" t="n">
        <v>939</v>
      </c>
    </row>
    <row r="500" ht="15" customHeight="1" s="14">
      <c r="A500" s="18" t="n">
        <v>940</v>
      </c>
    </row>
    <row r="501" ht="15" customHeight="1" s="14">
      <c r="A501" s="18" t="n">
        <v>941</v>
      </c>
    </row>
    <row r="502" ht="15" customHeight="1" s="14">
      <c r="A502" s="18" t="n">
        <v>944</v>
      </c>
    </row>
    <row r="503" ht="15" customHeight="1" s="14">
      <c r="A503" s="18" t="n">
        <v>946</v>
      </c>
    </row>
    <row r="504" ht="15" customHeight="1" s="14">
      <c r="A504" s="18" t="n">
        <v>948</v>
      </c>
    </row>
    <row r="505" ht="15" customHeight="1" s="14">
      <c r="A505" s="18" t="n">
        <v>956</v>
      </c>
    </row>
    <row r="506" ht="15" customHeight="1" s="14">
      <c r="A506" s="18" t="n">
        <v>957</v>
      </c>
    </row>
    <row r="507" ht="15" customHeight="1" s="14">
      <c r="A507" s="18" t="n">
        <v>958</v>
      </c>
    </row>
    <row r="508" ht="15" customHeight="1" s="14">
      <c r="A508" s="18" t="n">
        <v>961</v>
      </c>
    </row>
    <row r="509" ht="15" customHeight="1" s="14">
      <c r="A509" s="18" t="n">
        <v>962</v>
      </c>
    </row>
    <row r="510" ht="15" customHeight="1" s="14">
      <c r="A510" s="18" t="n">
        <v>966</v>
      </c>
    </row>
    <row r="511" ht="15" customHeight="1" s="14">
      <c r="A511" s="18" t="n">
        <v>968</v>
      </c>
    </row>
    <row r="512" ht="15" customHeight="1" s="14">
      <c r="A512" s="18" t="n">
        <v>970</v>
      </c>
    </row>
    <row r="513" ht="15" customHeight="1" s="14">
      <c r="A513" s="18" t="n">
        <v>972</v>
      </c>
    </row>
    <row r="514" ht="15" customHeight="1" s="14">
      <c r="A514" s="18" t="n">
        <v>973</v>
      </c>
    </row>
    <row r="515" ht="15" customHeight="1" s="14">
      <c r="A515" s="18" t="n">
        <v>974</v>
      </c>
    </row>
    <row r="516" ht="15" customHeight="1" s="14">
      <c r="A516" s="18" t="n">
        <v>975</v>
      </c>
    </row>
    <row r="517" ht="15" customHeight="1" s="14">
      <c r="A517" s="18" t="n">
        <v>976</v>
      </c>
    </row>
    <row r="518" ht="15" customHeight="1" s="14">
      <c r="A518" s="18" t="n">
        <v>977</v>
      </c>
    </row>
    <row r="519" ht="15" customHeight="1" s="14">
      <c r="A519" s="18" t="n">
        <v>979</v>
      </c>
    </row>
    <row r="520" ht="15" customHeight="1" s="14">
      <c r="A520" s="18" t="n">
        <v>980</v>
      </c>
    </row>
    <row r="521" ht="15" customHeight="1" s="14">
      <c r="A521" s="18" t="n">
        <v>982</v>
      </c>
    </row>
    <row r="522" ht="15" customHeight="1" s="14">
      <c r="A522" s="18" t="n">
        <v>984</v>
      </c>
    </row>
    <row r="523" ht="15" customHeight="1" s="14">
      <c r="A523" s="18" t="n">
        <v>988</v>
      </c>
    </row>
    <row r="524" ht="15" customHeight="1" s="14">
      <c r="A524" s="18" t="n">
        <v>989</v>
      </c>
    </row>
    <row r="525" ht="15" customHeight="1" s="14">
      <c r="A525" s="18" t="n">
        <v>991</v>
      </c>
    </row>
    <row r="526" ht="15" customHeight="1" s="14">
      <c r="A526" s="18" t="n">
        <v>992</v>
      </c>
    </row>
    <row r="527" ht="15" customHeight="1" s="14">
      <c r="A527" s="18" t="n">
        <v>993</v>
      </c>
    </row>
    <row r="528" ht="15" customHeight="1" s="14">
      <c r="A528" s="18" t="n">
        <v>995</v>
      </c>
    </row>
    <row r="529" ht="15" customHeight="1" s="14">
      <c r="A529" s="18" t="n">
        <v>996</v>
      </c>
    </row>
    <row r="530" ht="15" customHeight="1" s="14">
      <c r="A530" s="18" t="n">
        <v>997</v>
      </c>
    </row>
    <row r="531" ht="15" customHeight="1" s="14">
      <c r="A531" s="18" t="n">
        <v>1003</v>
      </c>
    </row>
    <row r="532" ht="15" customHeight="1" s="14">
      <c r="A532" s="18" t="n">
        <v>1004</v>
      </c>
    </row>
    <row r="533" ht="15" customHeight="1" s="14">
      <c r="A533" s="18" t="n">
        <v>1005</v>
      </c>
    </row>
    <row r="534" ht="15" customHeight="1" s="14">
      <c r="A534" s="18" t="n">
        <v>1006</v>
      </c>
    </row>
    <row r="535" ht="15" customHeight="1" s="14">
      <c r="A535" s="18" t="n">
        <v>1007</v>
      </c>
    </row>
    <row r="536" ht="15" customHeight="1" s="14">
      <c r="A536" s="18" t="n">
        <v>1008</v>
      </c>
    </row>
    <row r="537" ht="15" customHeight="1" s="14">
      <c r="A537" s="18" t="n">
        <v>1009</v>
      </c>
    </row>
    <row r="538" ht="15" customHeight="1" s="14">
      <c r="A538" s="18" t="n">
        <v>1014</v>
      </c>
    </row>
    <row r="539" ht="15" customHeight="1" s="14">
      <c r="A539" s="18" t="n">
        <v>1015</v>
      </c>
    </row>
    <row r="540" ht="15" customHeight="1" s="14">
      <c r="A540" s="18" t="n">
        <v>1016</v>
      </c>
    </row>
    <row r="541" ht="15" customHeight="1" s="14">
      <c r="A541" s="18" t="n">
        <v>1017</v>
      </c>
    </row>
    <row r="542" ht="15" customHeight="1" s="14">
      <c r="A542" s="18" t="n">
        <v>1018</v>
      </c>
    </row>
    <row r="543" ht="15" customHeight="1" s="14">
      <c r="A543" s="18" t="n">
        <v>1026</v>
      </c>
    </row>
    <row r="544" ht="15" customHeight="1" s="14">
      <c r="A544" s="18" t="n">
        <v>1031</v>
      </c>
    </row>
    <row r="545" ht="15" customHeight="1" s="14">
      <c r="A545" s="18" t="n">
        <v>1032</v>
      </c>
    </row>
    <row r="546" ht="15" customHeight="1" s="14">
      <c r="A546" s="18" t="n">
        <v>1033</v>
      </c>
    </row>
    <row r="547" ht="15" customHeight="1" s="14">
      <c r="A547" s="18" t="n">
        <v>1034</v>
      </c>
    </row>
    <row r="548" ht="15" customHeight="1" s="14">
      <c r="A548" s="18" t="n">
        <v>1035</v>
      </c>
    </row>
    <row r="549" ht="15" customHeight="1" s="14">
      <c r="A549" s="18" t="n">
        <v>1036</v>
      </c>
    </row>
    <row r="550" ht="15" customHeight="1" s="14">
      <c r="A550" s="18" t="n">
        <v>1038</v>
      </c>
    </row>
    <row r="551" ht="15" customHeight="1" s="14">
      <c r="A551" s="18" t="n">
        <v>1040</v>
      </c>
    </row>
    <row r="552" ht="15" customHeight="1" s="14">
      <c r="A552" s="18" t="n">
        <v>1042</v>
      </c>
    </row>
    <row r="553" ht="15" customHeight="1" s="14">
      <c r="A553" s="18" t="n">
        <v>1043</v>
      </c>
    </row>
    <row r="554" ht="15" customHeight="1" s="14">
      <c r="A554" s="18" t="n">
        <v>1044</v>
      </c>
    </row>
    <row r="555" ht="15" customHeight="1" s="14">
      <c r="A555" s="18" t="n">
        <v>1045</v>
      </c>
    </row>
    <row r="556" ht="15" customHeight="1" s="14">
      <c r="A556" s="18" t="n">
        <v>1046</v>
      </c>
    </row>
    <row r="557" ht="15" customHeight="1" s="14">
      <c r="A557" s="18" t="n">
        <v>1049</v>
      </c>
    </row>
    <row r="558" ht="15" customHeight="1" s="14">
      <c r="A558" s="18" t="n">
        <v>1050</v>
      </c>
    </row>
    <row r="559" ht="15" customHeight="1" s="14">
      <c r="A559" s="18" t="n">
        <v>1051</v>
      </c>
    </row>
    <row r="560" ht="15" customHeight="1" s="14">
      <c r="A560" s="18" t="n">
        <v>1054</v>
      </c>
    </row>
    <row r="561" ht="15" customHeight="1" s="14">
      <c r="A561" s="18" t="n">
        <v>1055</v>
      </c>
    </row>
    <row r="562" ht="15" customHeight="1" s="14">
      <c r="A562" s="18" t="n">
        <v>1057</v>
      </c>
    </row>
    <row r="563" ht="15" customHeight="1" s="14">
      <c r="A563" s="18" t="n">
        <v>1058</v>
      </c>
    </row>
    <row r="564" ht="15" customHeight="1" s="14">
      <c r="A564" s="18" t="n">
        <v>1060</v>
      </c>
    </row>
    <row r="565" ht="15" customHeight="1" s="14">
      <c r="A565" s="18" t="n">
        <v>1062</v>
      </c>
    </row>
    <row r="566" ht="15" customHeight="1" s="14">
      <c r="A566" s="18" t="n">
        <v>1067</v>
      </c>
    </row>
    <row r="567" ht="15" customHeight="1" s="14">
      <c r="A567" s="18" t="n">
        <v>1068</v>
      </c>
    </row>
    <row r="568" ht="15" customHeight="1" s="14">
      <c r="A568" s="18" t="n">
        <v>1072</v>
      </c>
    </row>
    <row r="569" ht="15" customHeight="1" s="14">
      <c r="A569" s="18" t="n">
        <v>1076</v>
      </c>
    </row>
    <row r="570" ht="15" customHeight="1" s="14">
      <c r="A570" s="18" t="n">
        <v>1080</v>
      </c>
    </row>
    <row r="571" ht="15" customHeight="1" s="14">
      <c r="A571" s="18" t="n">
        <v>1101</v>
      </c>
    </row>
    <row r="572" ht="15" customHeight="1" s="14">
      <c r="A572" s="18" t="n">
        <v>1103</v>
      </c>
    </row>
    <row r="573" ht="15" customHeight="1" s="14">
      <c r="A573" s="18" t="n">
        <v>1104</v>
      </c>
    </row>
    <row r="574" ht="15" customHeight="1" s="14">
      <c r="A574" s="18" t="n">
        <v>1106</v>
      </c>
    </row>
    <row r="575" ht="15" customHeight="1" s="14">
      <c r="A575" s="18" t="n">
        <v>1107</v>
      </c>
    </row>
    <row r="576" ht="15" customHeight="1" s="14">
      <c r="A576" s="18" t="n">
        <v>1110</v>
      </c>
    </row>
    <row r="577" ht="15" customHeight="1" s="14">
      <c r="A577" s="18" t="n">
        <v>1112</v>
      </c>
    </row>
    <row r="578" ht="15" customHeight="1" s="14">
      <c r="A578" s="18" t="n">
        <v>1113</v>
      </c>
    </row>
    <row r="579" ht="15" customHeight="1" s="14">
      <c r="A579" s="18" t="n">
        <v>1114</v>
      </c>
    </row>
    <row r="580" ht="15" customHeight="1" s="14">
      <c r="A580" s="18" t="n">
        <v>1117</v>
      </c>
    </row>
    <row r="581" ht="15" customHeight="1" s="14">
      <c r="A581" s="18" t="n">
        <v>1121</v>
      </c>
    </row>
    <row r="582" ht="15" customHeight="1" s="14">
      <c r="A582" s="18" t="n">
        <v>1122</v>
      </c>
    </row>
    <row r="583" ht="15" customHeight="1" s="14">
      <c r="A583" s="18" t="n">
        <v>1130</v>
      </c>
    </row>
    <row r="584" ht="15" customHeight="1" s="14">
      <c r="A584" s="18" t="n">
        <v>1131</v>
      </c>
    </row>
    <row r="585" ht="15" customHeight="1" s="14">
      <c r="A585" s="18" t="n">
        <v>1132</v>
      </c>
    </row>
    <row r="586" ht="15" customHeight="1" s="14">
      <c r="A586" s="18" t="n">
        <v>1136</v>
      </c>
    </row>
    <row r="587" ht="15" customHeight="1" s="14">
      <c r="A587" s="18" t="n">
        <v>1137</v>
      </c>
    </row>
    <row r="588" ht="15" customHeight="1" s="14">
      <c r="A588" s="18" t="n">
        <v>1141</v>
      </c>
    </row>
    <row r="589" ht="15" customHeight="1" s="14">
      <c r="A589" s="18" t="n">
        <v>1142</v>
      </c>
    </row>
    <row r="590" ht="15" customHeight="1" s="14">
      <c r="A590" s="18" t="n">
        <v>1143</v>
      </c>
    </row>
    <row r="591" ht="15" customHeight="1" s="14">
      <c r="A591" s="18" t="n">
        <v>1144</v>
      </c>
    </row>
    <row r="592" ht="15" customHeight="1" s="14">
      <c r="A592" s="18" t="n">
        <v>1145</v>
      </c>
    </row>
    <row r="593" ht="15" customHeight="1" s="14">
      <c r="A593" s="18" t="n">
        <v>1146</v>
      </c>
    </row>
    <row r="594" ht="15" customHeight="1" s="14">
      <c r="A594" s="18" t="n">
        <v>1147</v>
      </c>
    </row>
    <row r="595" ht="15" customHeight="1" s="14">
      <c r="A595" s="18" t="n">
        <v>1148</v>
      </c>
    </row>
    <row r="596" ht="15" customHeight="1" s="14">
      <c r="A596" s="18" t="n">
        <v>1149</v>
      </c>
    </row>
    <row r="597" ht="15" customHeight="1" s="14">
      <c r="A597" s="18" t="n">
        <v>1154</v>
      </c>
    </row>
    <row r="598" ht="15" customHeight="1" s="14">
      <c r="A598" s="18" t="n">
        <v>1156</v>
      </c>
    </row>
    <row r="599" ht="15" customHeight="1" s="14">
      <c r="A599" s="18" t="n">
        <v>1161</v>
      </c>
    </row>
    <row r="600" ht="15" customHeight="1" s="14">
      <c r="A600" s="18" t="n">
        <v>1162</v>
      </c>
    </row>
    <row r="601" ht="15" customHeight="1" s="14">
      <c r="A601" s="18" t="n">
        <v>1164</v>
      </c>
    </row>
    <row r="602" ht="15" customHeight="1" s="14">
      <c r="A602" s="18" t="n">
        <v>1165</v>
      </c>
    </row>
    <row r="603" ht="15" customHeight="1" s="14">
      <c r="A603" s="18" t="n">
        <v>1169</v>
      </c>
    </row>
    <row r="604" ht="15" customHeight="1" s="14">
      <c r="A604" s="18" t="n">
        <v>1173</v>
      </c>
    </row>
    <row r="605" ht="15" customHeight="1" s="14">
      <c r="A605" s="18" t="n">
        <v>1179</v>
      </c>
    </row>
    <row r="606" ht="15" customHeight="1" s="14">
      <c r="A606" s="18" t="n">
        <v>1180</v>
      </c>
    </row>
    <row r="607" ht="15" customHeight="1" s="14">
      <c r="A607" s="18" t="n">
        <v>1181</v>
      </c>
    </row>
    <row r="608" ht="15" customHeight="1" s="14">
      <c r="A608" s="18" t="n">
        <v>1182</v>
      </c>
    </row>
    <row r="609" ht="15" customHeight="1" s="14">
      <c r="A609" s="18" t="n">
        <v>1183</v>
      </c>
    </row>
    <row r="610" ht="15" customHeight="1" s="14">
      <c r="A610" s="18" t="n">
        <v>1193</v>
      </c>
    </row>
    <row r="611" ht="15" customHeight="1" s="14">
      <c r="A611" s="18" t="n">
        <v>1196</v>
      </c>
    </row>
    <row r="612" ht="15" customHeight="1" s="14">
      <c r="A612" s="18" t="n">
        <v>1197</v>
      </c>
    </row>
    <row r="613" ht="15" customHeight="1" s="14">
      <c r="A613" s="18" t="n">
        <v>1201</v>
      </c>
    </row>
    <row r="614" ht="15" customHeight="1" s="14">
      <c r="A614" s="18" t="n">
        <v>1202</v>
      </c>
    </row>
    <row r="615" ht="15" customHeight="1" s="14">
      <c r="A615" s="18" t="n">
        <v>1203</v>
      </c>
    </row>
    <row r="616" ht="15" customHeight="1" s="14">
      <c r="A616" s="18" t="n">
        <v>1204</v>
      </c>
    </row>
    <row r="617" ht="15" customHeight="1" s="14">
      <c r="A617" s="18" t="n">
        <v>1205</v>
      </c>
    </row>
    <row r="618" ht="15" customHeight="1" s="14">
      <c r="A618" s="18" t="n">
        <v>1206</v>
      </c>
    </row>
    <row r="619" ht="15" customHeight="1" s="14">
      <c r="A619" s="18" t="n">
        <v>1207</v>
      </c>
    </row>
    <row r="620" ht="15" customHeight="1" s="14">
      <c r="A620" s="18" t="n">
        <v>1208</v>
      </c>
    </row>
    <row r="621" ht="15" customHeight="1" s="14">
      <c r="A621" s="18" t="n">
        <v>1209</v>
      </c>
    </row>
    <row r="622" ht="15" customHeight="1" s="14">
      <c r="A622" s="18" t="n">
        <v>1211</v>
      </c>
    </row>
    <row r="623" ht="15" customHeight="1" s="14">
      <c r="A623" s="18" t="n">
        <v>1218</v>
      </c>
    </row>
    <row r="624" ht="15" customHeight="1" s="14">
      <c r="A624" s="18" t="n">
        <v>1219</v>
      </c>
    </row>
    <row r="625" ht="15" customHeight="1" s="14">
      <c r="A625" s="18" t="n">
        <v>1220</v>
      </c>
    </row>
    <row r="626" ht="15" customHeight="1" s="14">
      <c r="A626" s="18" t="n">
        <v>1221</v>
      </c>
    </row>
    <row r="627" ht="15" customHeight="1" s="14">
      <c r="A627" s="18" t="n">
        <v>1222</v>
      </c>
    </row>
    <row r="628" ht="15" customHeight="1" s="14">
      <c r="A628" s="18" t="n">
        <v>1223</v>
      </c>
    </row>
    <row r="629" ht="15" customHeight="1" s="14">
      <c r="A629" s="18" t="n">
        <v>1225</v>
      </c>
    </row>
    <row r="630" ht="15" customHeight="1" s="14">
      <c r="A630" s="18" t="n">
        <v>1226</v>
      </c>
    </row>
    <row r="631" ht="15" customHeight="1" s="14">
      <c r="A631" s="18" t="n">
        <v>1234</v>
      </c>
    </row>
    <row r="632" ht="15" customHeight="1" s="14">
      <c r="A632" s="18" t="n">
        <v>1238</v>
      </c>
    </row>
    <row r="633" ht="15" customHeight="1" s="14">
      <c r="A633" s="18" t="n">
        <v>1239</v>
      </c>
    </row>
    <row r="634" ht="15" customHeight="1" s="14">
      <c r="A634" s="18" t="n">
        <v>1242</v>
      </c>
    </row>
    <row r="635" ht="15" customHeight="1" s="14">
      <c r="A635" s="18" t="n">
        <v>1244</v>
      </c>
    </row>
    <row r="636" ht="15" customHeight="1" s="14">
      <c r="A636" s="18" t="n">
        <v>1245</v>
      </c>
    </row>
    <row r="637" ht="15" customHeight="1" s="14">
      <c r="A637" s="18" t="n">
        <v>1246</v>
      </c>
    </row>
    <row r="638" ht="15" customHeight="1" s="14">
      <c r="A638" s="18" t="n">
        <v>1247</v>
      </c>
    </row>
    <row r="639" ht="15" customHeight="1" s="14">
      <c r="A639" s="18" t="n">
        <v>1248</v>
      </c>
    </row>
    <row r="640" ht="15" customHeight="1" s="14">
      <c r="A640" s="18" t="n">
        <v>1249</v>
      </c>
    </row>
    <row r="641" ht="15" customHeight="1" s="14">
      <c r="A641" s="18" t="n">
        <v>1251</v>
      </c>
    </row>
    <row r="642" ht="15" customHeight="1" s="14">
      <c r="A642" s="18" t="n">
        <v>1252</v>
      </c>
    </row>
    <row r="643" ht="15" customHeight="1" s="14">
      <c r="A643" s="18" t="n">
        <v>1253</v>
      </c>
    </row>
    <row r="644" ht="15" customHeight="1" s="14">
      <c r="A644" s="18" t="n">
        <v>1254</v>
      </c>
    </row>
    <row r="645" ht="15" customHeight="1" s="14">
      <c r="A645" s="18" t="n">
        <v>1255</v>
      </c>
    </row>
    <row r="646" ht="15" customHeight="1" s="14">
      <c r="A646" s="18" t="n">
        <v>1256</v>
      </c>
    </row>
    <row r="647" ht="15" customHeight="1" s="14">
      <c r="A647" s="18" t="n">
        <v>1257</v>
      </c>
    </row>
    <row r="648" ht="15" customHeight="1" s="14">
      <c r="A648" s="18" t="n">
        <v>1258</v>
      </c>
    </row>
    <row r="649" ht="15" customHeight="1" s="14">
      <c r="A649" s="18" t="n">
        <v>1259</v>
      </c>
    </row>
    <row r="650" ht="15" customHeight="1" s="14">
      <c r="A650" s="18" t="n">
        <v>1260</v>
      </c>
    </row>
    <row r="651" ht="15" customHeight="1" s="14">
      <c r="A651" s="18" t="n">
        <v>1261</v>
      </c>
    </row>
    <row r="652" ht="15" customHeight="1" s="14">
      <c r="A652" s="18" t="n">
        <v>1264</v>
      </c>
    </row>
    <row r="653" ht="15" customHeight="1" s="14">
      <c r="A653" s="18" t="n">
        <v>1266</v>
      </c>
    </row>
    <row r="654" ht="15" customHeight="1" s="14">
      <c r="A654" s="18" t="n">
        <v>1267</v>
      </c>
    </row>
    <row r="655" ht="15" customHeight="1" s="14">
      <c r="A655" s="18" t="n">
        <v>1270</v>
      </c>
    </row>
    <row r="656" ht="15" customHeight="1" s="14">
      <c r="A656" s="18" t="n">
        <v>1273</v>
      </c>
    </row>
    <row r="657" ht="15" customHeight="1" s="14">
      <c r="A657" s="18" t="n">
        <v>1275</v>
      </c>
    </row>
    <row r="658" ht="15" customHeight="1" s="14">
      <c r="A658" s="18" t="n">
        <v>1276</v>
      </c>
    </row>
    <row r="659" ht="15" customHeight="1" s="14">
      <c r="A659" s="18" t="n">
        <v>1277</v>
      </c>
    </row>
    <row r="660" ht="15" customHeight="1" s="14">
      <c r="A660" s="18" t="n">
        <v>1279</v>
      </c>
    </row>
    <row r="661" ht="15" customHeight="1" s="14">
      <c r="A661" s="18" t="n">
        <v>1280</v>
      </c>
    </row>
    <row r="662" ht="15" customHeight="1" s="14">
      <c r="A662" s="18" t="n">
        <v>1282</v>
      </c>
    </row>
    <row r="663" ht="15" customHeight="1" s="14">
      <c r="A663" s="18" t="n">
        <v>1283</v>
      </c>
    </row>
    <row r="664" ht="15" customHeight="1" s="14">
      <c r="A664" s="18" t="n">
        <v>1286</v>
      </c>
    </row>
    <row r="665" ht="15" customHeight="1" s="14">
      <c r="A665" s="18" t="n">
        <v>1287</v>
      </c>
    </row>
    <row r="666" ht="15" customHeight="1" s="14">
      <c r="A666" s="18" t="n">
        <v>1288</v>
      </c>
    </row>
    <row r="667" ht="15" customHeight="1" s="14">
      <c r="A667" s="18" t="n">
        <v>1289</v>
      </c>
    </row>
    <row r="668" ht="15" customHeight="1" s="14">
      <c r="A668" s="18" t="n">
        <v>1291</v>
      </c>
    </row>
    <row r="669" ht="15" customHeight="1" s="14">
      <c r="A669" s="18" t="n">
        <v>1292</v>
      </c>
    </row>
    <row r="670" ht="15" customHeight="1" s="14">
      <c r="A670" s="18" t="n">
        <v>1293</v>
      </c>
    </row>
    <row r="671" ht="15" customHeight="1" s="14">
      <c r="A671" s="18" t="n">
        <v>1294</v>
      </c>
    </row>
    <row r="672" ht="15" customHeight="1" s="14">
      <c r="A672" s="18" t="n">
        <v>1295</v>
      </c>
    </row>
    <row r="673" ht="15" customHeight="1" s="14">
      <c r="A673" s="18" t="n">
        <v>1301</v>
      </c>
    </row>
    <row r="674" ht="15" customHeight="1" s="14">
      <c r="A674" s="18" t="n">
        <v>1303</v>
      </c>
    </row>
    <row r="675" ht="15" customHeight="1" s="14">
      <c r="A675" s="18" t="n">
        <v>1306</v>
      </c>
    </row>
    <row r="676" ht="15" customHeight="1" s="14">
      <c r="A676" s="18" t="n">
        <v>1309</v>
      </c>
    </row>
    <row r="677" ht="15" customHeight="1" s="14">
      <c r="A677" s="18" t="n">
        <v>1311</v>
      </c>
    </row>
    <row r="678" ht="15" customHeight="1" s="14">
      <c r="A678" s="18" t="n">
        <v>1314</v>
      </c>
    </row>
    <row r="679" ht="15" customHeight="1" s="14">
      <c r="A679" s="18" t="n">
        <v>1316</v>
      </c>
    </row>
    <row r="680" ht="15" customHeight="1" s="14">
      <c r="A680" s="18" t="n">
        <v>1328</v>
      </c>
    </row>
    <row r="681" ht="15" customHeight="1" s="14">
      <c r="A681" s="18" t="n">
        <v>1329</v>
      </c>
    </row>
    <row r="682" ht="15" customHeight="1" s="14">
      <c r="A682" s="18" t="n">
        <v>1334</v>
      </c>
    </row>
    <row r="683" ht="15" customHeight="1" s="14">
      <c r="A683" s="18" t="n">
        <v>1336</v>
      </c>
    </row>
    <row r="684" ht="15" customHeight="1" s="14">
      <c r="A684" s="18" t="n">
        <v>1341</v>
      </c>
    </row>
    <row r="685" ht="15" customHeight="1" s="14">
      <c r="A685" s="18" t="n">
        <v>1354</v>
      </c>
    </row>
    <row r="686" ht="15" customHeight="1" s="14">
      <c r="A686" s="18" t="n">
        <v>1355</v>
      </c>
    </row>
    <row r="687" ht="15" customHeight="1" s="14">
      <c r="A687" s="18" t="n">
        <v>1357</v>
      </c>
    </row>
    <row r="688" ht="15" customHeight="1" s="14">
      <c r="A688" s="18" t="n">
        <v>1359</v>
      </c>
    </row>
    <row r="689" ht="15" customHeight="1" s="14">
      <c r="A689" s="18" t="n">
        <v>1366</v>
      </c>
    </row>
    <row r="690" ht="15" customHeight="1" s="14">
      <c r="A690" s="18" t="n">
        <v>1371</v>
      </c>
    </row>
    <row r="691" ht="15" customHeight="1" s="14">
      <c r="A691" s="18" t="n">
        <v>1372</v>
      </c>
    </row>
    <row r="692" ht="15" customHeight="1" s="14">
      <c r="A692" s="18" t="n">
        <v>1373</v>
      </c>
    </row>
    <row r="693" ht="15" customHeight="1" s="14">
      <c r="A693" s="18" t="n">
        <v>1374</v>
      </c>
    </row>
    <row r="694" ht="15" customHeight="1" s="14">
      <c r="A694" s="18" t="n">
        <v>1378</v>
      </c>
    </row>
    <row r="695" ht="15" customHeight="1" s="14">
      <c r="A695" s="18" t="n">
        <v>1382</v>
      </c>
    </row>
    <row r="696" ht="15" customHeight="1" s="14">
      <c r="A696" s="18" t="n">
        <v>1388</v>
      </c>
    </row>
    <row r="697" ht="15" customHeight="1" s="14">
      <c r="A697" s="18" t="n">
        <v>1395</v>
      </c>
    </row>
    <row r="698" ht="15" customHeight="1" s="14">
      <c r="A698" s="18" t="n">
        <v>1402</v>
      </c>
    </row>
    <row r="699" ht="15" customHeight="1" s="14">
      <c r="A699" s="18" t="n">
        <v>1410</v>
      </c>
    </row>
    <row r="700" ht="15" customHeight="1" s="14">
      <c r="A700" s="18" t="n">
        <v>1413</v>
      </c>
    </row>
    <row r="701" ht="15" customHeight="1" s="14">
      <c r="A701" s="18" t="n">
        <v>1414</v>
      </c>
    </row>
    <row r="702" ht="15" customHeight="1" s="14">
      <c r="A702" s="18" t="n">
        <v>1415</v>
      </c>
    </row>
    <row r="703" ht="15" customHeight="1" s="14">
      <c r="A703" s="18" t="n">
        <v>1420</v>
      </c>
    </row>
    <row r="704" ht="15" customHeight="1" s="14">
      <c r="A704" s="18" t="n">
        <v>1424</v>
      </c>
    </row>
    <row r="705" ht="15" customHeight="1" s="14">
      <c r="A705" s="18" t="n">
        <v>1438</v>
      </c>
    </row>
    <row r="706" ht="15" customHeight="1" s="14">
      <c r="A706" s="18" t="n">
        <v>1439</v>
      </c>
    </row>
    <row r="707" ht="15" customHeight="1" s="14">
      <c r="A707" s="18" t="n">
        <v>1440</v>
      </c>
    </row>
    <row r="708" ht="15" customHeight="1" s="14">
      <c r="A708" s="18" t="n">
        <v>1453</v>
      </c>
    </row>
    <row r="709" ht="15" customHeight="1" s="14">
      <c r="A709" s="18" t="n">
        <v>1460</v>
      </c>
    </row>
    <row r="710" ht="15" customHeight="1" s="14">
      <c r="A710" s="18" t="n">
        <v>1462</v>
      </c>
    </row>
    <row r="711" ht="15" customHeight="1" s="14">
      <c r="A711" s="18" t="n">
        <v>1464</v>
      </c>
    </row>
    <row r="712" ht="15" customHeight="1" s="14">
      <c r="A712" s="18" t="n">
        <v>1472</v>
      </c>
    </row>
    <row r="713" ht="15" customHeight="1" s="14">
      <c r="A713" s="18" t="n">
        <v>1489</v>
      </c>
    </row>
    <row r="714" ht="15" customHeight="1" s="14">
      <c r="A714" s="18" t="n">
        <v>1491</v>
      </c>
    </row>
    <row r="715" ht="15" customHeight="1" s="14">
      <c r="A715" s="18" t="n">
        <v>1492</v>
      </c>
    </row>
    <row r="716" ht="15" customHeight="1" s="14">
      <c r="A716" s="18" t="n">
        <v>1499</v>
      </c>
    </row>
    <row r="717" ht="15" customHeight="1" s="14">
      <c r="A717" s="18" t="n">
        <v>1501</v>
      </c>
    </row>
    <row r="718" ht="15" customHeight="1" s="14">
      <c r="A718" s="18" t="n">
        <v>1512</v>
      </c>
    </row>
    <row r="719" ht="15" customHeight="1" s="14">
      <c r="A719" s="18" t="n">
        <v>1520</v>
      </c>
    </row>
    <row r="720" ht="15" customHeight="1" s="14">
      <c r="A720" s="18" t="n">
        <v>1523</v>
      </c>
    </row>
    <row r="721" ht="15" customHeight="1" s="14">
      <c r="A721" s="18" t="n">
        <v>1544</v>
      </c>
    </row>
    <row r="722" ht="15" customHeight="1" s="14">
      <c r="A722" s="18" t="n">
        <v>1545</v>
      </c>
    </row>
    <row r="723" ht="15" customHeight="1" s="14">
      <c r="A723" s="18" t="n">
        <v>1550</v>
      </c>
    </row>
    <row r="724" ht="15" customHeight="1" s="14">
      <c r="A724" s="18" t="n">
        <v>1565</v>
      </c>
    </row>
    <row r="725" ht="15" customHeight="1" s="14">
      <c r="A725" s="18" t="n">
        <v>1573</v>
      </c>
    </row>
    <row r="726" ht="15" customHeight="1" s="14">
      <c r="A726" s="18" t="n">
        <v>1574</v>
      </c>
    </row>
    <row r="727" ht="15" customHeight="1" s="14">
      <c r="A727" s="18" t="n">
        <v>1575</v>
      </c>
    </row>
    <row r="728" ht="15" customHeight="1" s="14">
      <c r="A728" s="18" t="n">
        <v>1576</v>
      </c>
    </row>
    <row r="729" ht="15" customHeight="1" s="14">
      <c r="A729" s="18" t="n">
        <v>1582</v>
      </c>
    </row>
    <row r="730" ht="15" customHeight="1" s="14">
      <c r="A730" s="18" t="n">
        <v>1590</v>
      </c>
    </row>
    <row r="731" ht="15" customHeight="1" s="14">
      <c r="A731" s="18" t="n">
        <v>1591</v>
      </c>
    </row>
    <row r="732" ht="15" customHeight="1" s="14">
      <c r="A732" s="18" t="n">
        <v>1599</v>
      </c>
    </row>
    <row r="733" ht="15" customHeight="1" s="14">
      <c r="A733" s="18" t="n">
        <v>1600</v>
      </c>
    </row>
    <row r="734" ht="15" customHeight="1" s="14">
      <c r="A734" s="18" t="n">
        <v>1606</v>
      </c>
    </row>
    <row r="735" ht="15" customHeight="1" s="14">
      <c r="A735" s="18" t="n">
        <v>1620</v>
      </c>
    </row>
    <row r="736" ht="15" customHeight="1" s="14">
      <c r="A736" s="18" t="n">
        <v>1632</v>
      </c>
    </row>
    <row r="737" ht="15" customHeight="1" s="14">
      <c r="A737" s="18" t="n">
        <v>1635</v>
      </c>
    </row>
    <row r="738" ht="15" customHeight="1" s="14">
      <c r="A738" s="18" t="n">
        <v>1637</v>
      </c>
    </row>
    <row r="739" ht="15" customHeight="1" s="14">
      <c r="A739" s="18" t="n">
        <v>1650</v>
      </c>
    </row>
    <row r="740" ht="15" customHeight="1" s="14">
      <c r="A740" s="18" t="n">
        <v>1653</v>
      </c>
    </row>
    <row r="741" ht="15" customHeight="1" s="14">
      <c r="A741" s="18" t="n">
        <v>1655</v>
      </c>
    </row>
    <row r="742" ht="15" customHeight="1" s="14">
      <c r="A742" s="18" t="n">
        <v>1673</v>
      </c>
    </row>
    <row r="743" ht="15" customHeight="1" s="14">
      <c r="A743" s="18" t="n">
        <v>1696</v>
      </c>
    </row>
    <row r="744" ht="15" customHeight="1" s="14">
      <c r="A744" s="18" t="n">
        <v>1698</v>
      </c>
    </row>
    <row r="745" ht="15" customHeight="1" s="14">
      <c r="A745" s="18" t="n">
        <v>1704</v>
      </c>
    </row>
    <row r="746" ht="15" customHeight="1" s="14">
      <c r="A746" s="18" t="n">
        <v>1714</v>
      </c>
    </row>
    <row r="747" ht="15" customHeight="1" s="14">
      <c r="A747" s="18" t="n">
        <v>1718</v>
      </c>
    </row>
    <row r="748" ht="15" customHeight="1" s="14">
      <c r="A748" s="18" t="n">
        <v>1719</v>
      </c>
    </row>
    <row r="749" ht="15" customHeight="1" s="14">
      <c r="A749" s="18" t="n">
        <v>1727</v>
      </c>
    </row>
    <row r="750" ht="15" customHeight="1" s="14">
      <c r="A750" s="18" t="n">
        <v>1728</v>
      </c>
    </row>
    <row r="751" ht="15" customHeight="1" s="14">
      <c r="A751" s="18" t="n">
        <v>1736</v>
      </c>
    </row>
    <row r="752" ht="15" customHeight="1" s="14">
      <c r="A752" s="18" t="n">
        <v>1738</v>
      </c>
    </row>
    <row r="753" ht="15" customHeight="1" s="14">
      <c r="A753" s="18" t="n">
        <v>1742</v>
      </c>
    </row>
    <row r="754" ht="15" customHeight="1" s="14">
      <c r="A754" s="18" t="n">
        <v>1743</v>
      </c>
    </row>
    <row r="755" ht="15" customHeight="1" s="14">
      <c r="A755" s="18" t="n">
        <v>1746</v>
      </c>
    </row>
    <row r="756" ht="15" customHeight="1" s="14">
      <c r="A756" s="18" t="n">
        <v>1747</v>
      </c>
    </row>
    <row r="757" ht="15" customHeight="1" s="14">
      <c r="A757" s="18" t="n">
        <v>1748</v>
      </c>
    </row>
    <row r="758" ht="15" customHeight="1" s="14">
      <c r="A758" s="18" t="n">
        <v>1753</v>
      </c>
    </row>
    <row r="759" ht="15" customHeight="1" s="14">
      <c r="A759" s="18" t="n">
        <v>1755</v>
      </c>
    </row>
    <row r="760" ht="15" customHeight="1" s="14">
      <c r="A760" s="18" t="n">
        <v>1758</v>
      </c>
    </row>
    <row r="761" ht="15" customHeight="1" s="14">
      <c r="A761" s="18" t="n">
        <v>1773</v>
      </c>
    </row>
    <row r="762" ht="15" customHeight="1" s="14">
      <c r="A762" s="18" t="n">
        <v>1774</v>
      </c>
    </row>
    <row r="763" ht="15" customHeight="1" s="14">
      <c r="A763" s="18" t="n">
        <v>1775</v>
      </c>
    </row>
    <row r="764" ht="15" customHeight="1" s="14">
      <c r="A764" s="18" t="n">
        <v>1779</v>
      </c>
    </row>
    <row r="765" ht="15" customHeight="1" s="14">
      <c r="A765" s="18" t="n">
        <v>1780</v>
      </c>
    </row>
    <row r="766" ht="15" customHeight="1" s="14">
      <c r="A766" s="18" t="n">
        <v>1781</v>
      </c>
    </row>
    <row r="767" ht="15" customHeight="1" s="14">
      <c r="A767" s="18" t="n">
        <v>1782</v>
      </c>
    </row>
    <row r="768" ht="15" customHeight="1" s="14">
      <c r="A768" s="18" t="n">
        <v>1788</v>
      </c>
    </row>
    <row r="769" ht="15" customHeight="1" s="14">
      <c r="A769" s="18" t="n">
        <v>1812</v>
      </c>
    </row>
    <row r="770" ht="15" customHeight="1" s="14">
      <c r="A770" s="18" t="n">
        <v>1814</v>
      </c>
    </row>
    <row r="771" ht="15" customHeight="1" s="14">
      <c r="A771" s="18" t="n">
        <v>1815</v>
      </c>
    </row>
    <row r="772" ht="15" customHeight="1" s="14">
      <c r="A772" s="18" t="n">
        <v>1819</v>
      </c>
    </row>
    <row r="773" ht="15" customHeight="1" s="14">
      <c r="A773" s="18" t="n">
        <v>1822</v>
      </c>
    </row>
    <row r="774" ht="15" customHeight="1" s="14">
      <c r="A774" s="18" t="n">
        <v>1825</v>
      </c>
    </row>
    <row r="775" ht="15" customHeight="1" s="14">
      <c r="A775" s="18" t="n">
        <v>1827</v>
      </c>
    </row>
    <row r="776" ht="15" customHeight="1" s="14">
      <c r="A776" s="18" t="n">
        <v>1829</v>
      </c>
    </row>
    <row r="777" ht="15" customHeight="1" s="14">
      <c r="A777" s="18" t="n">
        <v>1832</v>
      </c>
    </row>
    <row r="778" ht="15" customHeight="1" s="14">
      <c r="A778" s="18" t="n">
        <v>1835</v>
      </c>
    </row>
    <row r="779" ht="15" customHeight="1" s="14">
      <c r="A779" s="18" t="n">
        <v>1836</v>
      </c>
    </row>
    <row r="780" ht="15" customHeight="1" s="14">
      <c r="A780" s="18" t="n">
        <v>1837</v>
      </c>
    </row>
    <row r="781" ht="15" customHeight="1" s="14">
      <c r="A781" s="18" t="n">
        <v>1838</v>
      </c>
    </row>
    <row r="782" ht="15" customHeight="1" s="14">
      <c r="A782" s="18" t="n">
        <v>1842</v>
      </c>
    </row>
    <row r="783" ht="15" customHeight="1" s="14">
      <c r="A783" s="18" t="n">
        <v>1843</v>
      </c>
    </row>
    <row r="784" ht="15" customHeight="1" s="14">
      <c r="A784" s="18" t="n">
        <v>1847</v>
      </c>
    </row>
    <row r="785" ht="15" customHeight="1" s="14">
      <c r="A785" s="18" t="n">
        <v>1848</v>
      </c>
    </row>
    <row r="786" ht="15" customHeight="1" s="14">
      <c r="A786" s="18" t="n">
        <v>1862</v>
      </c>
    </row>
    <row r="787" ht="15" customHeight="1" s="14">
      <c r="A787" s="18" t="n">
        <v>1868</v>
      </c>
    </row>
    <row r="788" ht="15" customHeight="1" s="14">
      <c r="A788" s="18" t="n">
        <v>1869</v>
      </c>
    </row>
    <row r="789" ht="15" customHeight="1" s="14">
      <c r="A789" s="18" t="n">
        <v>1870</v>
      </c>
    </row>
    <row r="790" ht="15" customHeight="1" s="14">
      <c r="A790" s="18" t="n">
        <v>1871</v>
      </c>
    </row>
    <row r="791" ht="15" customHeight="1" s="14">
      <c r="A791" s="18" t="n">
        <v>1872</v>
      </c>
    </row>
    <row r="792" ht="15" customHeight="1" s="14">
      <c r="A792" s="18" t="n">
        <v>1876</v>
      </c>
    </row>
    <row r="793" ht="15" customHeight="1" s="14">
      <c r="A793" s="18" t="n">
        <v>1877</v>
      </c>
    </row>
    <row r="794" ht="15" customHeight="1" s="14">
      <c r="A794" s="18" t="n">
        <v>1878</v>
      </c>
    </row>
    <row r="795" ht="15" customHeight="1" s="14">
      <c r="A795" s="18" t="n">
        <v>1883</v>
      </c>
    </row>
    <row r="796" ht="15" customHeight="1" s="14">
      <c r="A796" s="18" t="n">
        <v>1885</v>
      </c>
    </row>
    <row r="797" ht="15" customHeight="1" s="14">
      <c r="A797" s="18" t="n">
        <v>1886</v>
      </c>
    </row>
    <row r="798" ht="15" customHeight="1" s="14">
      <c r="A798" s="18" t="n">
        <v>1888</v>
      </c>
    </row>
    <row r="799" ht="15" customHeight="1" s="14">
      <c r="A799" s="18" t="n">
        <v>1891</v>
      </c>
    </row>
    <row r="800" ht="15" customHeight="1" s="14">
      <c r="A800" s="18" t="n">
        <v>1892</v>
      </c>
    </row>
    <row r="801" ht="15" customHeight="1" s="14">
      <c r="A801" s="18" t="n">
        <v>1893</v>
      </c>
    </row>
    <row r="802" ht="15" customHeight="1" s="14">
      <c r="A802" s="18" t="n">
        <v>1894</v>
      </c>
    </row>
    <row r="803" ht="15" customHeight="1" s="14">
      <c r="A803" s="18" t="n">
        <v>1895</v>
      </c>
    </row>
    <row r="804" ht="15" customHeight="1" s="14">
      <c r="A804" s="18" t="n">
        <v>1896</v>
      </c>
    </row>
    <row r="805" ht="15" customHeight="1" s="14">
      <c r="A805" s="18" t="n">
        <v>1897</v>
      </c>
    </row>
    <row r="806" ht="15" customHeight="1" s="14">
      <c r="A806" s="18" t="n">
        <v>1899</v>
      </c>
    </row>
    <row r="807" ht="15" customHeight="1" s="14">
      <c r="A807" s="18" t="n">
        <v>1901</v>
      </c>
    </row>
    <row r="808" ht="15" customHeight="1" s="14">
      <c r="A808" s="18" t="n">
        <v>1905</v>
      </c>
    </row>
    <row r="809" ht="15" customHeight="1" s="14">
      <c r="A809" s="18" t="n">
        <v>1906</v>
      </c>
    </row>
    <row r="810" ht="15" customHeight="1" s="14">
      <c r="A810" s="18" t="n">
        <v>1907</v>
      </c>
    </row>
    <row r="811" ht="15" customHeight="1" s="14">
      <c r="A811" s="18" t="n">
        <v>1908</v>
      </c>
    </row>
    <row r="812" ht="15" customHeight="1" s="14">
      <c r="A812" s="18" t="n">
        <v>1909</v>
      </c>
    </row>
    <row r="813" ht="15" customHeight="1" s="14">
      <c r="A813" s="18" t="n">
        <v>1910</v>
      </c>
    </row>
    <row r="814" ht="15" customHeight="1" s="14">
      <c r="A814" s="18" t="n">
        <v>1911</v>
      </c>
    </row>
    <row r="815" ht="15" customHeight="1" s="14">
      <c r="A815" s="18" t="n">
        <v>1912</v>
      </c>
    </row>
    <row r="816" ht="15" customHeight="1" s="14">
      <c r="A816" s="18" t="n">
        <v>1913</v>
      </c>
    </row>
    <row r="817" ht="15" customHeight="1" s="14">
      <c r="A817" s="18" t="n">
        <v>1915</v>
      </c>
    </row>
    <row r="818" ht="15" customHeight="1" s="14">
      <c r="A818" s="18" t="n">
        <v>1916</v>
      </c>
    </row>
    <row r="819" ht="15" customHeight="1" s="14">
      <c r="A819" s="18" t="n">
        <v>1917</v>
      </c>
    </row>
    <row r="820" ht="15" customHeight="1" s="14">
      <c r="A820" s="18" t="n">
        <v>1921</v>
      </c>
    </row>
    <row r="821" ht="15" customHeight="1" s="14">
      <c r="A821" s="18" t="n">
        <v>1922</v>
      </c>
    </row>
    <row r="822" ht="15" customHeight="1" s="14">
      <c r="A822" s="18" t="n">
        <v>1923</v>
      </c>
    </row>
    <row r="823" ht="15" customHeight="1" s="14">
      <c r="A823" s="18" t="n">
        <v>1924</v>
      </c>
    </row>
    <row r="824" ht="15" customHeight="1" s="14">
      <c r="A824" s="18" t="n">
        <v>1925</v>
      </c>
    </row>
    <row r="825" ht="15" customHeight="1" s="14">
      <c r="A825" s="18" t="n">
        <v>1926</v>
      </c>
    </row>
    <row r="826" ht="15" customHeight="1" s="14">
      <c r="A826" s="18" t="n">
        <v>1927</v>
      </c>
    </row>
    <row r="827" ht="15" customHeight="1" s="14">
      <c r="A827" s="18" t="n">
        <v>1928</v>
      </c>
    </row>
    <row r="828" ht="15" customHeight="1" s="14">
      <c r="A828" s="18" t="n">
        <v>1930</v>
      </c>
    </row>
    <row r="829" ht="15" customHeight="1" s="14">
      <c r="A829" s="18" t="n">
        <v>1932</v>
      </c>
    </row>
    <row r="830" ht="15" customHeight="1" s="14">
      <c r="A830" s="18" t="n">
        <v>1933</v>
      </c>
    </row>
    <row r="831" ht="15" customHeight="1" s="14">
      <c r="A831" s="18" t="n">
        <v>1934</v>
      </c>
    </row>
    <row r="832" ht="15" customHeight="1" s="14">
      <c r="A832" s="18" t="n">
        <v>1943</v>
      </c>
    </row>
    <row r="833" ht="15" customHeight="1" s="14">
      <c r="A833" s="18" t="n">
        <v>1947</v>
      </c>
    </row>
    <row r="834" ht="15" customHeight="1" s="14">
      <c r="A834" s="18" t="n">
        <v>1948</v>
      </c>
    </row>
    <row r="835" ht="15" customHeight="1" s="14">
      <c r="A835" s="18" t="n">
        <v>1949</v>
      </c>
    </row>
    <row r="836" ht="15" customHeight="1" s="14">
      <c r="A836" s="18" t="n">
        <v>1951</v>
      </c>
    </row>
    <row r="837" ht="15" customHeight="1" s="14">
      <c r="A837" s="18" t="n">
        <v>1956</v>
      </c>
    </row>
    <row r="838" ht="15" customHeight="1" s="14">
      <c r="A838" s="18" t="n">
        <v>1983</v>
      </c>
    </row>
    <row r="839" ht="15" customHeight="1" s="14">
      <c r="A839" s="18" t="n">
        <v>1987</v>
      </c>
    </row>
    <row r="840" ht="15" customHeight="1" s="14">
      <c r="A840" s="18" t="n">
        <v>1988</v>
      </c>
    </row>
    <row r="841" ht="15" customHeight="1" s="14">
      <c r="A841" s="18" t="n">
        <v>1991</v>
      </c>
    </row>
    <row r="842" ht="15" customHeight="1" s="14">
      <c r="A842" s="18" t="n">
        <v>1993</v>
      </c>
    </row>
    <row r="843" ht="15" customHeight="1" s="14">
      <c r="A843" s="18" t="n">
        <v>1998</v>
      </c>
    </row>
    <row r="844" ht="15" customHeight="1" s="14">
      <c r="A844" s="18" t="n">
        <v>1999</v>
      </c>
    </row>
    <row r="845" ht="15" customHeight="1" s="14">
      <c r="A845" s="18" t="n">
        <v>2000</v>
      </c>
    </row>
    <row r="846" ht="15" customHeight="1" s="14">
      <c r="A846" s="18" t="n">
        <v>2001</v>
      </c>
    </row>
    <row r="847" ht="15" customHeight="1" s="14">
      <c r="A847" s="18" t="n">
        <v>2002</v>
      </c>
    </row>
    <row r="848" ht="15" customHeight="1" s="14">
      <c r="A848" s="18" t="n">
        <v>2003</v>
      </c>
    </row>
    <row r="849" ht="15" customHeight="1" s="14">
      <c r="A849" s="18" t="n">
        <v>2004</v>
      </c>
    </row>
    <row r="850" ht="15" customHeight="1" s="14">
      <c r="A850" s="18" t="n">
        <v>2005</v>
      </c>
    </row>
    <row r="851" ht="15" customHeight="1" s="14">
      <c r="A851" s="18" t="n">
        <v>2006</v>
      </c>
    </row>
    <row r="852" ht="15" customHeight="1" s="14">
      <c r="A852" s="18" t="n">
        <v>2009</v>
      </c>
    </row>
    <row r="853" ht="15" customHeight="1" s="14">
      <c r="A853" s="18" t="n">
        <v>2011</v>
      </c>
    </row>
    <row r="854" ht="15" customHeight="1" s="14">
      <c r="A854" s="18" t="n">
        <v>2012</v>
      </c>
    </row>
    <row r="855" ht="15" customHeight="1" s="14">
      <c r="A855" s="18" t="n">
        <v>2014</v>
      </c>
    </row>
    <row r="856" ht="15" customHeight="1" s="14">
      <c r="A856" s="18" t="n">
        <v>2015</v>
      </c>
    </row>
    <row r="857" ht="15" customHeight="1" s="14">
      <c r="A857" s="18" t="n">
        <v>2016</v>
      </c>
    </row>
    <row r="858" ht="15" customHeight="1" s="14">
      <c r="A858" s="18" t="n">
        <v>2017</v>
      </c>
    </row>
    <row r="859" ht="15" customHeight="1" s="14">
      <c r="A859" s="18" t="n">
        <v>2021</v>
      </c>
    </row>
    <row r="860" ht="15" customHeight="1" s="14">
      <c r="A860" s="18" t="n">
        <v>2029</v>
      </c>
    </row>
    <row r="861" ht="15" customHeight="1" s="14">
      <c r="A861" s="18" t="n">
        <v>2031</v>
      </c>
    </row>
    <row r="862" ht="15" customHeight="1" s="14">
      <c r="A862" s="18" t="n">
        <v>2032</v>
      </c>
    </row>
    <row r="863" ht="15" customHeight="1" s="14">
      <c r="A863" s="18" t="n">
        <v>2033</v>
      </c>
    </row>
    <row r="864" ht="15" customHeight="1" s="14">
      <c r="A864" s="18" t="n">
        <v>2034</v>
      </c>
    </row>
    <row r="865" ht="15" customHeight="1" s="14">
      <c r="A865" s="18" t="n">
        <v>2035</v>
      </c>
    </row>
    <row r="866" ht="15" customHeight="1" s="14">
      <c r="A866" s="18" t="n">
        <v>2040</v>
      </c>
    </row>
    <row r="867" ht="15" customHeight="1" s="14">
      <c r="A867" s="18" t="n">
        <v>2041</v>
      </c>
    </row>
    <row r="868" ht="15" customHeight="1" s="14">
      <c r="A868" s="18" t="n">
        <v>2043</v>
      </c>
    </row>
    <row r="869" ht="15" customHeight="1" s="14">
      <c r="A869" s="18" t="n">
        <v>2051</v>
      </c>
    </row>
    <row r="870" ht="15" customHeight="1" s="14">
      <c r="A870" s="18" t="n">
        <v>2053</v>
      </c>
    </row>
    <row r="871" ht="15" customHeight="1" s="14">
      <c r="A871" s="18" t="n">
        <v>2054</v>
      </c>
    </row>
    <row r="872" ht="15" customHeight="1" s="14">
      <c r="A872" s="18" t="n">
        <v>2055</v>
      </c>
    </row>
    <row r="873" ht="15" customHeight="1" s="14">
      <c r="A873" s="18" t="n">
        <v>2056</v>
      </c>
    </row>
    <row r="874" ht="15" customHeight="1" s="14">
      <c r="A874" s="18" t="n">
        <v>2059</v>
      </c>
    </row>
    <row r="875" ht="15" customHeight="1" s="14">
      <c r="A875" s="18" t="n">
        <v>2060</v>
      </c>
    </row>
    <row r="876" ht="15" customHeight="1" s="14">
      <c r="A876" s="18" t="n">
        <v>2062</v>
      </c>
    </row>
    <row r="877" ht="15" customHeight="1" s="14">
      <c r="A877" s="18" t="n">
        <v>2063</v>
      </c>
    </row>
    <row r="878" ht="15" customHeight="1" s="14">
      <c r="A878" s="18" t="n">
        <v>2067</v>
      </c>
    </row>
    <row r="879" ht="15" customHeight="1" s="14">
      <c r="A879" s="18" t="n">
        <v>2073</v>
      </c>
    </row>
    <row r="880" ht="15" customHeight="1" s="14">
      <c r="A880" s="18" t="n">
        <v>2074</v>
      </c>
    </row>
    <row r="881" ht="15" customHeight="1" s="14">
      <c r="A881" s="18" t="n">
        <v>2076</v>
      </c>
    </row>
    <row r="882" ht="15" customHeight="1" s="14">
      <c r="A882" s="18" t="n">
        <v>2079</v>
      </c>
    </row>
    <row r="883" ht="15" customHeight="1" s="14">
      <c r="A883" s="18" t="n">
        <v>2081</v>
      </c>
    </row>
    <row r="884" ht="15" customHeight="1" s="14">
      <c r="A884" s="18" t="n">
        <v>2082</v>
      </c>
    </row>
    <row r="885" ht="15" customHeight="1" s="14">
      <c r="A885" s="18" t="n">
        <v>2083</v>
      </c>
    </row>
    <row r="886" ht="15" customHeight="1" s="14">
      <c r="A886" s="18" t="n">
        <v>2087</v>
      </c>
    </row>
    <row r="887" ht="15" customHeight="1" s="14">
      <c r="A887" s="18" t="n">
        <v>2090</v>
      </c>
    </row>
    <row r="888" ht="15" customHeight="1" s="14">
      <c r="A888" s="18" t="n">
        <v>2091</v>
      </c>
    </row>
    <row r="889" ht="15" customHeight="1" s="14">
      <c r="A889" s="18" t="n">
        <v>2092</v>
      </c>
    </row>
    <row r="890" ht="15" customHeight="1" s="14">
      <c r="A890" s="18" t="n">
        <v>2093</v>
      </c>
    </row>
    <row r="891" ht="15" customHeight="1" s="14">
      <c r="A891" s="18" t="n">
        <v>2094</v>
      </c>
    </row>
    <row r="892" ht="15" customHeight="1" s="14">
      <c r="A892" s="18" t="n">
        <v>2099</v>
      </c>
    </row>
    <row r="893" ht="15" customHeight="1" s="14">
      <c r="A893" s="18" t="n">
        <v>2102</v>
      </c>
    </row>
    <row r="894" ht="15" customHeight="1" s="14">
      <c r="A894" s="18" t="n">
        <v>2103</v>
      </c>
    </row>
    <row r="895" ht="15" customHeight="1" s="14">
      <c r="A895" s="18" t="n">
        <v>2109</v>
      </c>
    </row>
    <row r="896" ht="15" customHeight="1" s="14">
      <c r="A896" s="18" t="n">
        <v>2110</v>
      </c>
    </row>
    <row r="897" ht="15" customHeight="1" s="14">
      <c r="A897" s="18" t="n">
        <v>2114</v>
      </c>
    </row>
    <row r="898" ht="15" customHeight="1" s="14">
      <c r="A898" s="18" t="n">
        <v>2125</v>
      </c>
    </row>
    <row r="899" ht="15" customHeight="1" s="14">
      <c r="A899" s="18" t="n">
        <v>2127</v>
      </c>
    </row>
    <row r="900" ht="15" customHeight="1" s="14">
      <c r="A900" s="18" t="n">
        <v>2128</v>
      </c>
    </row>
    <row r="901" ht="15" customHeight="1" s="14">
      <c r="A901" s="18" t="n">
        <v>2134</v>
      </c>
    </row>
    <row r="902" ht="15" customHeight="1" s="14">
      <c r="A902" s="18" t="n">
        <v>2135</v>
      </c>
    </row>
    <row r="903" ht="15" customHeight="1" s="14">
      <c r="A903" s="18" t="n">
        <v>2136</v>
      </c>
    </row>
    <row r="904" ht="15" customHeight="1" s="14">
      <c r="A904" s="18" t="n">
        <v>2137</v>
      </c>
    </row>
    <row r="905" ht="15" customHeight="1" s="14">
      <c r="A905" s="18" t="n">
        <v>2138</v>
      </c>
    </row>
    <row r="906" ht="15" customHeight="1" s="14">
      <c r="A906" s="18" t="n">
        <v>2141</v>
      </c>
    </row>
    <row r="907" ht="15" customHeight="1" s="14">
      <c r="A907" s="18" t="n">
        <v>2147</v>
      </c>
    </row>
    <row r="908" ht="15" customHeight="1" s="14">
      <c r="A908" s="18" t="n">
        <v>2148</v>
      </c>
    </row>
    <row r="909" ht="15" customHeight="1" s="14">
      <c r="A909" s="18" t="n">
        <v>2149</v>
      </c>
    </row>
    <row r="910" ht="15" customHeight="1" s="14">
      <c r="A910" s="18" t="n">
        <v>2153</v>
      </c>
    </row>
    <row r="911" ht="15" customHeight="1" s="14">
      <c r="A911" s="18" t="n">
        <v>2161</v>
      </c>
    </row>
    <row r="912" ht="15" customHeight="1" s="14">
      <c r="A912" s="18" t="n">
        <v>2174</v>
      </c>
    </row>
    <row r="913" ht="15" customHeight="1" s="14">
      <c r="A913" s="18" t="n">
        <v>2182</v>
      </c>
    </row>
    <row r="914" ht="15" customHeight="1" s="14">
      <c r="A914" s="18" t="n">
        <v>2183</v>
      </c>
    </row>
    <row r="915" ht="15" customHeight="1" s="14">
      <c r="A915" s="18" t="n">
        <v>2184</v>
      </c>
    </row>
    <row r="916" ht="15" customHeight="1" s="14">
      <c r="A916" s="18" t="n">
        <v>2186</v>
      </c>
    </row>
    <row r="917" ht="15" customHeight="1" s="14">
      <c r="A917" s="18" t="n">
        <v>2190</v>
      </c>
    </row>
    <row r="918" ht="15" customHeight="1" s="14">
      <c r="A918" s="18" t="n">
        <v>2194</v>
      </c>
    </row>
    <row r="919" ht="15" customHeight="1" s="14">
      <c r="A919" s="18" t="n">
        <v>2203</v>
      </c>
    </row>
    <row r="920" ht="15" customHeight="1" s="14">
      <c r="A920" s="18" t="n">
        <v>2205</v>
      </c>
    </row>
    <row r="921" ht="15" customHeight="1" s="14">
      <c r="A921" s="18" t="n">
        <v>2206</v>
      </c>
    </row>
    <row r="922" ht="15" customHeight="1" s="14">
      <c r="A922" s="18" t="n">
        <v>2230</v>
      </c>
    </row>
    <row r="923" ht="15" customHeight="1" s="14">
      <c r="A923" s="18" t="n">
        <v>2231</v>
      </c>
    </row>
    <row r="924" ht="15" customHeight="1" s="14">
      <c r="A924" s="18" t="n">
        <v>2232</v>
      </c>
    </row>
    <row r="925" ht="15" customHeight="1" s="14">
      <c r="A925" s="18" t="n">
        <v>2234</v>
      </c>
    </row>
    <row r="926" ht="15" customHeight="1" s="14">
      <c r="A926" s="18" t="n">
        <v>2238</v>
      </c>
    </row>
    <row r="927" ht="15" customHeight="1" s="14">
      <c r="A927" s="18" t="n">
        <v>2241</v>
      </c>
    </row>
    <row r="928" ht="15" customHeight="1" s="14">
      <c r="A928" s="18" t="n">
        <v>2243</v>
      </c>
    </row>
    <row r="929" ht="15" customHeight="1" s="14">
      <c r="A929" s="18" t="n">
        <v>2246</v>
      </c>
    </row>
    <row r="930" ht="15" customHeight="1" s="14">
      <c r="A930" s="18" t="n">
        <v>2248</v>
      </c>
    </row>
    <row r="931" ht="15" customHeight="1" s="14">
      <c r="A931" s="18" t="n">
        <v>2250</v>
      </c>
    </row>
    <row r="932" ht="15" customHeight="1" s="14">
      <c r="A932" s="18" t="n">
        <v>2259</v>
      </c>
    </row>
    <row r="933" ht="15" customHeight="1" s="14">
      <c r="A933" s="18" t="n">
        <v>2278</v>
      </c>
    </row>
    <row r="934" ht="15" customHeight="1" s="14">
      <c r="A934" s="18" t="n">
        <v>2280</v>
      </c>
    </row>
    <row r="935" ht="15" customHeight="1" s="14">
      <c r="A935" s="18" t="n">
        <v>2283</v>
      </c>
    </row>
    <row r="936" ht="15" customHeight="1" s="14">
      <c r="A936" s="18" t="n">
        <v>2284</v>
      </c>
    </row>
    <row r="937" ht="15" customHeight="1" s="14">
      <c r="A937" s="18" t="n">
        <v>2286</v>
      </c>
    </row>
    <row r="938" ht="15" customHeight="1" s="14">
      <c r="A938" s="18" t="n">
        <v>2287</v>
      </c>
    </row>
    <row r="939" ht="15" customHeight="1" s="14">
      <c r="A939" s="18" t="n">
        <v>2289</v>
      </c>
    </row>
    <row r="940" ht="15" customHeight="1" s="14">
      <c r="A940" s="18" t="n">
        <v>2291</v>
      </c>
    </row>
    <row r="941" ht="15" customHeight="1" s="14">
      <c r="A941" s="18" t="n">
        <v>2292</v>
      </c>
    </row>
    <row r="942" ht="15" customHeight="1" s="14">
      <c r="A942" s="18" t="n">
        <v>2293</v>
      </c>
    </row>
    <row r="943" ht="15" customHeight="1" s="14">
      <c r="A943" s="18" t="n">
        <v>2297</v>
      </c>
    </row>
    <row r="944" ht="15" customHeight="1" s="14">
      <c r="A944" s="18" t="n">
        <v>2316</v>
      </c>
    </row>
    <row r="945" ht="15" customHeight="1" s="14">
      <c r="A945" s="18" t="n">
        <v>2319</v>
      </c>
    </row>
    <row r="946" ht="15" customHeight="1" s="14">
      <c r="A946" s="18" t="n">
        <v>2332</v>
      </c>
    </row>
    <row r="947" ht="15" customHeight="1" s="14">
      <c r="A947" s="18" t="n">
        <v>2333</v>
      </c>
    </row>
    <row r="948" ht="15" customHeight="1" s="14">
      <c r="A948" s="18" t="n">
        <v>2336</v>
      </c>
    </row>
    <row r="949" ht="15" customHeight="1" s="14">
      <c r="A949" s="18" t="n">
        <v>2366</v>
      </c>
    </row>
    <row r="950" ht="15" customHeight="1" s="14">
      <c r="A950" s="18" t="n">
        <v>2369</v>
      </c>
    </row>
    <row r="951" ht="15" customHeight="1" s="14">
      <c r="A951" s="18" t="n">
        <v>2371</v>
      </c>
    </row>
    <row r="952" ht="15" customHeight="1" s="14">
      <c r="A952" s="18" t="n">
        <v>2372</v>
      </c>
    </row>
    <row r="953" ht="15" customHeight="1" s="14">
      <c r="A953" s="18" t="n">
        <v>2373</v>
      </c>
    </row>
    <row r="954" ht="15" customHeight="1" s="14">
      <c r="A954" s="18" t="n">
        <v>2374</v>
      </c>
    </row>
    <row r="955" ht="15" customHeight="1" s="14">
      <c r="A955" s="18" t="n">
        <v>2377</v>
      </c>
    </row>
    <row r="956" ht="15" customHeight="1" s="14">
      <c r="A956" s="18" t="n">
        <v>2383</v>
      </c>
    </row>
    <row r="957" ht="15" customHeight="1" s="14">
      <c r="A957" s="18" t="n">
        <v>2391</v>
      </c>
    </row>
    <row r="958" ht="15" customHeight="1" s="14">
      <c r="A958" s="18" t="n">
        <v>2394</v>
      </c>
    </row>
    <row r="959" ht="15" customHeight="1" s="14">
      <c r="A959" s="18" t="n">
        <v>2395</v>
      </c>
    </row>
    <row r="960" ht="15" customHeight="1" s="14">
      <c r="A960" s="18" t="n">
        <v>2396</v>
      </c>
    </row>
    <row r="961" ht="15" customHeight="1" s="14">
      <c r="A961" s="18" t="n">
        <v>2397</v>
      </c>
    </row>
    <row r="962" ht="15" customHeight="1" s="14">
      <c r="A962" s="18" t="n">
        <v>2403</v>
      </c>
    </row>
    <row r="963" ht="15" customHeight="1" s="14">
      <c r="A963" s="18" t="n">
        <v>2406</v>
      </c>
    </row>
    <row r="964" ht="15" customHeight="1" s="14">
      <c r="A964" s="18" t="n">
        <v>2407</v>
      </c>
    </row>
    <row r="965" ht="15" customHeight="1" s="14">
      <c r="A965" s="18" t="n">
        <v>2408</v>
      </c>
    </row>
    <row r="966" ht="15" customHeight="1" s="14">
      <c r="A966" s="18" t="n">
        <v>2414</v>
      </c>
    </row>
    <row r="967" ht="15" customHeight="1" s="14">
      <c r="A967" s="18" t="n">
        <v>2416</v>
      </c>
    </row>
    <row r="968" ht="15" customHeight="1" s="14">
      <c r="A968" s="18" t="n">
        <v>2417</v>
      </c>
    </row>
    <row r="969" ht="15" customHeight="1" s="14">
      <c r="A969" s="18" t="n">
        <v>2418</v>
      </c>
    </row>
    <row r="970" ht="15" customHeight="1" s="14">
      <c r="A970" s="18" t="n">
        <v>2419</v>
      </c>
    </row>
    <row r="971" ht="15" customHeight="1" s="14">
      <c r="A971" s="18" t="n">
        <v>2423</v>
      </c>
    </row>
    <row r="972" ht="15" customHeight="1" s="14">
      <c r="A972" s="18" t="n">
        <v>2425</v>
      </c>
    </row>
    <row r="973" ht="15" customHeight="1" s="14">
      <c r="A973" s="18" t="n">
        <v>2426</v>
      </c>
    </row>
    <row r="974" ht="15" customHeight="1" s="14">
      <c r="A974" s="18" t="n">
        <v>2429</v>
      </c>
    </row>
    <row r="975" ht="15" customHeight="1" s="14">
      <c r="A975" s="18" t="n">
        <v>2430</v>
      </c>
    </row>
    <row r="976" ht="15" customHeight="1" s="14">
      <c r="A976" s="18" t="n">
        <v>2432</v>
      </c>
    </row>
    <row r="977" ht="15" customHeight="1" s="14">
      <c r="A977" s="18" t="n">
        <v>2433</v>
      </c>
    </row>
    <row r="978" ht="15" customHeight="1" s="14">
      <c r="A978" s="18" t="n">
        <v>2441</v>
      </c>
    </row>
    <row r="979" ht="15" customHeight="1" s="14">
      <c r="A979" s="18" t="n">
        <v>2442</v>
      </c>
    </row>
    <row r="980" ht="15" customHeight="1" s="14">
      <c r="A980" s="18" t="n">
        <v>2443</v>
      </c>
    </row>
    <row r="981" ht="15" customHeight="1" s="14">
      <c r="A981" s="18" t="n">
        <v>2444</v>
      </c>
    </row>
    <row r="982" ht="15" customHeight="1" s="14">
      <c r="A982" s="18" t="n">
        <v>2447</v>
      </c>
    </row>
    <row r="983" ht="15" customHeight="1" s="14">
      <c r="A983" s="18" t="n">
        <v>2448</v>
      </c>
    </row>
    <row r="984" ht="15" customHeight="1" s="14">
      <c r="A984" s="18" t="n">
        <v>2449</v>
      </c>
    </row>
    <row r="985" ht="15" customHeight="1" s="14">
      <c r="A985" s="18" t="n">
        <v>2450</v>
      </c>
    </row>
    <row r="986" ht="15" customHeight="1" s="14">
      <c r="A986" s="18" t="n">
        <v>2455</v>
      </c>
    </row>
    <row r="987" ht="15" customHeight="1" s="14">
      <c r="A987" s="18" t="n">
        <v>2456</v>
      </c>
    </row>
    <row r="988" ht="15" customHeight="1" s="14">
      <c r="A988" s="18" t="n">
        <v>2458</v>
      </c>
    </row>
    <row r="989" ht="15" customHeight="1" s="14">
      <c r="A989" s="18" t="n">
        <v>2465</v>
      </c>
    </row>
    <row r="990" ht="15" customHeight="1" s="14">
      <c r="A990" s="18" t="n">
        <v>2467</v>
      </c>
    </row>
    <row r="991" ht="15" customHeight="1" s="14">
      <c r="A991" s="18" t="n">
        <v>2470</v>
      </c>
    </row>
    <row r="992" ht="15" customHeight="1" s="14">
      <c r="A992" s="18" t="n">
        <v>2473</v>
      </c>
    </row>
    <row r="993" ht="15" customHeight="1" s="14">
      <c r="A993" s="18" t="n">
        <v>2474</v>
      </c>
    </row>
    <row r="994" ht="15" customHeight="1" s="14">
      <c r="A994" s="18" t="n">
        <v>2475</v>
      </c>
    </row>
    <row r="995" ht="15" customHeight="1" s="14">
      <c r="A995" s="18" t="n">
        <v>2481</v>
      </c>
    </row>
    <row r="996" ht="15" customHeight="1" s="14">
      <c r="A996" s="18" t="n">
        <v>2493</v>
      </c>
    </row>
    <row r="997" ht="15" customHeight="1" s="14">
      <c r="A997" s="18" t="n">
        <v>2497</v>
      </c>
    </row>
    <row r="998" ht="15" customHeight="1" s="14">
      <c r="A998" s="18" t="n">
        <v>2516</v>
      </c>
    </row>
    <row r="999" ht="15" customHeight="1" s="14">
      <c r="A999" s="18" t="n">
        <v>2517</v>
      </c>
    </row>
    <row r="1000" ht="15" customHeight="1" s="14">
      <c r="A1000" s="18" t="n">
        <v>2534</v>
      </c>
    </row>
    <row r="1001" ht="15" customHeight="1" s="14">
      <c r="A1001" s="18" t="n">
        <v>2548</v>
      </c>
    </row>
    <row r="1002" ht="15" customHeight="1" s="14">
      <c r="A1002" s="18" t="n">
        <v>2570</v>
      </c>
    </row>
    <row r="1003" ht="15" customHeight="1" s="14">
      <c r="A1003" s="18" t="n">
        <v>2584</v>
      </c>
    </row>
    <row r="1004" ht="15" customHeight="1" s="14">
      <c r="A1004" s="18" t="n">
        <v>2592</v>
      </c>
    </row>
    <row r="1005" ht="15" customHeight="1" s="14">
      <c r="A1005" s="18" t="n">
        <v>2666</v>
      </c>
    </row>
    <row r="1006" ht="15" customHeight="1" s="14">
      <c r="A1006" s="18" t="n">
        <v>2682</v>
      </c>
    </row>
    <row r="1007" ht="15" customHeight="1" s="14">
      <c r="A1007" s="18" t="n">
        <v>2705</v>
      </c>
    </row>
    <row r="1008" ht="15" customHeight="1" s="14">
      <c r="A1008" s="18" t="n">
        <v>2706</v>
      </c>
    </row>
    <row r="1009" ht="15" customHeight="1" s="14">
      <c r="A1009" s="18" t="n">
        <v>2708</v>
      </c>
    </row>
    <row r="1010" ht="15" customHeight="1" s="14">
      <c r="A1010" s="18" t="n">
        <v>2710</v>
      </c>
    </row>
    <row r="1011" ht="15" customHeight="1" s="14">
      <c r="A1011" s="18" t="n">
        <v>2711</v>
      </c>
    </row>
    <row r="1012" ht="15" customHeight="1" s="14">
      <c r="A1012" s="18" t="n">
        <v>2738</v>
      </c>
    </row>
    <row r="1013" ht="15" customHeight="1" s="14">
      <c r="A1013" s="18" t="n">
        <v>2745</v>
      </c>
    </row>
    <row r="1014" ht="15" customHeight="1" s="14">
      <c r="A1014" s="18" t="n">
        <v>2746</v>
      </c>
    </row>
    <row r="1015" ht="15" customHeight="1" s="14">
      <c r="A1015" s="18" t="n">
        <v>2751</v>
      </c>
    </row>
    <row r="1016" ht="15" customHeight="1" s="14">
      <c r="A1016" s="18" t="n">
        <v>2844</v>
      </c>
    </row>
    <row r="1017" ht="15" customHeight="1" s="14">
      <c r="A1017" s="18" t="n">
        <v>2865</v>
      </c>
    </row>
    <row r="1018" ht="15" customHeight="1" s="14">
      <c r="A1018" s="18" t="n">
        <v>2950</v>
      </c>
    </row>
    <row r="1019" ht="15" customHeight="1" s="14">
      <c r="A1019" s="18" t="n">
        <v>2962</v>
      </c>
    </row>
    <row r="1020" ht="15" customHeight="1" s="14">
      <c r="A1020" s="18" t="n">
        <v>3005</v>
      </c>
    </row>
    <row r="1021" ht="15" customHeight="1" s="14">
      <c r="A1021" s="18" t="n">
        <v>3283</v>
      </c>
    </row>
    <row r="1022" ht="15" customHeight="1" s="14">
      <c r="A1022" s="18" t="n">
        <v>3375</v>
      </c>
    </row>
    <row r="1023" ht="15" customHeight="1" s="14">
      <c r="A1023" s="18" t="n">
        <v>3431</v>
      </c>
    </row>
    <row r="1024" ht="15" customHeight="1" s="14">
      <c r="A1024" s="18" t="n">
        <v>3545</v>
      </c>
    </row>
    <row r="1025" ht="15" customHeight="1" s="14">
      <c r="A1025" s="18" t="n">
        <v>3623</v>
      </c>
    </row>
    <row r="1026" ht="15" customHeight="1" s="14">
      <c r="A1026" s="18" t="n">
        <v>3799</v>
      </c>
    </row>
    <row r="1027" ht="15" customHeight="1" s="14">
      <c r="A1027" s="18" t="n">
        <v>3800</v>
      </c>
    </row>
    <row r="1028" ht="15" customHeight="1" s="14">
      <c r="A1028" s="18" t="n">
        <v>3823</v>
      </c>
    </row>
    <row r="1029" ht="15" customHeight="1" s="14">
      <c r="A1029" s="18" t="n">
        <v>3894</v>
      </c>
    </row>
    <row r="1030" ht="15" customHeight="1" s="14">
      <c r="A1030" s="18" t="n">
        <v>4000</v>
      </c>
    </row>
    <row r="1031" ht="15" customHeight="1" s="14">
      <c r="A1031" s="18" t="n">
        <v>4003</v>
      </c>
    </row>
    <row r="1032" ht="15" customHeight="1" s="14">
      <c r="A1032" s="18" t="n">
        <v>4022</v>
      </c>
    </row>
    <row r="1033" ht="15" customHeight="1" s="14">
      <c r="A1033" s="18" t="n">
        <v>4025</v>
      </c>
    </row>
    <row r="1034" ht="15" customHeight="1" s="14">
      <c r="A1034" s="18" t="n">
        <v>4098</v>
      </c>
    </row>
    <row r="1035" ht="15" customHeight="1" s="14">
      <c r="A1035" s="18" t="n">
        <v>4150</v>
      </c>
    </row>
    <row r="1036" ht="15" customHeight="1" s="14">
      <c r="A1036" s="18" t="n">
        <v>4189</v>
      </c>
    </row>
    <row r="1037" ht="15" customHeight="1" s="14">
      <c r="A1037" s="18" t="n">
        <v>4339</v>
      </c>
    </row>
    <row r="1038" ht="15" customHeight="1" s="14">
      <c r="A1038" s="18" t="n">
        <v>4486</v>
      </c>
    </row>
    <row r="1039" ht="15" customHeight="1" s="14">
      <c r="A1039" s="18" t="n">
        <v>4578</v>
      </c>
    </row>
    <row r="1040" ht="15" customHeight="1" s="14">
      <c r="A1040" s="18" t="n">
        <v>4579</v>
      </c>
    </row>
    <row r="1041" ht="15" customHeight="1" s="14">
      <c r="A1041" s="18" t="n">
        <v>4684</v>
      </c>
    </row>
    <row r="1042" ht="15" customHeight="1" s="14">
      <c r="A1042" s="18" t="n">
        <v>4708</v>
      </c>
    </row>
    <row r="1043" ht="15" customHeight="1" s="14">
      <c r="A1043" s="18" t="n">
        <v>4757</v>
      </c>
    </row>
    <row r="1044" ht="15" customHeight="1" s="14">
      <c r="A1044" s="18" t="n">
        <v>4768</v>
      </c>
    </row>
    <row r="1045" ht="15" customHeight="1" s="14">
      <c r="A1045" s="18" t="n">
        <v>4793</v>
      </c>
    </row>
    <row r="1046" ht="15" customHeight="1" s="14">
      <c r="A1046" s="18" t="n">
        <v>4795</v>
      </c>
    </row>
    <row r="1047" ht="15" customHeight="1" s="14">
      <c r="A1047" s="18" t="n">
        <v>4840</v>
      </c>
    </row>
    <row r="1048" ht="15" customHeight="1" s="14">
      <c r="A1048" s="18" t="n">
        <v>4864</v>
      </c>
    </row>
    <row r="1049" ht="15" customHeight="1" s="14">
      <c r="A1049" s="18" t="n">
        <v>4903</v>
      </c>
    </row>
    <row r="1050" ht="15" customHeight="1" s="14">
      <c r="A1050" s="18" t="n">
        <v>4904</v>
      </c>
    </row>
    <row r="1051" ht="15" customHeight="1" s="14">
      <c r="A1051" s="18" t="n">
        <v>4905</v>
      </c>
    </row>
    <row r="1052" ht="15" customHeight="1" s="14">
      <c r="A1052" s="18" t="n">
        <v>4907</v>
      </c>
    </row>
    <row r="1053" ht="15" customHeight="1" s="14">
      <c r="A1053" s="18" t="n">
        <v>4927</v>
      </c>
    </row>
    <row r="1054" ht="15" customHeight="1" s="14">
      <c r="A1054" s="18" t="n">
        <v>4954</v>
      </c>
    </row>
    <row r="1055" ht="15" customHeight="1" s="14">
      <c r="A1055" s="18" t="n">
        <v>4955</v>
      </c>
    </row>
    <row r="1056" ht="15" customHeight="1" s="14">
      <c r="A1056" s="18" t="n">
        <v>4956</v>
      </c>
    </row>
    <row r="1057" ht="15" customHeight="1" s="14">
      <c r="A1057" s="18" t="n">
        <v>4989</v>
      </c>
    </row>
    <row r="1058" ht="15" customHeight="1" s="14">
      <c r="A1058" s="18" t="n">
        <v>5005</v>
      </c>
    </row>
    <row r="1059" ht="15" customHeight="1" s="14">
      <c r="A1059" s="18" t="n">
        <v>5006</v>
      </c>
    </row>
    <row r="1060" ht="15" customHeight="1" s="14">
      <c r="A1060" s="18" t="n">
        <v>5078</v>
      </c>
    </row>
    <row r="1061" ht="15" customHeight="1" s="14">
      <c r="A1061" s="18" t="n">
        <v>5152</v>
      </c>
    </row>
    <row r="1062" ht="15" customHeight="1" s="14">
      <c r="A1062" s="18" t="n">
        <v>5154</v>
      </c>
    </row>
    <row r="1063" ht="15" customHeight="1" s="14">
      <c r="A1063" s="18" t="n">
        <v>5170</v>
      </c>
    </row>
    <row r="1064" ht="15" customHeight="1" s="14">
      <c r="A1064" s="18" t="n">
        <v>5217</v>
      </c>
    </row>
    <row r="1065" ht="15" customHeight="1" s="14">
      <c r="A1065" s="18" t="n">
        <v>5279</v>
      </c>
    </row>
    <row r="1066" ht="15" customHeight="1" s="14">
      <c r="A1066" s="18" t="n">
        <v>5283</v>
      </c>
    </row>
    <row r="1067" ht="15" customHeight="1" s="14">
      <c r="A1067" s="18" t="n">
        <v>5291</v>
      </c>
    </row>
    <row r="1068" ht="15" customHeight="1" s="14">
      <c r="A1068" s="18" t="n">
        <v>5421</v>
      </c>
    </row>
    <row r="1069" ht="15" customHeight="1" s="14">
      <c r="A1069" s="18" t="n">
        <v>5423</v>
      </c>
    </row>
    <row r="1070" ht="15" customHeight="1" s="14">
      <c r="A1070" s="18" t="n">
        <v>5427</v>
      </c>
    </row>
    <row r="1071" ht="15" customHeight="1" s="14">
      <c r="A1071" s="18" t="n">
        <v>5437</v>
      </c>
    </row>
    <row r="1072" ht="15" customHeight="1" s="14">
      <c r="A1072" s="18" t="n">
        <v>5442</v>
      </c>
    </row>
    <row r="1073" ht="15" customHeight="1" s="14">
      <c r="A1073" s="18" t="n">
        <v>5452</v>
      </c>
    </row>
    <row r="1074" ht="15" customHeight="1" s="14">
      <c r="A1074" s="18" t="n">
        <v>5519</v>
      </c>
    </row>
    <row r="1075" ht="15" customHeight="1" s="14">
      <c r="A1075" s="18" t="n">
        <v>5521</v>
      </c>
    </row>
    <row r="1076" ht="15" customHeight="1" s="14">
      <c r="A1076" s="18" t="n">
        <v>5526</v>
      </c>
    </row>
    <row r="1077" ht="15" customHeight="1" s="14">
      <c r="A1077" s="18" t="n">
        <v>5560</v>
      </c>
    </row>
    <row r="1078" ht="15" customHeight="1" s="14">
      <c r="A1078" s="18" t="n">
        <v>5561</v>
      </c>
    </row>
    <row r="1079" ht="15" customHeight="1" s="14">
      <c r="A1079" s="18" t="n">
        <v>5596</v>
      </c>
    </row>
    <row r="1080" ht="15" customHeight="1" s="14">
      <c r="A1080" s="18" t="n">
        <v>5615</v>
      </c>
    </row>
    <row r="1081" ht="15" customHeight="1" s="14">
      <c r="A1081" s="18" t="n">
        <v>5616</v>
      </c>
    </row>
    <row r="1082" ht="15" customHeight="1" s="14">
      <c r="A1082" s="18" t="n">
        <v>5624</v>
      </c>
    </row>
    <row r="1083" ht="15" customHeight="1" s="14">
      <c r="A1083" s="18" t="n">
        <v>5625</v>
      </c>
    </row>
    <row r="1084" ht="15" customHeight="1" s="14">
      <c r="A1084" s="18" t="n">
        <v>5629</v>
      </c>
    </row>
    <row r="1085" ht="15" customHeight="1" s="14">
      <c r="A1085" s="18" t="n">
        <v>5635</v>
      </c>
    </row>
    <row r="1086" ht="15" customHeight="1" s="14">
      <c r="A1086" s="18" t="n">
        <v>5637</v>
      </c>
    </row>
    <row r="1087" ht="15" customHeight="1" s="14">
      <c r="A1087" s="18" t="n">
        <v>5657</v>
      </c>
    </row>
    <row r="1088" ht="15" customHeight="1" s="14">
      <c r="A1088" s="18" t="n">
        <v>5691</v>
      </c>
    </row>
    <row r="1089" ht="15" customHeight="1" s="14">
      <c r="A1089" s="18" t="n">
        <v>5692</v>
      </c>
    </row>
    <row r="1090" ht="15" customHeight="1" s="14">
      <c r="A1090" s="18" t="n">
        <v>5702</v>
      </c>
    </row>
    <row r="1091" ht="15" customHeight="1" s="14">
      <c r="A1091" s="18" t="n">
        <v>5746</v>
      </c>
    </row>
    <row r="1092" ht="15" customHeight="1" s="14">
      <c r="A1092" s="18" t="n">
        <v>5760</v>
      </c>
    </row>
    <row r="1093" ht="15" customHeight="1" s="14">
      <c r="A1093" s="18" t="n">
        <v>5766</v>
      </c>
    </row>
    <row r="1094" ht="15" customHeight="1" s="14">
      <c r="A1094" s="18" t="n">
        <v>5775</v>
      </c>
    </row>
    <row r="1095" ht="15" customHeight="1" s="14">
      <c r="A1095" s="18" t="n">
        <v>5804</v>
      </c>
    </row>
    <row r="1096" ht="15" customHeight="1" s="14">
      <c r="A1096" s="18" t="n">
        <v>5831</v>
      </c>
    </row>
    <row r="1097" ht="15" customHeight="1" s="14">
      <c r="A1097" s="18" t="n">
        <v>5842</v>
      </c>
    </row>
    <row r="1098" ht="15" customHeight="1" s="14">
      <c r="A1098" s="18" t="n">
        <v>5843</v>
      </c>
    </row>
    <row r="1099" ht="15" customHeight="1" s="14">
      <c r="A1099" s="18" t="n">
        <v>5883</v>
      </c>
    </row>
    <row r="1100" ht="15" customHeight="1" s="14">
      <c r="A1100" s="18" t="n">
        <v>5917</v>
      </c>
    </row>
    <row r="1101" ht="15" customHeight="1" s="14">
      <c r="A1101" s="18" t="n">
        <v>5922</v>
      </c>
    </row>
    <row r="1102" ht="15" customHeight="1" s="14">
      <c r="A1102" s="18" t="n">
        <v>5923</v>
      </c>
    </row>
    <row r="1103" ht="15" customHeight="1" s="14">
      <c r="A1103" s="18" t="n">
        <v>5927</v>
      </c>
    </row>
    <row r="1104" ht="15" customHeight="1" s="14">
      <c r="A1104" s="18" t="n">
        <v>5928</v>
      </c>
    </row>
    <row r="1105" ht="15" customHeight="1" s="14">
      <c r="A1105" s="18" t="n">
        <v>5932</v>
      </c>
    </row>
    <row r="1106" ht="15" customHeight="1" s="14">
      <c r="A1106" s="18" t="n">
        <v>5934</v>
      </c>
    </row>
    <row r="1107" ht="15" customHeight="1" s="14">
      <c r="A1107" s="18" t="n">
        <v>5949</v>
      </c>
    </row>
    <row r="1108" ht="15" customHeight="1" s="14">
      <c r="A1108" s="18" t="n">
        <v>5950</v>
      </c>
    </row>
    <row r="1109" ht="15" customHeight="1" s="14">
      <c r="A1109" s="18" t="n">
        <v>5951</v>
      </c>
    </row>
    <row r="1110" ht="15" customHeight="1" s="14">
      <c r="A1110" s="18" t="n">
        <v>5962</v>
      </c>
    </row>
    <row r="1111" ht="15" customHeight="1" s="14">
      <c r="A1111" s="18" t="n">
        <v>5964</v>
      </c>
    </row>
    <row r="1112" ht="15" customHeight="1" s="14">
      <c r="A1112" s="18" t="n">
        <v>5970</v>
      </c>
    </row>
    <row r="1113" ht="15" customHeight="1" s="14">
      <c r="A1113" s="18" t="n">
        <v>5973</v>
      </c>
    </row>
    <row r="1114" ht="15" customHeight="1" s="14">
      <c r="A1114" s="18" t="n">
        <v>5974</v>
      </c>
    </row>
    <row r="1115" ht="15" customHeight="1" s="14">
      <c r="A1115" s="18" t="n">
        <v>5975</v>
      </c>
    </row>
    <row r="1116" ht="15" customHeight="1" s="14">
      <c r="A1116" s="18" t="n">
        <v>5977</v>
      </c>
    </row>
    <row r="1117" ht="15" customHeight="1" s="14">
      <c r="A1117" s="18" t="n">
        <v>5992</v>
      </c>
    </row>
    <row r="1118" ht="15" customHeight="1" s="14">
      <c r="A1118" s="18" t="n">
        <v>5997</v>
      </c>
    </row>
    <row r="1119" ht="15" customHeight="1" s="14">
      <c r="A1119" s="18" t="n">
        <v>6028</v>
      </c>
    </row>
    <row r="1120" ht="15" customHeight="1" s="14">
      <c r="A1120" s="18" t="n">
        <v>6043</v>
      </c>
    </row>
    <row r="1121" ht="15" customHeight="1" s="14">
      <c r="A1121" s="18" t="n">
        <v>6049</v>
      </c>
    </row>
    <row r="1122" ht="15" customHeight="1" s="14">
      <c r="A1122" s="18" t="n">
        <v>6050</v>
      </c>
    </row>
    <row r="1123" ht="15" customHeight="1" s="14">
      <c r="A1123" s="18" t="n">
        <v>6072</v>
      </c>
    </row>
    <row r="1124" ht="15" customHeight="1" s="14">
      <c r="A1124" s="18" t="n">
        <v>6104</v>
      </c>
    </row>
    <row r="1125" ht="15" customHeight="1" s="14">
      <c r="A1125" s="18" t="n">
        <v>6119</v>
      </c>
    </row>
    <row r="1126" ht="15" customHeight="1" s="14">
      <c r="A1126" s="18" t="n">
        <v>6134</v>
      </c>
    </row>
    <row r="1127" ht="15" customHeight="1" s="14">
      <c r="A1127" s="18" t="n">
        <v>6135</v>
      </c>
    </row>
    <row r="1128" ht="15" customHeight="1" s="14">
      <c r="A1128" s="18" t="n">
        <v>6136</v>
      </c>
    </row>
    <row r="1129" ht="15" customHeight="1" s="14">
      <c r="A1129" s="18" t="n">
        <v>6154</v>
      </c>
    </row>
    <row r="1130" ht="15" customHeight="1" s="14">
      <c r="A1130" s="18" t="n">
        <v>6165</v>
      </c>
    </row>
    <row r="1131" ht="15" customHeight="1" s="14">
      <c r="A1131" s="18" t="n">
        <v>6170</v>
      </c>
    </row>
    <row r="1132" ht="15" customHeight="1" s="14">
      <c r="A1132" s="18" t="n">
        <v>6184</v>
      </c>
    </row>
    <row r="1133" ht="15" customHeight="1" s="14">
      <c r="A1133" s="18" t="n">
        <v>6222</v>
      </c>
    </row>
    <row r="1134" ht="15" customHeight="1" s="14">
      <c r="A1134" s="18" t="n">
        <v>6275</v>
      </c>
    </row>
    <row r="1135" ht="15" customHeight="1" s="14">
      <c r="A1135" s="18" t="n">
        <v>6340</v>
      </c>
    </row>
    <row r="1136" ht="15" customHeight="1" s="14">
      <c r="A1136" s="18" t="n">
        <v>6343</v>
      </c>
    </row>
    <row r="1137" ht="15" customHeight="1" s="14">
      <c r="A1137" s="18" t="n">
        <v>6346</v>
      </c>
    </row>
    <row r="1138" ht="15" customHeight="1" s="14">
      <c r="A1138" s="18" t="n">
        <v>6370</v>
      </c>
    </row>
    <row r="1139" ht="15" customHeight="1" s="14">
      <c r="A1139" s="18" t="n">
        <v>6382</v>
      </c>
    </row>
    <row r="1140" ht="15" customHeight="1" s="14">
      <c r="A1140" s="18" t="n">
        <v>6383</v>
      </c>
    </row>
    <row r="1141" ht="15" customHeight="1" s="14">
      <c r="A1141" s="18" t="n">
        <v>6403</v>
      </c>
    </row>
    <row r="1142" ht="15" customHeight="1" s="14">
      <c r="A1142" s="18" t="n">
        <v>6417</v>
      </c>
    </row>
    <row r="1143" ht="15" customHeight="1" s="14">
      <c r="A1143" s="18" t="n">
        <v>6423</v>
      </c>
    </row>
    <row r="1144" ht="15" customHeight="1" s="14">
      <c r="A1144" s="18" t="n">
        <v>6425</v>
      </c>
    </row>
    <row r="1145" ht="15" customHeight="1" s="14">
      <c r="A1145" s="18" t="n">
        <v>6435</v>
      </c>
    </row>
    <row r="1146" ht="15" customHeight="1" s="14">
      <c r="A1146" s="18" t="n">
        <v>6438</v>
      </c>
    </row>
    <row r="1147" ht="15" customHeight="1" s="14">
      <c r="A1147" s="18" t="n">
        <v>6453</v>
      </c>
    </row>
    <row r="1148" ht="15" customHeight="1" s="14">
      <c r="A1148" s="18" t="n">
        <v>6454</v>
      </c>
    </row>
    <row r="1149" ht="15" customHeight="1" s="14">
      <c r="A1149" s="18" t="n">
        <v>6459</v>
      </c>
    </row>
    <row r="1150" ht="15" customHeight="1" s="14">
      <c r="A1150" s="18" t="n">
        <v>6461</v>
      </c>
    </row>
    <row r="1151" ht="15" customHeight="1" s="14">
      <c r="A1151" s="18" t="n">
        <v>6478</v>
      </c>
    </row>
    <row r="1152" ht="15" customHeight="1" s="14">
      <c r="A1152" s="18" t="n">
        <v>6484</v>
      </c>
    </row>
    <row r="1153" ht="15" customHeight="1" s="14">
      <c r="A1153" s="18" t="n">
        <v>6507</v>
      </c>
    </row>
    <row r="1154" ht="15" customHeight="1" s="14">
      <c r="A1154" s="18" t="n">
        <v>6523</v>
      </c>
    </row>
    <row r="1155" ht="15" customHeight="1" s="14">
      <c r="A1155" s="18" t="n">
        <v>6524</v>
      </c>
    </row>
    <row r="1156" ht="15" customHeight="1" s="14">
      <c r="A1156" s="18" t="n">
        <v>6532</v>
      </c>
    </row>
    <row r="1157" ht="15" customHeight="1" s="14">
      <c r="A1157" s="18" t="n">
        <v>6536</v>
      </c>
    </row>
    <row r="1158" ht="15" customHeight="1" s="14">
      <c r="A1158" s="18" t="n">
        <v>6540</v>
      </c>
    </row>
    <row r="1159" ht="15" customHeight="1" s="14">
      <c r="A1159" s="18" t="n">
        <v>6579</v>
      </c>
    </row>
    <row r="1160" ht="15" customHeight="1" s="14">
      <c r="A1160" s="18" t="n">
        <v>6583</v>
      </c>
    </row>
    <row r="1161" ht="15" customHeight="1" s="14">
      <c r="A1161" s="18" t="n">
        <v>6599</v>
      </c>
    </row>
    <row r="1162" ht="15" customHeight="1" s="14">
      <c r="A1162" s="18" t="n">
        <v>6631</v>
      </c>
    </row>
    <row r="1163" ht="15" customHeight="1" s="14">
      <c r="A1163" s="18" t="n">
        <v>6659</v>
      </c>
    </row>
    <row r="1164" ht="15" customHeight="1" s="14">
      <c r="A1164" s="18" t="n">
        <v>6700</v>
      </c>
    </row>
    <row r="1165" ht="15" customHeight="1" s="14">
      <c r="A1165" s="18" t="n">
        <v>6735</v>
      </c>
    </row>
    <row r="1166" ht="15" customHeight="1" s="14">
      <c r="A1166" s="18" t="n">
        <v>6743</v>
      </c>
    </row>
    <row r="1167" ht="15" customHeight="1" s="14">
      <c r="A1167" s="18" t="n">
        <v>6750</v>
      </c>
    </row>
    <row r="1168" ht="15" customHeight="1" s="14">
      <c r="A1168" s="18" t="n">
        <v>6751</v>
      </c>
    </row>
    <row r="1169" ht="15" customHeight="1" s="14">
      <c r="A1169" s="18" t="n">
        <v>6754</v>
      </c>
    </row>
    <row r="1170" ht="15" customHeight="1" s="14">
      <c r="A1170" s="18" t="n">
        <v>6756</v>
      </c>
    </row>
    <row r="1171" ht="15" customHeight="1" s="14">
      <c r="A1171" s="18" t="n">
        <v>6757</v>
      </c>
    </row>
    <row r="1172" ht="15" customHeight="1" s="14">
      <c r="A1172" s="18" t="n">
        <v>6758</v>
      </c>
    </row>
    <row r="1173" ht="15" customHeight="1" s="14">
      <c r="A1173" s="18" t="n">
        <v>6765</v>
      </c>
    </row>
    <row r="1174" ht="15" customHeight="1" s="14">
      <c r="A1174" s="18" t="n">
        <v>6770</v>
      </c>
    </row>
    <row r="1175" ht="15" customHeight="1" s="14">
      <c r="A1175" s="18" t="n">
        <v>6783</v>
      </c>
    </row>
    <row r="1176" ht="15" customHeight="1" s="14">
      <c r="A1176" s="18" t="n">
        <v>6788</v>
      </c>
    </row>
    <row r="1177" ht="15" customHeight="1" s="14">
      <c r="A1177" s="18" t="n">
        <v>6815</v>
      </c>
    </row>
    <row r="1178" ht="15" customHeight="1" s="14">
      <c r="A1178" s="18" t="n">
        <v>6836</v>
      </c>
    </row>
    <row r="1179" ht="15" customHeight="1" s="14">
      <c r="A1179" s="18" t="n">
        <v>6840</v>
      </c>
    </row>
    <row r="1180" ht="15" customHeight="1" s="14">
      <c r="A1180" s="18" t="n">
        <v>6853</v>
      </c>
    </row>
    <row r="1181" ht="15" customHeight="1" s="14">
      <c r="A1181" s="18" t="n">
        <v>6854</v>
      </c>
    </row>
    <row r="1182" ht="15" customHeight="1" s="14">
      <c r="A1182" s="18" t="n">
        <v>6859</v>
      </c>
    </row>
    <row r="1183" ht="15" customHeight="1" s="14">
      <c r="A1183" s="18" t="n">
        <v>6888</v>
      </c>
    </row>
    <row r="1184" ht="15" customHeight="1" s="14">
      <c r="A1184" s="18" t="n">
        <v>6938</v>
      </c>
    </row>
    <row r="1185" ht="15" customHeight="1" s="14">
      <c r="A1185" s="18" t="n">
        <v>6939</v>
      </c>
    </row>
    <row r="1186" ht="15" customHeight="1" s="14">
      <c r="A1186" s="18" t="n">
        <v>6968</v>
      </c>
    </row>
    <row r="1187" ht="15" customHeight="1" s="14">
      <c r="A1187" s="18" t="n">
        <v>6974</v>
      </c>
    </row>
    <row r="1188" ht="15" customHeight="1" s="14">
      <c r="A1188" s="18" t="n">
        <v>6975</v>
      </c>
    </row>
    <row r="1189" ht="15" customHeight="1" s="14">
      <c r="A1189" s="18" t="n">
        <v>7040</v>
      </c>
    </row>
    <row r="1190" ht="15" customHeight="1" s="14">
      <c r="A1190" s="18" t="n">
        <v>7041</v>
      </c>
    </row>
    <row r="1191" ht="15" customHeight="1" s="14">
      <c r="A1191" s="18" t="n">
        <v>7054</v>
      </c>
    </row>
    <row r="1192" ht="15" customHeight="1" s="14">
      <c r="A1192" s="18" t="n">
        <v>7061</v>
      </c>
    </row>
    <row r="1193" ht="15" customHeight="1" s="14">
      <c r="A1193" s="18" t="n">
        <v>7066</v>
      </c>
    </row>
    <row r="1194" ht="15" customHeight="1" s="14">
      <c r="A1194" s="18" t="n">
        <v>7088</v>
      </c>
    </row>
    <row r="1195" ht="15" customHeight="1" s="14">
      <c r="A1195" s="18" t="n">
        <v>7095</v>
      </c>
    </row>
    <row r="1196" ht="15" customHeight="1" s="14">
      <c r="A1196" s="18" t="n">
        <v>7113</v>
      </c>
    </row>
    <row r="1197" ht="15" customHeight="1" s="14">
      <c r="A1197" s="18" t="n">
        <v>7115</v>
      </c>
    </row>
    <row r="1198" ht="15" customHeight="1" s="14">
      <c r="A1198" s="18" t="n">
        <v>7125</v>
      </c>
    </row>
    <row r="1199" ht="15" customHeight="1" s="14">
      <c r="A1199" s="18" t="n">
        <v>7129</v>
      </c>
    </row>
    <row r="1200" ht="15" customHeight="1" s="14">
      <c r="A1200" s="18" t="n">
        <v>7183</v>
      </c>
    </row>
    <row r="1201" ht="15" customHeight="1" s="14">
      <c r="A1201" s="18" t="n">
        <v>7190</v>
      </c>
    </row>
    <row r="1202" ht="15" customHeight="1" s="14">
      <c r="A1202" s="18" t="n">
        <v>7191</v>
      </c>
    </row>
    <row r="1203" ht="15" customHeight="1" s="14">
      <c r="A1203" s="18" t="n">
        <v>7196</v>
      </c>
    </row>
    <row r="1204" ht="15" customHeight="1" s="14">
      <c r="A1204" s="18" t="n">
        <v>7216</v>
      </c>
    </row>
    <row r="1205" ht="15" customHeight="1" s="14">
      <c r="A1205" s="18" t="n">
        <v>7239</v>
      </c>
    </row>
    <row r="1206" ht="15" customHeight="1" s="14">
      <c r="A1206" s="18" t="n">
        <v>7251</v>
      </c>
    </row>
    <row r="1207" ht="15" customHeight="1" s="14">
      <c r="A1207" s="18" t="n">
        <v>7253</v>
      </c>
    </row>
    <row r="1208" ht="15" customHeight="1" s="14">
      <c r="A1208" s="18" t="n">
        <v>7259</v>
      </c>
    </row>
    <row r="1209" ht="15" customHeight="1" s="14">
      <c r="A1209" s="18" t="n">
        <v>7287</v>
      </c>
    </row>
    <row r="1210" ht="15" customHeight="1" s="14">
      <c r="A1210" s="18" t="n">
        <v>7315</v>
      </c>
    </row>
    <row r="1211" ht="15" customHeight="1" s="14">
      <c r="A1211" s="18" t="n">
        <v>7316</v>
      </c>
    </row>
    <row r="1212" ht="15" customHeight="1" s="14">
      <c r="A1212" s="18" t="n">
        <v>7319</v>
      </c>
    </row>
    <row r="1213" ht="15" customHeight="1" s="14">
      <c r="A1213" s="18" t="n">
        <v>7338</v>
      </c>
    </row>
    <row r="1214" ht="15" customHeight="1" s="14">
      <c r="A1214" s="18" t="n">
        <v>7384</v>
      </c>
    </row>
    <row r="1215" ht="15" customHeight="1" s="14">
      <c r="A1215" s="18" t="n">
        <v>7436</v>
      </c>
    </row>
    <row r="1216" ht="15" customHeight="1" s="14">
      <c r="A1216" s="18" t="n">
        <v>7467</v>
      </c>
    </row>
    <row r="1217" ht="15" customHeight="1" s="14">
      <c r="A1217" s="18" t="n">
        <v>7468</v>
      </c>
    </row>
    <row r="1218" ht="15" customHeight="1" s="14">
      <c r="A1218" s="18" t="n">
        <v>7469</v>
      </c>
    </row>
    <row r="1219" ht="15" customHeight="1" s="14">
      <c r="A1219" s="18" t="n">
        <v>7470</v>
      </c>
    </row>
    <row r="1220" ht="15" customHeight="1" s="14">
      <c r="A1220" s="18" t="n">
        <v>7495</v>
      </c>
    </row>
    <row r="1221" ht="15" customHeight="1" s="14">
      <c r="A1221" s="18" t="n">
        <v>7502</v>
      </c>
    </row>
    <row r="1222" ht="15" customHeight="1" s="14">
      <c r="A1222" s="18" t="n">
        <v>7543</v>
      </c>
    </row>
    <row r="1223" ht="15" customHeight="1" s="14">
      <c r="A1223" s="18" t="n">
        <v>7558</v>
      </c>
    </row>
    <row r="1224" ht="15" customHeight="1" s="14">
      <c r="A1224" s="18" t="n">
        <v>7559</v>
      </c>
    </row>
    <row r="1225" ht="15" customHeight="1" s="14">
      <c r="A1225" s="18" t="n">
        <v>7564</v>
      </c>
    </row>
    <row r="1226" ht="15" customHeight="1" s="14">
      <c r="A1226" s="18" t="n">
        <v>7582</v>
      </c>
    </row>
    <row r="1227" ht="15" customHeight="1" s="14">
      <c r="A1227" s="18" t="n">
        <v>7601</v>
      </c>
    </row>
    <row r="1228" ht="15" customHeight="1" s="14">
      <c r="A1228" s="18" t="n">
        <v>7659</v>
      </c>
    </row>
    <row r="1229" ht="15" customHeight="1" s="14">
      <c r="A1229" s="18" t="n">
        <v>7662</v>
      </c>
    </row>
    <row r="1230" ht="15" customHeight="1" s="14">
      <c r="A1230" s="18" t="n">
        <v>7669</v>
      </c>
    </row>
    <row r="1231" ht="15" customHeight="1" s="14">
      <c r="A1231" s="18" t="n">
        <v>7760</v>
      </c>
    </row>
    <row r="1232" ht="15" customHeight="1" s="14">
      <c r="A1232" s="18" t="n">
        <v>7804</v>
      </c>
    </row>
    <row r="1233" ht="15" customHeight="1" s="14">
      <c r="A1233" s="18" t="n">
        <v>7830</v>
      </c>
    </row>
    <row r="1234" ht="15" customHeight="1" s="14">
      <c r="A1234" s="18" t="n">
        <v>7845</v>
      </c>
    </row>
    <row r="1235" ht="15" customHeight="1" s="14">
      <c r="A1235" s="18" t="n">
        <v>7848</v>
      </c>
    </row>
    <row r="1236" ht="15" customHeight="1" s="14">
      <c r="A1236" s="18" t="n">
        <v>7854</v>
      </c>
    </row>
    <row r="1237" ht="15" customHeight="1" s="14">
      <c r="A1237" s="18" t="n">
        <v>7928</v>
      </c>
    </row>
    <row r="1238" ht="15" customHeight="1" s="14">
      <c r="A1238" s="18" t="n">
        <v>7932</v>
      </c>
    </row>
    <row r="1239" ht="15" customHeight="1" s="14">
      <c r="A1239" s="18" t="n">
        <v>7938</v>
      </c>
    </row>
    <row r="1240" ht="15" customHeight="1" s="14">
      <c r="A1240" s="18" t="n">
        <v>7986</v>
      </c>
    </row>
    <row r="1241" ht="15" customHeight="1" s="14">
      <c r="A1241" s="18" t="n">
        <v>7991</v>
      </c>
    </row>
    <row r="1242" ht="15" customHeight="1" s="14">
      <c r="A1242" s="18" t="n">
        <v>8000</v>
      </c>
    </row>
    <row r="1243" ht="15" customHeight="1" s="14">
      <c r="A1243" s="18" t="n">
        <v>8004</v>
      </c>
    </row>
    <row r="1244" ht="15" customHeight="1" s="14">
      <c r="A1244" s="18" t="n">
        <v>8028</v>
      </c>
    </row>
    <row r="1245" ht="15" customHeight="1" s="14">
      <c r="A1245" s="18" t="n">
        <v>8066</v>
      </c>
    </row>
    <row r="1246" ht="15" customHeight="1" s="14">
      <c r="A1246" s="18" t="n">
        <v>8074</v>
      </c>
    </row>
    <row r="1247" ht="15" customHeight="1" s="14">
      <c r="A1247" s="18" t="n">
        <v>8095</v>
      </c>
    </row>
    <row r="1248" ht="15" customHeight="1" s="14">
      <c r="A1248" s="18" t="n">
        <v>8108</v>
      </c>
    </row>
    <row r="1249" ht="15" customHeight="1" s="14">
      <c r="A1249" s="18" t="n">
        <v>8127</v>
      </c>
    </row>
    <row r="1250" ht="15" customHeight="1" s="14">
      <c r="A1250" s="18" t="n">
        <v>8133</v>
      </c>
    </row>
    <row r="1251" ht="15" customHeight="1" s="14">
      <c r="A1251" s="18" t="n">
        <v>8170</v>
      </c>
    </row>
    <row r="1252" ht="15" customHeight="1" s="14">
      <c r="A1252" s="18" t="n">
        <v>8209</v>
      </c>
    </row>
    <row r="1253" ht="15" customHeight="1" s="14">
      <c r="A1253" s="18" t="n">
        <v>8256</v>
      </c>
    </row>
    <row r="1254" ht="15" customHeight="1" s="14">
      <c r="A1254" s="18" t="n">
        <v>8269</v>
      </c>
    </row>
    <row r="1255" ht="15" customHeight="1" s="14">
      <c r="A1255" s="18" t="n">
        <v>8277</v>
      </c>
    </row>
    <row r="1256" ht="15" customHeight="1" s="14">
      <c r="A1256" s="18" t="n">
        <v>8300</v>
      </c>
    </row>
    <row r="1257" ht="15" customHeight="1" s="14">
      <c r="A1257" s="18" t="n">
        <v>8358</v>
      </c>
    </row>
    <row r="1258" ht="15" customHeight="1" s="14">
      <c r="A1258" s="18" t="n">
        <v>8390</v>
      </c>
    </row>
    <row r="1259" ht="15" customHeight="1" s="14">
      <c r="A1259" s="18" t="n">
        <v>8394</v>
      </c>
    </row>
    <row r="1260" ht="15" customHeight="1" s="14">
      <c r="A1260" s="18" t="n">
        <v>8396</v>
      </c>
    </row>
    <row r="1261" ht="15" customHeight="1" s="14">
      <c r="A1261" s="18" t="n">
        <v>8448</v>
      </c>
    </row>
    <row r="1262" ht="15" customHeight="1" s="14">
      <c r="A1262" s="18" t="n">
        <v>8455</v>
      </c>
    </row>
    <row r="1263" ht="15" customHeight="1" s="14">
      <c r="A1263" s="18" t="n">
        <v>8501</v>
      </c>
    </row>
    <row r="1264" ht="15" customHeight="1" s="14">
      <c r="A1264" s="18" t="n">
        <v>8504</v>
      </c>
    </row>
    <row r="1265" ht="15" customHeight="1" s="14">
      <c r="A1265" s="18" t="n">
        <v>8525</v>
      </c>
    </row>
    <row r="1266" ht="15" customHeight="1" s="14">
      <c r="A1266" s="18" t="n">
        <v>8526</v>
      </c>
    </row>
    <row r="1267" ht="15" customHeight="1" s="14">
      <c r="A1267" s="18" t="n">
        <v>8529</v>
      </c>
    </row>
    <row r="1268" ht="15" customHeight="1" s="14">
      <c r="A1268" s="18" t="n">
        <v>8581</v>
      </c>
    </row>
    <row r="1269" ht="15" customHeight="1" s="14">
      <c r="A1269" s="18" t="n">
        <v>8613</v>
      </c>
    </row>
    <row r="1270" ht="15" customHeight="1" s="14">
      <c r="A1270" s="18" t="n">
        <v>8620</v>
      </c>
    </row>
    <row r="1271" ht="15" customHeight="1" s="14">
      <c r="A1271" s="18" t="n">
        <v>8634</v>
      </c>
    </row>
    <row r="1272" ht="15" customHeight="1" s="14">
      <c r="A1272" s="18" t="n">
        <v>8667</v>
      </c>
    </row>
    <row r="1273" ht="15" customHeight="1" s="14">
      <c r="A1273" s="18" t="n">
        <v>8777</v>
      </c>
    </row>
    <row r="1274" ht="15" customHeight="1" s="14">
      <c r="A1274" s="18" t="n">
        <v>8813</v>
      </c>
    </row>
    <row r="1275" ht="15" customHeight="1" s="14">
      <c r="A1275" s="18" t="n">
        <v>8828</v>
      </c>
    </row>
    <row r="1276" ht="15" customHeight="1" s="14">
      <c r="A1276" s="18" t="n">
        <v>8889</v>
      </c>
    </row>
    <row r="1277" ht="15" customHeight="1" s="14">
      <c r="A1277" s="18" t="n">
        <v>8904</v>
      </c>
    </row>
    <row r="1278" ht="15" customHeight="1" s="14">
      <c r="A1278" s="18" t="n">
        <v>8968</v>
      </c>
    </row>
    <row r="1279" ht="15" customHeight="1" s="14">
      <c r="A1279" s="18" t="n">
        <v>8979</v>
      </c>
    </row>
    <row r="1280" ht="15" customHeight="1" s="14">
      <c r="A1280" s="18" t="n">
        <v>8988</v>
      </c>
    </row>
    <row r="1281" ht="15" customHeight="1" s="14">
      <c r="A1281" s="18" t="n">
        <v>8997</v>
      </c>
    </row>
    <row r="1282" ht="15" customHeight="1" s="14">
      <c r="A1282" s="18" t="n">
        <v>9037</v>
      </c>
    </row>
    <row r="1283" ht="15" customHeight="1" s="14">
      <c r="A1283" s="18" t="n">
        <v>9090</v>
      </c>
    </row>
    <row r="1284" ht="15" customHeight="1" s="14">
      <c r="A1284" s="18" t="n">
        <v>9141</v>
      </c>
    </row>
    <row r="1285" ht="15" customHeight="1" s="14">
      <c r="A1285" s="18" t="n">
        <v>9161</v>
      </c>
    </row>
    <row r="1286" ht="15" customHeight="1" s="14">
      <c r="A1286" s="18" t="n">
        <v>9203</v>
      </c>
    </row>
    <row r="1287" ht="15" customHeight="1" s="14">
      <c r="A1287" s="18" t="n">
        <v>9245</v>
      </c>
    </row>
    <row r="1288" ht="15" customHeight="1" s="14">
      <c r="A1288" s="18" t="n">
        <v>9248</v>
      </c>
    </row>
    <row r="1289" ht="15" customHeight="1" s="14">
      <c r="A1289" s="18" t="n">
        <v>9255</v>
      </c>
    </row>
    <row r="1290" ht="15" customHeight="1" s="14">
      <c r="A1290" s="18" t="n">
        <v>9300</v>
      </c>
    </row>
    <row r="1291" ht="15" customHeight="1" s="14">
      <c r="A1291" s="18" t="n">
        <v>9366</v>
      </c>
    </row>
    <row r="1292" ht="15" customHeight="1" s="14">
      <c r="A1292" s="18" t="n">
        <v>9391</v>
      </c>
    </row>
    <row r="1293" ht="15" customHeight="1" s="14">
      <c r="A1293" s="18" t="n">
        <v>9399</v>
      </c>
    </row>
    <row r="1294" ht="15" customHeight="1" s="14">
      <c r="A1294" s="18" t="n">
        <v>9415</v>
      </c>
    </row>
    <row r="1295" ht="15" customHeight="1" s="14">
      <c r="A1295" s="18" t="n">
        <v>9417</v>
      </c>
    </row>
    <row r="1296" ht="15" customHeight="1" s="14">
      <c r="A1296" s="18" t="n">
        <v>9437</v>
      </c>
    </row>
    <row r="1297" ht="15" customHeight="1" s="14">
      <c r="A1297" s="18" t="n">
        <v>9448</v>
      </c>
    </row>
    <row r="1298" ht="15" customHeight="1" s="14">
      <c r="A1298" s="18" t="n">
        <v>9464</v>
      </c>
    </row>
    <row r="1299" ht="15" customHeight="1" s="14">
      <c r="A1299" s="18" t="n">
        <v>9500</v>
      </c>
    </row>
    <row r="1300" ht="15" customHeight="1" s="14">
      <c r="A1300" s="18" t="n">
        <v>9532</v>
      </c>
    </row>
    <row r="1301" ht="15" customHeight="1" s="14">
      <c r="A1301" s="18" t="n">
        <v>9533</v>
      </c>
    </row>
    <row r="1302" ht="15" customHeight="1" s="14">
      <c r="A1302" s="18" t="n">
        <v>9534</v>
      </c>
    </row>
    <row r="1303" ht="15" customHeight="1" s="14">
      <c r="A1303" s="18" t="n">
        <v>9576</v>
      </c>
    </row>
    <row r="1304" ht="15" customHeight="1" s="14">
      <c r="A1304" s="18" t="n">
        <v>9586</v>
      </c>
    </row>
    <row r="1305" ht="15" customHeight="1" s="14">
      <c r="A1305" s="18" t="n">
        <v>9604</v>
      </c>
    </row>
    <row r="1306" ht="15" customHeight="1" s="14">
      <c r="A1306" s="18" t="n">
        <v>9606</v>
      </c>
    </row>
    <row r="1307" ht="15" customHeight="1" s="14">
      <c r="A1307" s="18" t="n">
        <v>9607</v>
      </c>
    </row>
    <row r="1308" ht="15" customHeight="1" s="14">
      <c r="A1308" s="18" t="n">
        <v>9626</v>
      </c>
    </row>
    <row r="1309" ht="15" customHeight="1" s="14">
      <c r="A1309" s="18" t="n">
        <v>9637</v>
      </c>
    </row>
    <row r="1310" ht="15" customHeight="1" s="14">
      <c r="A1310" s="18" t="n">
        <v>9638</v>
      </c>
    </row>
    <row r="1311" ht="15" customHeight="1" s="14">
      <c r="A1311" s="18" t="n">
        <v>9642</v>
      </c>
    </row>
    <row r="1312" ht="15" customHeight="1" s="14">
      <c r="A1312" s="18" t="n">
        <v>9644</v>
      </c>
    </row>
    <row r="1313" ht="15" customHeight="1" s="14">
      <c r="A1313" s="18" t="n">
        <v>9709</v>
      </c>
    </row>
    <row r="1314" ht="15" customHeight="1" s="14">
      <c r="A1314" s="18" t="n">
        <v>9753</v>
      </c>
    </row>
    <row r="1315" ht="15" customHeight="1" s="14">
      <c r="A1315" s="18" t="n">
        <v>9801</v>
      </c>
    </row>
    <row r="1316" ht="15" customHeight="1" s="14">
      <c r="A1316" s="18" t="n">
        <v>9897</v>
      </c>
    </row>
    <row r="1317" ht="15" customHeight="1" s="14">
      <c r="A1317" s="18" t="n">
        <v>9916</v>
      </c>
    </row>
    <row r="1318" ht="15" customHeight="1" s="14">
      <c r="A1318" s="18" t="n">
        <v>9939</v>
      </c>
    </row>
    <row r="1319" ht="15" customHeight="1" s="14">
      <c r="A1319" s="18" t="n">
        <v>9940</v>
      </c>
    </row>
    <row r="1320" ht="15" customHeight="1" s="14">
      <c r="A1320" s="18" t="n">
        <v>9941</v>
      </c>
    </row>
    <row r="1321" ht="15" customHeight="1" s="14">
      <c r="A1321" s="18" t="n">
        <v>9942</v>
      </c>
    </row>
    <row r="1322" ht="15" customHeight="1" s="14">
      <c r="A1322" s="18" t="n">
        <v>9946</v>
      </c>
    </row>
    <row r="1323" ht="15" customHeight="1" s="14">
      <c r="A1323" s="18" t="n">
        <v>9988</v>
      </c>
    </row>
    <row r="1324" ht="15" customHeight="1" s="14">
      <c r="A1324" s="18" t="n">
        <v>10014</v>
      </c>
    </row>
    <row r="1325" ht="15" customHeight="1" s="14">
      <c r="A1325" s="18" t="n">
        <v>10019</v>
      </c>
    </row>
    <row r="1326" ht="15" customHeight="1" s="14">
      <c r="A1326" s="18" t="n">
        <v>10029</v>
      </c>
    </row>
    <row r="1327" ht="15" customHeight="1" s="14">
      <c r="A1327" s="18" t="n">
        <v>10031</v>
      </c>
    </row>
    <row r="1328" ht="15" customHeight="1" s="14">
      <c r="A1328" s="18" t="n">
        <v>10046</v>
      </c>
    </row>
    <row r="1329" ht="15" customHeight="1" s="14">
      <c r="A1329" s="18" t="n">
        <v>10058</v>
      </c>
    </row>
    <row r="1330" ht="15" customHeight="1" s="14">
      <c r="A1330" s="18" t="n">
        <v>10062</v>
      </c>
    </row>
    <row r="1331" ht="15" customHeight="1" s="14">
      <c r="A1331" s="18" t="n">
        <v>10064</v>
      </c>
    </row>
    <row r="1332" ht="15" customHeight="1" s="14">
      <c r="A1332" s="18" t="n">
        <v>10083</v>
      </c>
    </row>
    <row r="1333" ht="15" customHeight="1" s="14">
      <c r="A1333" s="18" t="n">
        <v>10141</v>
      </c>
    </row>
    <row r="1334" ht="15" customHeight="1" s="14">
      <c r="A1334" s="18" t="n">
        <v>10214</v>
      </c>
    </row>
    <row r="1335" ht="15" customHeight="1" s="14">
      <c r="A1335" s="18" t="n">
        <v>10216</v>
      </c>
    </row>
    <row r="1336" ht="15" customHeight="1" s="14">
      <c r="A1336" s="18" t="n">
        <v>10284</v>
      </c>
    </row>
    <row r="1337" ht="15" customHeight="1" s="14">
      <c r="A1337" s="18" t="n">
        <v>10319</v>
      </c>
    </row>
    <row r="1338" ht="15" customHeight="1" s="14">
      <c r="A1338" s="18" t="n">
        <v>10392</v>
      </c>
    </row>
    <row r="1339" ht="15" customHeight="1" s="14">
      <c r="A1339" s="18" t="n">
        <v>10427</v>
      </c>
    </row>
    <row r="1340" ht="15" customHeight="1" s="14">
      <c r="A1340" s="18" t="n">
        <v>10484</v>
      </c>
    </row>
    <row r="1341" ht="15" customHeight="1" s="14">
      <c r="A1341" s="18" t="n">
        <v>10488</v>
      </c>
    </row>
    <row r="1342" ht="15" customHeight="1" s="14">
      <c r="A1342" s="18" t="n">
        <v>10541</v>
      </c>
    </row>
    <row r="1343" ht="15" customHeight="1" s="14">
      <c r="A1343" s="18" t="n">
        <v>10635</v>
      </c>
    </row>
    <row r="1344" ht="15" customHeight="1" s="14">
      <c r="A1344" s="18" t="n">
        <v>10665</v>
      </c>
    </row>
    <row r="1345" ht="15" customHeight="1" s="14">
      <c r="A1345" s="18" t="n">
        <v>10666</v>
      </c>
    </row>
    <row r="1346" ht="15" customHeight="1" s="14">
      <c r="A1346" s="18" t="n">
        <v>10674</v>
      </c>
    </row>
    <row r="1347" ht="15" customHeight="1" s="14">
      <c r="A1347" s="18" t="n">
        <v>10675</v>
      </c>
    </row>
    <row r="1348" ht="15" customHeight="1" s="14">
      <c r="A1348" s="18" t="n">
        <v>10683</v>
      </c>
    </row>
    <row r="1349" ht="15" customHeight="1" s="14">
      <c r="A1349" s="18" t="n">
        <v>10691</v>
      </c>
    </row>
    <row r="1350" ht="15" customHeight="1" s="14">
      <c r="A1350" s="18" t="n">
        <v>10730</v>
      </c>
    </row>
    <row r="1351" ht="15" customHeight="1" s="14">
      <c r="A1351" s="18" t="n">
        <v>10757</v>
      </c>
    </row>
    <row r="1352" ht="15" customHeight="1" s="14">
      <c r="A1352" s="18" t="n">
        <v>10783</v>
      </c>
    </row>
    <row r="1353" ht="15" customHeight="1" s="14">
      <c r="A1353" s="18" t="n">
        <v>10915</v>
      </c>
    </row>
    <row r="1354" ht="15" customHeight="1" s="14">
      <c r="A1354" s="18" t="n">
        <v>10932</v>
      </c>
    </row>
    <row r="1355" ht="15" customHeight="1" s="14">
      <c r="A1355" s="18" t="n">
        <v>11020</v>
      </c>
    </row>
    <row r="1356" ht="15" customHeight="1" s="14">
      <c r="A1356" s="18" t="n">
        <v>11045</v>
      </c>
    </row>
    <row r="1357" ht="15" customHeight="1" s="14">
      <c r="A1357" s="18" t="n">
        <v>11114</v>
      </c>
    </row>
    <row r="1358" ht="15" customHeight="1" s="14">
      <c r="A1358" s="18" t="n">
        <v>11147</v>
      </c>
    </row>
    <row r="1359" ht="15" customHeight="1" s="14">
      <c r="A1359" s="18" t="n">
        <v>11149</v>
      </c>
    </row>
    <row r="1360" ht="15" customHeight="1" s="14">
      <c r="A1360" s="18" t="n">
        <v>11151</v>
      </c>
    </row>
    <row r="1361" ht="15" customHeight="1" s="14">
      <c r="A1361" s="18" t="n">
        <v>11156</v>
      </c>
    </row>
    <row r="1362" ht="15" customHeight="1" s="14">
      <c r="A1362" s="18" t="n">
        <v>11281</v>
      </c>
    </row>
    <row r="1363" ht="15" customHeight="1" s="14">
      <c r="A1363" s="18" t="n">
        <v>11367</v>
      </c>
    </row>
    <row r="1364" ht="15" customHeight="1" s="14">
      <c r="A1364" s="18" t="n">
        <v>11397</v>
      </c>
    </row>
    <row r="1365" ht="15" customHeight="1" s="14">
      <c r="A1365" s="18" t="n">
        <v>11413</v>
      </c>
    </row>
    <row r="1366" ht="15" customHeight="1" s="14">
      <c r="A1366" s="18" t="n">
        <v>11416</v>
      </c>
    </row>
    <row r="1367" ht="15" customHeight="1" s="14">
      <c r="A1367" s="18" t="n">
        <v>11441</v>
      </c>
    </row>
    <row r="1368" ht="15" customHeight="1" s="14">
      <c r="A1368" s="18" t="n">
        <v>11458</v>
      </c>
    </row>
    <row r="1369" ht="15" customHeight="1" s="14">
      <c r="A1369" s="18" t="n">
        <v>11459</v>
      </c>
    </row>
    <row r="1370" ht="15" customHeight="1" s="14">
      <c r="A1370" s="18" t="n">
        <v>11460</v>
      </c>
    </row>
    <row r="1371" ht="15" customHeight="1" s="14">
      <c r="A1371" s="18" t="n">
        <v>11462</v>
      </c>
    </row>
    <row r="1372" ht="15" customHeight="1" s="14">
      <c r="A1372" s="18" t="n">
        <v>11464</v>
      </c>
    </row>
    <row r="1373" ht="15" customHeight="1" s="14">
      <c r="A1373" s="18" t="n">
        <v>11472</v>
      </c>
    </row>
    <row r="1374" ht="15" customHeight="1" s="14">
      <c r="A1374" s="18" t="n">
        <v>11481</v>
      </c>
    </row>
    <row r="1375" ht="15" customHeight="1" s="14">
      <c r="A1375" s="18" t="n">
        <v>11545</v>
      </c>
    </row>
    <row r="1376" ht="15" customHeight="1" s="14">
      <c r="A1376" s="18" t="n">
        <v>11606</v>
      </c>
    </row>
    <row r="1377" ht="15" customHeight="1" s="14">
      <c r="A1377" s="18" t="n">
        <v>11607</v>
      </c>
    </row>
    <row r="1378" ht="15" customHeight="1" s="14">
      <c r="A1378" s="18" t="n">
        <v>11611</v>
      </c>
    </row>
    <row r="1379" ht="15" customHeight="1" s="14">
      <c r="A1379" s="18" t="n">
        <v>11614</v>
      </c>
    </row>
    <row r="1380" ht="15" customHeight="1" s="14">
      <c r="A1380" s="18" t="n">
        <v>11622</v>
      </c>
    </row>
    <row r="1381" ht="15" customHeight="1" s="14">
      <c r="A1381" s="18" t="n">
        <v>11633</v>
      </c>
    </row>
    <row r="1382" ht="15" customHeight="1" s="14">
      <c r="A1382" s="18" t="n">
        <v>11636</v>
      </c>
    </row>
    <row r="1383" ht="15" customHeight="1" s="14">
      <c r="A1383" s="18" t="n">
        <v>11655</v>
      </c>
    </row>
    <row r="1384" ht="15" customHeight="1" s="14">
      <c r="A1384" s="18" t="n">
        <v>11725</v>
      </c>
    </row>
    <row r="1385" ht="15" customHeight="1" s="14">
      <c r="A1385" s="18" t="n">
        <v>11734</v>
      </c>
    </row>
    <row r="1386" ht="15" customHeight="1" s="14">
      <c r="A1386" s="18" t="n">
        <v>11747</v>
      </c>
    </row>
    <row r="1387" ht="15" customHeight="1" s="14">
      <c r="A1387" s="18" t="n">
        <v>11753</v>
      </c>
    </row>
    <row r="1388" ht="15" customHeight="1" s="14">
      <c r="A1388" s="18" t="n">
        <v>11756</v>
      </c>
    </row>
    <row r="1389" ht="15" customHeight="1" s="14">
      <c r="A1389" s="18" t="n">
        <v>11861</v>
      </c>
    </row>
    <row r="1390" ht="15" customHeight="1" s="14">
      <c r="A1390" s="18" t="n">
        <v>11866</v>
      </c>
    </row>
    <row r="1391" ht="15" customHeight="1" s="14">
      <c r="A1391" s="18" t="n">
        <v>11867</v>
      </c>
    </row>
    <row r="1392" ht="15" customHeight="1" s="14">
      <c r="A1392" s="18" t="n">
        <v>11868</v>
      </c>
    </row>
    <row r="1393" ht="15" customHeight="1" s="14">
      <c r="A1393" s="18" t="n">
        <v>11871</v>
      </c>
    </row>
    <row r="1394" ht="15" customHeight="1" s="14">
      <c r="A1394" s="18" t="n">
        <v>11872</v>
      </c>
    </row>
    <row r="1395" ht="15" customHeight="1" s="14">
      <c r="A1395" s="18" t="n">
        <v>11883</v>
      </c>
    </row>
    <row r="1396" ht="15" customHeight="1" s="14">
      <c r="A1396" s="18" t="n">
        <v>11954</v>
      </c>
    </row>
    <row r="1397" ht="15" customHeight="1" s="14">
      <c r="A1397" s="18" t="n">
        <v>12036</v>
      </c>
    </row>
    <row r="1398" ht="15" customHeight="1" s="14">
      <c r="A1398" s="18" t="n">
        <v>12102</v>
      </c>
    </row>
    <row r="1399" ht="15" customHeight="1" s="14">
      <c r="A1399" s="18" t="n">
        <v>12112</v>
      </c>
    </row>
    <row r="1400" ht="15" customHeight="1" s="14">
      <c r="A1400" s="18" t="n">
        <v>12114</v>
      </c>
    </row>
    <row r="1401" ht="15" customHeight="1" s="14">
      <c r="A1401" s="18" t="n">
        <v>12199</v>
      </c>
    </row>
    <row r="1402" ht="15" customHeight="1" s="14">
      <c r="A1402" s="18" t="n">
        <v>12225</v>
      </c>
    </row>
    <row r="1403" ht="15" customHeight="1" s="14">
      <c r="A1403" s="18" t="n">
        <v>12273</v>
      </c>
    </row>
    <row r="1404" ht="15" customHeight="1" s="14">
      <c r="A1404" s="18" t="n">
        <v>12280</v>
      </c>
    </row>
    <row r="1405" ht="15" customHeight="1" s="14">
      <c r="A1405" s="18" t="n">
        <v>12282</v>
      </c>
    </row>
    <row r="1406" ht="15" customHeight="1" s="14">
      <c r="A1406" s="18" t="n">
        <v>12292</v>
      </c>
    </row>
    <row r="1407" ht="15" customHeight="1" s="14">
      <c r="A1407" s="18" t="n">
        <v>12297</v>
      </c>
    </row>
    <row r="1408" ht="15" customHeight="1" s="14">
      <c r="A1408" s="18" t="n">
        <v>12312</v>
      </c>
    </row>
    <row r="1409" ht="15" customHeight="1" s="14">
      <c r="A1409" s="18" t="n">
        <v>12319</v>
      </c>
    </row>
    <row r="1410" ht="15" customHeight="1" s="14">
      <c r="A1410" s="18" t="n">
        <v>12330</v>
      </c>
    </row>
    <row r="1411" ht="15" customHeight="1" s="14">
      <c r="A1411" s="18" t="n">
        <v>12359</v>
      </c>
    </row>
    <row r="1412" ht="15" customHeight="1" s="14">
      <c r="A1412" s="18" t="n">
        <v>12401</v>
      </c>
    </row>
    <row r="1413" ht="15" customHeight="1" s="14">
      <c r="A1413" s="18" t="n">
        <v>12482</v>
      </c>
    </row>
    <row r="1414" ht="15" customHeight="1" s="14">
      <c r="A1414" s="18" t="n">
        <v>12540</v>
      </c>
    </row>
    <row r="1415" ht="15" customHeight="1" s="14">
      <c r="A1415" s="18" t="n">
        <v>12544</v>
      </c>
    </row>
    <row r="1416" ht="15" customHeight="1" s="14">
      <c r="A1416" s="18" t="n">
        <v>12550</v>
      </c>
    </row>
    <row r="1417" ht="15" customHeight="1" s="14">
      <c r="A1417" s="18" t="n">
        <v>12560</v>
      </c>
    </row>
    <row r="1418" ht="15" customHeight="1" s="14">
      <c r="A1418" s="18" t="n">
        <v>12597</v>
      </c>
    </row>
    <row r="1419" ht="15" customHeight="1" s="14">
      <c r="A1419" s="18" t="n">
        <v>12650</v>
      </c>
    </row>
    <row r="1420" ht="15" customHeight="1" s="14">
      <c r="A1420" s="18" t="n">
        <v>12837</v>
      </c>
    </row>
    <row r="1421" ht="15" customHeight="1" s="14">
      <c r="A1421" s="18" t="n">
        <v>12847</v>
      </c>
    </row>
    <row r="1422" ht="15" customHeight="1" s="14">
      <c r="A1422" s="18" t="n">
        <v>12912</v>
      </c>
    </row>
    <row r="1423" ht="15" customHeight="1" s="14">
      <c r="A1423" s="18" t="n">
        <v>12928</v>
      </c>
    </row>
    <row r="1424" ht="15" customHeight="1" s="14">
      <c r="A1424" s="18" t="n">
        <v>12972</v>
      </c>
    </row>
    <row r="1425" ht="15" customHeight="1" s="14">
      <c r="A1425" s="18" t="n">
        <v>13016</v>
      </c>
    </row>
    <row r="1426" ht="15" customHeight="1" s="14">
      <c r="A1426" s="18" t="n">
        <v>13022</v>
      </c>
    </row>
    <row r="1427" ht="15" customHeight="1" s="14">
      <c r="A1427" s="18" t="n">
        <v>13060</v>
      </c>
    </row>
    <row r="1428" ht="15" customHeight="1" s="14">
      <c r="A1428" s="18" t="n">
        <v>13080</v>
      </c>
    </row>
    <row r="1429" ht="15" customHeight="1" s="14">
      <c r="A1429" s="18" t="n">
        <v>13171</v>
      </c>
    </row>
    <row r="1430" ht="15" customHeight="1" s="14">
      <c r="A1430" s="18" t="n">
        <v>13199</v>
      </c>
    </row>
    <row r="1431" ht="15" customHeight="1" s="14">
      <c r="A1431" s="18" t="n">
        <v>13245</v>
      </c>
    </row>
    <row r="1432" ht="15" customHeight="1" s="14">
      <c r="A1432" s="18" t="n">
        <v>13254</v>
      </c>
    </row>
    <row r="1433" ht="15" customHeight="1" s="14">
      <c r="A1433" s="18" t="n">
        <v>13413</v>
      </c>
    </row>
    <row r="1434" ht="15" customHeight="1" s="14">
      <c r="A1434" s="18" t="n">
        <v>13416</v>
      </c>
    </row>
    <row r="1435" ht="15" customHeight="1" s="14">
      <c r="A1435" s="18" t="n">
        <v>13434</v>
      </c>
    </row>
    <row r="1436" ht="15" customHeight="1" s="14">
      <c r="A1436" s="18" t="n">
        <v>13524</v>
      </c>
    </row>
    <row r="1437" ht="15" customHeight="1" s="14">
      <c r="A1437" s="18" t="n">
        <v>13536</v>
      </c>
    </row>
    <row r="1438" ht="15" customHeight="1" s="14">
      <c r="A1438" s="18" t="n">
        <v>13571</v>
      </c>
    </row>
    <row r="1439" ht="15" customHeight="1" s="14">
      <c r="A1439" s="18" t="n">
        <v>13573</v>
      </c>
    </row>
    <row r="1440" ht="15" customHeight="1" s="14">
      <c r="A1440" s="18" t="n">
        <v>13583</v>
      </c>
    </row>
    <row r="1441" ht="15" customHeight="1" s="14">
      <c r="A1441" s="18" t="n">
        <v>13584</v>
      </c>
    </row>
    <row r="1442" ht="15" customHeight="1" s="14">
      <c r="A1442" s="18" t="n">
        <v>13610</v>
      </c>
    </row>
    <row r="1443" ht="15" customHeight="1" s="14">
      <c r="A1443" s="18" t="n">
        <v>13616</v>
      </c>
    </row>
    <row r="1444" ht="15" customHeight="1" s="14">
      <c r="A1444" s="18" t="n">
        <v>13706</v>
      </c>
    </row>
    <row r="1445" ht="15" customHeight="1" s="14">
      <c r="A1445" s="18" t="n">
        <v>13708</v>
      </c>
    </row>
    <row r="1446" ht="15" customHeight="1" s="14">
      <c r="A1446" s="18" t="n">
        <v>13710</v>
      </c>
    </row>
    <row r="1447" ht="15" customHeight="1" s="14">
      <c r="A1447" s="18" t="n">
        <v>13743</v>
      </c>
    </row>
    <row r="1448" ht="15" customHeight="1" s="14">
      <c r="A1448" s="18" t="n">
        <v>13803</v>
      </c>
    </row>
    <row r="1449" ht="15" customHeight="1" s="14">
      <c r="A1449" s="18" t="n">
        <v>13830</v>
      </c>
    </row>
    <row r="1450" ht="15" customHeight="1" s="14">
      <c r="A1450" s="18" t="n">
        <v>13873</v>
      </c>
    </row>
    <row r="1451" ht="15" customHeight="1" s="14">
      <c r="A1451" s="18" t="n">
        <v>13879</v>
      </c>
    </row>
    <row r="1452" ht="15" customHeight="1" s="14">
      <c r="A1452" s="18" t="n">
        <v>13898</v>
      </c>
    </row>
    <row r="1453" ht="15" customHeight="1" s="14">
      <c r="A1453" s="18" t="n">
        <v>13919</v>
      </c>
    </row>
    <row r="1454" ht="15" customHeight="1" s="14">
      <c r="A1454" s="18" t="n">
        <v>13923</v>
      </c>
    </row>
    <row r="1455" ht="15" customHeight="1" s="14">
      <c r="A1455" s="18" t="n">
        <v>13957</v>
      </c>
    </row>
    <row r="1456" ht="15" customHeight="1" s="14">
      <c r="A1456" s="18" t="n">
        <v>13973</v>
      </c>
    </row>
    <row r="1457" ht="15" customHeight="1" s="14">
      <c r="A1457" s="18" t="n">
        <v>13974</v>
      </c>
    </row>
    <row r="1458" ht="15" customHeight="1" s="14">
      <c r="A1458" s="18" t="n">
        <v>13980</v>
      </c>
    </row>
    <row r="1459" ht="15" customHeight="1" s="14">
      <c r="A1459" s="18" t="n">
        <v>13992</v>
      </c>
    </row>
    <row r="1460" ht="15" customHeight="1" s="14">
      <c r="A1460" s="18" t="n">
        <v>14000</v>
      </c>
    </row>
    <row r="1461" ht="15" customHeight="1" s="14">
      <c r="A1461" s="18" t="n">
        <v>14098</v>
      </c>
    </row>
    <row r="1462" ht="15" customHeight="1" s="14">
      <c r="A1462" s="18" t="n">
        <v>14109</v>
      </c>
    </row>
    <row r="1463" ht="15" customHeight="1" s="14">
      <c r="A1463" s="18" t="n">
        <v>14111</v>
      </c>
    </row>
    <row r="1464" ht="15" customHeight="1" s="14">
      <c r="A1464" s="18" t="n">
        <v>14120</v>
      </c>
    </row>
    <row r="1465" ht="15" customHeight="1" s="14">
      <c r="A1465" s="18" t="n">
        <v>14202</v>
      </c>
    </row>
    <row r="1466" ht="15" customHeight="1" s="14">
      <c r="A1466" s="18" t="n">
        <v>14214</v>
      </c>
    </row>
    <row r="1467" ht="15" customHeight="1" s="14">
      <c r="A1467" s="18" t="n">
        <v>14254</v>
      </c>
    </row>
    <row r="1468" ht="15" customHeight="1" s="14">
      <c r="A1468" s="18" t="n">
        <v>14456</v>
      </c>
    </row>
    <row r="1469" ht="15" customHeight="1" s="14">
      <c r="A1469" s="18" t="n">
        <v>14495</v>
      </c>
    </row>
    <row r="1470" ht="15" customHeight="1" s="14">
      <c r="A1470" s="18" t="n">
        <v>14528</v>
      </c>
    </row>
    <row r="1471" ht="15" customHeight="1" s="14">
      <c r="A1471" s="18" t="n">
        <v>14530</v>
      </c>
    </row>
    <row r="1472" ht="15" customHeight="1" s="14">
      <c r="A1472" s="18" t="n">
        <v>14532</v>
      </c>
    </row>
    <row r="1473" ht="15" customHeight="1" s="14">
      <c r="A1473" s="18" t="n">
        <v>14664</v>
      </c>
    </row>
    <row r="1474" ht="15" customHeight="1" s="14">
      <c r="A1474" s="18" t="n">
        <v>14710</v>
      </c>
    </row>
    <row r="1475" ht="15" customHeight="1" s="14">
      <c r="A1475" s="18" t="n">
        <v>14735</v>
      </c>
    </row>
    <row r="1476" ht="15" customHeight="1" s="14">
      <c r="A1476" s="18" t="n">
        <v>14860</v>
      </c>
    </row>
    <row r="1477" ht="15" customHeight="1" s="14">
      <c r="A1477" s="18" t="n">
        <v>14870</v>
      </c>
    </row>
    <row r="1478" ht="15" customHeight="1" s="14">
      <c r="A1478" s="18" t="n">
        <v>14887</v>
      </c>
    </row>
    <row r="1479" ht="15" customHeight="1" s="14">
      <c r="A1479" s="18" t="n">
        <v>15068</v>
      </c>
    </row>
    <row r="1480" ht="15" customHeight="1" s="14">
      <c r="A1480" s="18" t="n">
        <v>15142</v>
      </c>
    </row>
    <row r="1481" ht="15" customHeight="1" s="14">
      <c r="A1481" s="18" t="n">
        <v>15157</v>
      </c>
    </row>
    <row r="1482" ht="15" customHeight="1" s="14">
      <c r="A1482" s="18" t="n">
        <v>15281</v>
      </c>
    </row>
    <row r="1483" ht="15" customHeight="1" s="14">
      <c r="A1483" s="18" t="n">
        <v>15311</v>
      </c>
    </row>
    <row r="1484" ht="15" customHeight="1" s="14">
      <c r="A1484" s="18" t="n">
        <v>15465</v>
      </c>
    </row>
    <row r="1485" ht="15" customHeight="1" s="14">
      <c r="A1485" s="18" t="n">
        <v>15467</v>
      </c>
    </row>
    <row r="1486" ht="15" customHeight="1" s="14">
      <c r="A1486" s="18" t="n">
        <v>15478</v>
      </c>
    </row>
    <row r="1487" ht="15" customHeight="1" s="14">
      <c r="A1487" s="18" t="n">
        <v>15589</v>
      </c>
    </row>
    <row r="1488" ht="15" customHeight="1" s="14">
      <c r="A1488" s="18" t="n">
        <v>15618</v>
      </c>
    </row>
    <row r="1489" ht="15" customHeight="1" s="14">
      <c r="A1489" s="18" t="n">
        <v>15666</v>
      </c>
    </row>
    <row r="1490" ht="15" customHeight="1" s="14">
      <c r="A1490" s="18" t="n">
        <v>15691</v>
      </c>
    </row>
    <row r="1491" ht="15" customHeight="1" s="14">
      <c r="A1491" s="18" t="n">
        <v>15754</v>
      </c>
    </row>
    <row r="1492" ht="15" customHeight="1" s="14">
      <c r="A1492" s="18" t="n">
        <v>15856</v>
      </c>
    </row>
    <row r="1493" ht="15" customHeight="1" s="14">
      <c r="A1493" s="18" t="n">
        <v>15893</v>
      </c>
    </row>
    <row r="1494" ht="15" customHeight="1" s="14">
      <c r="A1494" s="18" t="n">
        <v>15917</v>
      </c>
    </row>
    <row r="1495" ht="15" customHeight="1" s="14">
      <c r="A1495" s="18" t="n">
        <v>15951</v>
      </c>
    </row>
    <row r="1496" ht="15" customHeight="1" s="14">
      <c r="A1496" s="18" t="n">
        <v>15952</v>
      </c>
    </row>
    <row r="1497" ht="15" customHeight="1" s="14">
      <c r="A1497" s="18" t="n">
        <v>15970</v>
      </c>
    </row>
    <row r="1498" ht="15" customHeight="1" s="14">
      <c r="A1498" s="18" t="n">
        <v>15971</v>
      </c>
    </row>
    <row r="1499" ht="15" customHeight="1" s="14">
      <c r="A1499" s="18" t="n">
        <v>16009</v>
      </c>
    </row>
    <row r="1500" ht="15" customHeight="1" s="14">
      <c r="A1500" s="18" t="n">
        <v>16010</v>
      </c>
    </row>
    <row r="1501" ht="15" customHeight="1" s="14">
      <c r="A1501" s="18" t="n">
        <v>16035</v>
      </c>
    </row>
    <row r="1502" ht="15" customHeight="1" s="14">
      <c r="A1502" s="18" t="n">
        <v>16068</v>
      </c>
    </row>
    <row r="1503" ht="15" customHeight="1" s="14">
      <c r="A1503" s="18" t="n">
        <v>16112</v>
      </c>
    </row>
    <row r="1504" ht="15" customHeight="1" s="14">
      <c r="A1504" s="18" t="n">
        <v>16153</v>
      </c>
    </row>
    <row r="1505" ht="15" customHeight="1" s="14">
      <c r="A1505" s="18" t="n">
        <v>16164</v>
      </c>
    </row>
    <row r="1506" ht="15" customHeight="1" s="14">
      <c r="A1506" s="18" t="n">
        <v>16179</v>
      </c>
    </row>
    <row r="1507" ht="15" customHeight="1" s="14">
      <c r="A1507" s="18" t="n">
        <v>16180</v>
      </c>
    </row>
    <row r="1508" ht="15" customHeight="1" s="14">
      <c r="A1508" s="18" t="n">
        <v>16303</v>
      </c>
    </row>
    <row r="1509" ht="15" customHeight="1" s="14">
      <c r="A1509" s="18" t="n">
        <v>16320</v>
      </c>
    </row>
    <row r="1510" ht="15" customHeight="1" s="14">
      <c r="A1510" s="18" t="n">
        <v>16496</v>
      </c>
    </row>
    <row r="1511" ht="15" customHeight="1" s="14">
      <c r="A1511" s="18" t="n">
        <v>16503</v>
      </c>
    </row>
    <row r="1512" ht="15" customHeight="1" s="14">
      <c r="A1512" s="18" t="n">
        <v>16506</v>
      </c>
    </row>
    <row r="1513" ht="15" customHeight="1" s="14">
      <c r="A1513" s="18" t="n">
        <v>16582</v>
      </c>
    </row>
    <row r="1514" ht="15" customHeight="1" s="14">
      <c r="A1514" s="18" t="n">
        <v>16641</v>
      </c>
    </row>
    <row r="1515" ht="15" customHeight="1" s="14">
      <c r="A1515" s="18" t="n">
        <v>16682</v>
      </c>
    </row>
    <row r="1516" ht="15" customHeight="1" s="14">
      <c r="A1516" s="18" t="n">
        <v>16686</v>
      </c>
    </row>
    <row r="1517" ht="15" customHeight="1" s="14">
      <c r="A1517" s="18" t="n">
        <v>16693</v>
      </c>
    </row>
    <row r="1518" ht="15" customHeight="1" s="14">
      <c r="A1518" s="18" t="n">
        <v>16766</v>
      </c>
    </row>
    <row r="1519" ht="15" customHeight="1" s="14">
      <c r="A1519" s="18" t="n">
        <v>16775</v>
      </c>
    </row>
    <row r="1520" ht="15" customHeight="1" s="14">
      <c r="A1520" s="18" t="n">
        <v>16776</v>
      </c>
    </row>
    <row r="1521" ht="15" customHeight="1" s="14">
      <c r="A1521" s="18" t="n">
        <v>16777</v>
      </c>
    </row>
    <row r="1522" ht="15" customHeight="1" s="14">
      <c r="A1522" s="18" t="n">
        <v>16792</v>
      </c>
    </row>
    <row r="1523" ht="15" customHeight="1" s="14">
      <c r="A1523" s="18" t="n">
        <v>16793</v>
      </c>
    </row>
    <row r="1524" ht="15" customHeight="1" s="14">
      <c r="A1524" s="18" t="n">
        <v>16844</v>
      </c>
    </row>
    <row r="1525" ht="15" customHeight="1" s="14">
      <c r="A1525" s="18" t="n">
        <v>16845</v>
      </c>
    </row>
    <row r="1526" ht="15" customHeight="1" s="14">
      <c r="A1526" s="18" t="n">
        <v>16848</v>
      </c>
    </row>
    <row r="1527" ht="15" customHeight="1" s="14">
      <c r="A1527" s="18" t="n">
        <v>16870</v>
      </c>
    </row>
    <row r="1528" ht="15" customHeight="1" s="14">
      <c r="A1528" s="18" t="n">
        <v>16873</v>
      </c>
    </row>
    <row r="1529" ht="15" customHeight="1" s="14">
      <c r="A1529" s="18" t="n">
        <v>16889</v>
      </c>
    </row>
    <row r="1530" ht="15" customHeight="1" s="14">
      <c r="A1530" s="18" t="n">
        <v>16954</v>
      </c>
    </row>
    <row r="1531" ht="15" customHeight="1" s="14">
      <c r="A1531" s="18" t="n">
        <v>17011</v>
      </c>
    </row>
    <row r="1532" ht="15" customHeight="1" s="14">
      <c r="A1532" s="18" t="n">
        <v>17038</v>
      </c>
    </row>
    <row r="1533" ht="15" customHeight="1" s="14">
      <c r="A1533" s="18" t="n">
        <v>17070</v>
      </c>
    </row>
    <row r="1534" ht="15" customHeight="1" s="14">
      <c r="A1534" s="18" t="n">
        <v>17084</v>
      </c>
    </row>
    <row r="1535" ht="15" customHeight="1" s="14">
      <c r="A1535" s="18" t="n">
        <v>17094</v>
      </c>
    </row>
    <row r="1536" ht="15" customHeight="1" s="14">
      <c r="A1536" s="18" t="n">
        <v>17104</v>
      </c>
    </row>
    <row r="1537" ht="15" customHeight="1" s="14">
      <c r="A1537" s="18" t="n">
        <v>17124</v>
      </c>
    </row>
    <row r="1538" ht="15" customHeight="1" s="14">
      <c r="A1538" s="18" t="n">
        <v>17169</v>
      </c>
    </row>
    <row r="1539" ht="15" customHeight="1" s="14">
      <c r="A1539" s="18" t="n">
        <v>17170</v>
      </c>
    </row>
    <row r="1540" ht="15" customHeight="1" s="14">
      <c r="A1540" s="18" t="n">
        <v>17228</v>
      </c>
    </row>
    <row r="1541" ht="15" customHeight="1" s="14">
      <c r="A1541" s="18" t="n">
        <v>17247</v>
      </c>
    </row>
    <row r="1542" ht="15" customHeight="1" s="14">
      <c r="A1542" s="18" t="n">
        <v>17253</v>
      </c>
    </row>
    <row r="1543" ht="15" customHeight="1" s="14">
      <c r="A1543" s="18" t="n">
        <v>17336</v>
      </c>
    </row>
    <row r="1544" ht="15" customHeight="1" s="14">
      <c r="A1544" s="18" t="n">
        <v>17381</v>
      </c>
    </row>
    <row r="1545" ht="15" customHeight="1" s="14">
      <c r="A1545" s="18" t="n">
        <v>17398</v>
      </c>
    </row>
    <row r="1546" ht="15" customHeight="1" s="14">
      <c r="A1546" s="18" t="n">
        <v>17416</v>
      </c>
    </row>
    <row r="1547" ht="15" customHeight="1" s="14">
      <c r="A1547" s="18" t="n">
        <v>17461</v>
      </c>
    </row>
    <row r="1548" ht="15" customHeight="1" s="14">
      <c r="A1548" s="18" t="n">
        <v>17486</v>
      </c>
    </row>
    <row r="1549" ht="15" customHeight="1" s="14">
      <c r="A1549" s="18" t="n">
        <v>17568</v>
      </c>
    </row>
    <row r="1550" ht="15" customHeight="1" s="14">
      <c r="A1550" s="18" t="n">
        <v>17581</v>
      </c>
    </row>
    <row r="1551" ht="15" customHeight="1" s="14">
      <c r="A1551" s="18" t="n">
        <v>17597</v>
      </c>
    </row>
    <row r="1552" ht="15" customHeight="1" s="14">
      <c r="A1552" s="18" t="n">
        <v>17640</v>
      </c>
    </row>
    <row r="1553" ht="15" customHeight="1" s="14">
      <c r="A1553" s="18" t="n">
        <v>17665</v>
      </c>
    </row>
    <row r="1554" ht="15" customHeight="1" s="14">
      <c r="A1554" s="18" t="n">
        <v>17672</v>
      </c>
    </row>
    <row r="1555" ht="15" customHeight="1" s="14">
      <c r="A1555" s="18" t="n">
        <v>17677</v>
      </c>
    </row>
    <row r="1556" ht="15" customHeight="1" s="14">
      <c r="A1556" s="18" t="n">
        <v>17679</v>
      </c>
    </row>
    <row r="1557" ht="15" customHeight="1" s="14">
      <c r="A1557" s="18" t="n">
        <v>17725</v>
      </c>
    </row>
    <row r="1558" ht="15" customHeight="1" s="14">
      <c r="A1558" s="18" t="n">
        <v>17745</v>
      </c>
    </row>
    <row r="1559" ht="15" customHeight="1" s="14">
      <c r="A1559" s="18" t="n">
        <v>17746</v>
      </c>
    </row>
    <row r="1560" ht="15" customHeight="1" s="14">
      <c r="A1560" s="18" t="n">
        <v>17761</v>
      </c>
    </row>
    <row r="1561" ht="15" customHeight="1" s="14">
      <c r="A1561" s="18" t="n">
        <v>17793</v>
      </c>
    </row>
    <row r="1562" ht="15" customHeight="1" s="14">
      <c r="A1562" s="18" t="n">
        <v>17803</v>
      </c>
    </row>
    <row r="1563" ht="15" customHeight="1" s="14">
      <c r="A1563" s="18" t="n">
        <v>17831</v>
      </c>
    </row>
    <row r="1564" ht="15" customHeight="1" s="14">
      <c r="A1564" s="18" t="n">
        <v>17832</v>
      </c>
    </row>
    <row r="1565" ht="15" customHeight="1" s="14">
      <c r="A1565" s="18" t="n">
        <v>17833</v>
      </c>
    </row>
    <row r="1566" ht="15" customHeight="1" s="14">
      <c r="A1566" s="18" t="n">
        <v>17836</v>
      </c>
    </row>
    <row r="1567" ht="15" customHeight="1" s="14">
      <c r="A1567" s="18" t="n">
        <v>17837</v>
      </c>
    </row>
    <row r="1568" ht="15" customHeight="1" s="14">
      <c r="A1568" s="18" t="n">
        <v>17838</v>
      </c>
    </row>
    <row r="1569" ht="15" customHeight="1" s="14">
      <c r="A1569" s="18" t="n">
        <v>17853</v>
      </c>
    </row>
    <row r="1570" ht="15" customHeight="1" s="14">
      <c r="A1570" s="18" t="n">
        <v>17886</v>
      </c>
    </row>
    <row r="1571" ht="15" customHeight="1" s="14">
      <c r="A1571" s="18" t="n">
        <v>17947</v>
      </c>
    </row>
    <row r="1572" ht="15" customHeight="1" s="14">
      <c r="A1572" s="18" t="n">
        <v>17972</v>
      </c>
    </row>
    <row r="1573" ht="15" customHeight="1" s="14">
      <c r="A1573" s="18" t="n">
        <v>18002</v>
      </c>
    </row>
    <row r="1574" ht="15" customHeight="1" s="14">
      <c r="A1574" s="18" t="n">
        <v>18006</v>
      </c>
    </row>
    <row r="1575" ht="15" customHeight="1" s="14">
      <c r="A1575" s="18" t="n">
        <v>18046</v>
      </c>
    </row>
    <row r="1576" ht="15" customHeight="1" s="14">
      <c r="A1576" s="18" t="n">
        <v>18084</v>
      </c>
    </row>
    <row r="1577" ht="15" customHeight="1" s="14">
      <c r="A1577" s="18" t="n">
        <v>18099</v>
      </c>
    </row>
    <row r="1578" ht="15" customHeight="1" s="14">
      <c r="A1578" s="18" t="n">
        <v>18133</v>
      </c>
    </row>
    <row r="1579" ht="15" customHeight="1" s="14">
      <c r="A1579" s="18" t="n">
        <v>18193</v>
      </c>
    </row>
    <row r="1580" ht="15" customHeight="1" s="14">
      <c r="A1580" s="18" t="n">
        <v>18233</v>
      </c>
    </row>
    <row r="1581" ht="15" customHeight="1" s="14">
      <c r="A1581" s="18" t="n">
        <v>18312</v>
      </c>
    </row>
    <row r="1582" ht="15" customHeight="1" s="14">
      <c r="A1582" s="18" t="n">
        <v>18333</v>
      </c>
    </row>
    <row r="1583" ht="15" customHeight="1" s="14">
      <c r="A1583" s="18" t="n">
        <v>18354</v>
      </c>
    </row>
    <row r="1584" ht="15" customHeight="1" s="14">
      <c r="A1584" s="18" t="n">
        <v>18420</v>
      </c>
    </row>
    <row r="1585" ht="15" customHeight="1" s="14">
      <c r="A1585" s="18" t="n">
        <v>18430</v>
      </c>
    </row>
    <row r="1586" ht="15" customHeight="1" s="14">
      <c r="A1586" s="18" t="n">
        <v>18435</v>
      </c>
    </row>
    <row r="1587" ht="15" customHeight="1" s="14">
      <c r="A1587" s="18" t="n">
        <v>18438</v>
      </c>
    </row>
    <row r="1588" ht="15" customHeight="1" s="14">
      <c r="A1588" s="18" t="n">
        <v>18452</v>
      </c>
    </row>
    <row r="1589" ht="15" customHeight="1" s="14">
      <c r="A1589" s="18" t="n">
        <v>18457</v>
      </c>
    </row>
    <row r="1590" ht="15" customHeight="1" s="14">
      <c r="A1590" s="18" t="n">
        <v>18466</v>
      </c>
    </row>
    <row r="1591" ht="15" customHeight="1" s="14">
      <c r="A1591" s="18" t="n">
        <v>18546</v>
      </c>
    </row>
    <row r="1592" ht="15" customHeight="1" s="14">
      <c r="A1592" s="18" t="n">
        <v>18626</v>
      </c>
    </row>
    <row r="1593" ht="15" customHeight="1" s="14">
      <c r="A1593" s="18" t="n">
        <v>18649</v>
      </c>
    </row>
    <row r="1594" ht="15" customHeight="1" s="14">
      <c r="A1594" s="18" t="n">
        <v>18769</v>
      </c>
    </row>
    <row r="1595" ht="15" customHeight="1" s="14">
      <c r="A1595" s="18" t="n">
        <v>18777</v>
      </c>
    </row>
    <row r="1596" ht="15" customHeight="1" s="14">
      <c r="A1596" s="18" t="n">
        <v>18819</v>
      </c>
    </row>
    <row r="1597" ht="15" customHeight="1" s="14">
      <c r="A1597" s="18" t="n">
        <v>18871</v>
      </c>
    </row>
    <row r="1598" ht="15" customHeight="1" s="14">
      <c r="A1598" s="18" t="n">
        <v>18934</v>
      </c>
    </row>
    <row r="1599" ht="15" customHeight="1" s="14">
      <c r="A1599" s="18" t="n">
        <v>18949</v>
      </c>
    </row>
    <row r="1600" ht="15" customHeight="1" s="14">
      <c r="A1600" s="18" t="n">
        <v>18964</v>
      </c>
    </row>
    <row r="1601" ht="15" customHeight="1" s="14">
      <c r="A1601" s="18" t="n">
        <v>18972</v>
      </c>
    </row>
    <row r="1602" ht="15" customHeight="1" s="14">
      <c r="A1602" s="18" t="n">
        <v>18983</v>
      </c>
    </row>
    <row r="1603" ht="15" customHeight="1" s="14">
      <c r="A1603" s="18" t="n">
        <v>19011</v>
      </c>
    </row>
    <row r="1604" ht="15" customHeight="1" s="14">
      <c r="A1604" s="18" t="n">
        <v>19116</v>
      </c>
    </row>
    <row r="1605" ht="15" customHeight="1" s="14">
      <c r="A1605" s="18" t="n">
        <v>19172</v>
      </c>
    </row>
    <row r="1606" ht="15" customHeight="1" s="14">
      <c r="A1606" s="18" t="n">
        <v>19232</v>
      </c>
    </row>
    <row r="1607" ht="15" customHeight="1" s="14">
      <c r="A1607" s="18" t="n">
        <v>19263</v>
      </c>
    </row>
    <row r="1608" ht="15" customHeight="1" s="14">
      <c r="A1608" s="18" t="n">
        <v>19407</v>
      </c>
    </row>
    <row r="1609" ht="15" customHeight="1" s="14">
      <c r="A1609" s="18" t="n">
        <v>19412</v>
      </c>
    </row>
    <row r="1610" ht="15" customHeight="1" s="14">
      <c r="A1610" s="18" t="n">
        <v>19418</v>
      </c>
    </row>
    <row r="1611" ht="15" customHeight="1" s="14">
      <c r="A1611" s="18" t="n">
        <v>19431</v>
      </c>
    </row>
    <row r="1612" ht="15" customHeight="1" s="14">
      <c r="A1612" s="18" t="n">
        <v>19438</v>
      </c>
    </row>
    <row r="1613" ht="15" customHeight="1" s="14">
      <c r="A1613" s="18" t="n">
        <v>19472</v>
      </c>
    </row>
    <row r="1614" ht="15" customHeight="1" s="14">
      <c r="A1614" s="18" t="n">
        <v>19736</v>
      </c>
    </row>
    <row r="1615" ht="15" customHeight="1" s="14">
      <c r="A1615" s="18" t="n">
        <v>19773</v>
      </c>
    </row>
    <row r="1616" ht="15" customHeight="1" s="14">
      <c r="A1616" s="18" t="n">
        <v>19781</v>
      </c>
    </row>
    <row r="1617" ht="15" customHeight="1" s="14">
      <c r="A1617" s="18" t="n">
        <v>19797</v>
      </c>
    </row>
    <row r="1618" ht="15" customHeight="1" s="14">
      <c r="A1618" s="18" t="n">
        <v>19835</v>
      </c>
    </row>
    <row r="1619" ht="15" customHeight="1" s="14">
      <c r="A1619" s="18" t="n">
        <v>19859</v>
      </c>
    </row>
    <row r="1620" ht="15" customHeight="1" s="14">
      <c r="A1620" s="18" t="n">
        <v>19875</v>
      </c>
    </row>
    <row r="1621" ht="15" customHeight="1" s="14">
      <c r="A1621" s="18" t="n">
        <v>19877</v>
      </c>
    </row>
    <row r="1622" ht="15" customHeight="1" s="14">
      <c r="A1622" s="18" t="n">
        <v>19899</v>
      </c>
    </row>
    <row r="1623" ht="15" customHeight="1" s="14">
      <c r="A1623" s="18" t="n">
        <v>19926</v>
      </c>
    </row>
    <row r="1624" ht="15" customHeight="1" s="14">
      <c r="A1624" s="18" t="n">
        <v>19930</v>
      </c>
    </row>
    <row r="1625" ht="15" customHeight="1" s="14">
      <c r="A1625" s="18" t="n">
        <v>19949</v>
      </c>
    </row>
    <row r="1626" ht="15" customHeight="1" s="14">
      <c r="A1626" s="18" t="n">
        <v>19983</v>
      </c>
    </row>
    <row r="1627" ht="15" customHeight="1" s="14">
      <c r="A1627" s="18" t="n">
        <v>19984</v>
      </c>
    </row>
    <row r="1628" ht="15" customHeight="1" s="14">
      <c r="A1628" s="18" t="n">
        <v>20048</v>
      </c>
    </row>
    <row r="1629" ht="15" customHeight="1" s="14">
      <c r="A1629" s="18" t="n">
        <v>20050</v>
      </c>
    </row>
    <row r="1630" ht="15" customHeight="1" s="14">
      <c r="A1630" s="18" t="n">
        <v>20081</v>
      </c>
    </row>
    <row r="1631" ht="15" customHeight="1" s="14">
      <c r="A1631" s="18" t="n">
        <v>20131</v>
      </c>
    </row>
    <row r="1632" ht="15" customHeight="1" s="14">
      <c r="A1632" s="18" t="n">
        <v>20184</v>
      </c>
    </row>
    <row r="1633" ht="15" customHeight="1" s="14">
      <c r="A1633" s="18" t="n">
        <v>20203</v>
      </c>
    </row>
    <row r="1634" ht="15" customHeight="1" s="14">
      <c r="A1634" s="18" t="n">
        <v>20306</v>
      </c>
    </row>
    <row r="1635" ht="15" customHeight="1" s="14">
      <c r="A1635" s="18" t="n">
        <v>20307</v>
      </c>
    </row>
    <row r="1636" ht="15" customHeight="1" s="14">
      <c r="A1636" s="18" t="n">
        <v>20387</v>
      </c>
    </row>
    <row r="1637" ht="15" customHeight="1" s="14">
      <c r="A1637" s="18" t="n">
        <v>20629</v>
      </c>
    </row>
    <row r="1638" ht="15" customHeight="1" s="14">
      <c r="A1638" s="18" t="n">
        <v>20686</v>
      </c>
    </row>
    <row r="1639" ht="15" customHeight="1" s="14">
      <c r="A1639" s="18" t="n">
        <v>20922</v>
      </c>
    </row>
    <row r="1640" ht="15" customHeight="1" s="14">
      <c r="A1640" s="18" t="n">
        <v>20923</v>
      </c>
    </row>
    <row r="1641" ht="15" customHeight="1" s="14">
      <c r="A1641" s="18" t="n">
        <v>21030</v>
      </c>
    </row>
    <row r="1642" ht="15" customHeight="1" s="14">
      <c r="A1642" s="18" t="n">
        <v>21088</v>
      </c>
    </row>
    <row r="1643" ht="15" customHeight="1" s="14">
      <c r="A1643" s="18" t="n">
        <v>21109</v>
      </c>
    </row>
    <row r="1644" ht="15" customHeight="1" s="14">
      <c r="A1644" s="18" t="n">
        <v>21178</v>
      </c>
    </row>
    <row r="1645" ht="15" customHeight="1" s="14">
      <c r="A1645" s="18" t="n">
        <v>21183</v>
      </c>
    </row>
    <row r="1646" ht="15" customHeight="1" s="14">
      <c r="A1646" s="18" t="n">
        <v>21240</v>
      </c>
    </row>
    <row r="1647" ht="15" customHeight="1" s="14">
      <c r="A1647" s="18" t="n">
        <v>21241</v>
      </c>
    </row>
    <row r="1648" ht="15" customHeight="1" s="14">
      <c r="A1648" s="18" t="n">
        <v>21266</v>
      </c>
    </row>
    <row r="1649" ht="15" customHeight="1" s="14">
      <c r="A1649" s="18" t="n">
        <v>21302</v>
      </c>
    </row>
    <row r="1650" ht="15" customHeight="1" s="14">
      <c r="A1650" s="18" t="n">
        <v>21323</v>
      </c>
    </row>
    <row r="1651" ht="15" customHeight="1" s="14">
      <c r="A1651" s="18" t="n">
        <v>21337</v>
      </c>
    </row>
    <row r="1652" ht="15" customHeight="1" s="14">
      <c r="A1652" s="18" t="n">
        <v>21368</v>
      </c>
    </row>
    <row r="1653" ht="15" customHeight="1" s="14">
      <c r="A1653" s="18" t="n">
        <v>21373</v>
      </c>
    </row>
    <row r="1654" ht="15" customHeight="1" s="14">
      <c r="A1654" s="18" t="n">
        <v>21610</v>
      </c>
    </row>
    <row r="1655" ht="15" customHeight="1" s="14">
      <c r="A1655" s="18" t="n">
        <v>21719</v>
      </c>
    </row>
    <row r="1656" ht="15" customHeight="1" s="14">
      <c r="A1656" s="18" t="n">
        <v>21742</v>
      </c>
    </row>
    <row r="1657" ht="15" customHeight="1" s="14">
      <c r="A1657" s="18" t="n">
        <v>21746</v>
      </c>
    </row>
    <row r="1658" ht="15" customHeight="1" s="14">
      <c r="A1658" s="18" t="n">
        <v>21791</v>
      </c>
    </row>
    <row r="1659" ht="15" customHeight="1" s="14">
      <c r="A1659" s="18" t="n">
        <v>21807</v>
      </c>
    </row>
    <row r="1660" ht="15" customHeight="1" s="14">
      <c r="A1660" s="18" t="n">
        <v>21809</v>
      </c>
    </row>
    <row r="1661" ht="15" customHeight="1" s="14">
      <c r="A1661" s="18" t="n">
        <v>21832</v>
      </c>
    </row>
    <row r="1662" ht="15" customHeight="1" s="14">
      <c r="A1662" s="18" t="n">
        <v>21850</v>
      </c>
    </row>
    <row r="1663" ht="15" customHeight="1" s="14">
      <c r="A1663" s="18" t="n">
        <v>21853</v>
      </c>
    </row>
    <row r="1664" ht="15" customHeight="1" s="14">
      <c r="A1664" s="18" t="n">
        <v>21942</v>
      </c>
    </row>
    <row r="1665" ht="15" customHeight="1" s="14">
      <c r="A1665" s="18" t="n">
        <v>21978</v>
      </c>
    </row>
    <row r="1666" ht="15" customHeight="1" s="14">
      <c r="A1666" s="18" t="n">
        <v>21979</v>
      </c>
    </row>
    <row r="1667" ht="15" customHeight="1" s="14">
      <c r="A1667" s="18" t="n">
        <v>21986</v>
      </c>
    </row>
    <row r="1668" ht="15" customHeight="1" s="14">
      <c r="A1668" s="18" t="n">
        <v>22018</v>
      </c>
    </row>
    <row r="1669" ht="15" customHeight="1" s="14">
      <c r="A1669" s="18" t="n">
        <v>22078</v>
      </c>
    </row>
    <row r="1670" ht="15" customHeight="1" s="14">
      <c r="A1670" s="18" t="n">
        <v>22092</v>
      </c>
    </row>
    <row r="1671" ht="15" customHeight="1" s="14">
      <c r="A1671" s="18" t="n">
        <v>22093</v>
      </c>
    </row>
    <row r="1672" ht="15" customHeight="1" s="14">
      <c r="A1672" s="18" t="n">
        <v>22141</v>
      </c>
    </row>
    <row r="1673" ht="15" customHeight="1" s="14">
      <c r="A1673" s="18" t="n">
        <v>22333</v>
      </c>
    </row>
    <row r="1674" ht="15" customHeight="1" s="14">
      <c r="A1674" s="18" t="n">
        <v>22422</v>
      </c>
    </row>
    <row r="1675" ht="15" customHeight="1" s="14">
      <c r="A1675" s="18" t="n">
        <v>22428</v>
      </c>
    </row>
    <row r="1676" ht="15" customHeight="1" s="14">
      <c r="A1676" s="18" t="n">
        <v>22429</v>
      </c>
    </row>
    <row r="1677" ht="15" customHeight="1" s="14">
      <c r="A1677" s="18" t="n">
        <v>22527</v>
      </c>
    </row>
    <row r="1678" ht="15" customHeight="1" s="14">
      <c r="A1678" s="18" t="n">
        <v>22558</v>
      </c>
    </row>
    <row r="1679" ht="15" customHeight="1" s="14">
      <c r="A1679" s="18" t="n">
        <v>22646</v>
      </c>
    </row>
    <row r="1680" ht="15" customHeight="1" s="14">
      <c r="A1680" s="18" t="n">
        <v>22666</v>
      </c>
    </row>
    <row r="1681" ht="15" customHeight="1" s="14">
      <c r="A1681" s="18" t="n">
        <v>22689</v>
      </c>
    </row>
    <row r="1682" ht="15" customHeight="1" s="14">
      <c r="A1682" s="18" t="n">
        <v>22698</v>
      </c>
    </row>
    <row r="1683" ht="15" customHeight="1" s="14">
      <c r="A1683" s="18" t="n">
        <v>22820</v>
      </c>
    </row>
    <row r="1684" ht="15" customHeight="1" s="14">
      <c r="A1684" s="18" t="n">
        <v>22856</v>
      </c>
    </row>
    <row r="1685" ht="15" customHeight="1" s="14">
      <c r="A1685" s="18" t="n">
        <v>22867</v>
      </c>
    </row>
    <row r="1686" ht="15" customHeight="1" s="14">
      <c r="A1686" s="18" t="n">
        <v>22891</v>
      </c>
    </row>
    <row r="1687" ht="15" customHeight="1" s="14">
      <c r="A1687" s="18" t="n">
        <v>22925</v>
      </c>
    </row>
    <row r="1688" ht="15" customHeight="1" s="14">
      <c r="A1688" s="18" t="n">
        <v>22926</v>
      </c>
    </row>
    <row r="1689" ht="15" customHeight="1" s="14">
      <c r="A1689" s="18" t="n">
        <v>23027</v>
      </c>
    </row>
    <row r="1690" ht="15" customHeight="1" s="14">
      <c r="A1690" s="18" t="n">
        <v>23052</v>
      </c>
    </row>
    <row r="1691" ht="15" customHeight="1" s="14">
      <c r="A1691" s="18" t="n">
        <v>23124</v>
      </c>
    </row>
    <row r="1692" ht="15" customHeight="1" s="14">
      <c r="A1692" s="18" t="n">
        <v>23125</v>
      </c>
    </row>
    <row r="1693" ht="15" customHeight="1" s="14">
      <c r="A1693" s="18" t="n">
        <v>23155</v>
      </c>
    </row>
    <row r="1694" ht="15" customHeight="1" s="14">
      <c r="A1694" s="18" t="n">
        <v>23161</v>
      </c>
    </row>
    <row r="1695" ht="15" customHeight="1" s="14">
      <c r="A1695" s="18" t="n">
        <v>23169</v>
      </c>
    </row>
    <row r="1696" ht="15" customHeight="1" s="14">
      <c r="A1696" s="18" t="n">
        <v>23470</v>
      </c>
    </row>
    <row r="1697" ht="15" customHeight="1" s="14">
      <c r="A1697" s="18" t="n">
        <v>23986</v>
      </c>
    </row>
    <row r="1698" ht="15" customHeight="1" s="14">
      <c r="A1698" s="18" t="n">
        <v>24097</v>
      </c>
    </row>
    <row r="1699" ht="15" customHeight="1" s="14">
      <c r="A1699" s="18" t="n">
        <v>24205</v>
      </c>
    </row>
    <row r="1700" ht="15" customHeight="1" s="14">
      <c r="A1700" s="18" t="n">
        <v>24603</v>
      </c>
    </row>
    <row r="1701" ht="15" customHeight="1" s="14">
      <c r="A1701" s="18" t="n">
        <v>24605</v>
      </c>
    </row>
    <row r="1702" ht="15" customHeight="1" s="14">
      <c r="A1702" s="18" t="n">
        <v>25187</v>
      </c>
    </row>
    <row r="1703" ht="15" customHeight="1" s="14">
      <c r="A1703" s="18" t="n">
        <v>25268</v>
      </c>
    </row>
    <row r="1704" ht="15" customHeight="1" s="14">
      <c r="A1704" s="18" t="n">
        <v>25308</v>
      </c>
    </row>
    <row r="1705" ht="15" customHeight="1" s="14">
      <c r="A1705" s="18" t="n">
        <v>50003</v>
      </c>
    </row>
    <row r="1706" ht="15" customHeight="1" s="14">
      <c r="A1706" s="18" t="n">
        <v>50005</v>
      </c>
    </row>
    <row r="1707" ht="15" customHeight="1" s="14">
      <c r="A1707" s="18" t="n">
        <v>50022</v>
      </c>
    </row>
    <row r="1708" ht="15" customHeight="1" s="14">
      <c r="A1708" s="18" t="n">
        <v>50029</v>
      </c>
    </row>
    <row r="1709" ht="15" customHeight="1" s="14">
      <c r="A1709" s="18" t="n">
        <v>50030</v>
      </c>
    </row>
    <row r="1710" ht="15" customHeight="1" s="14">
      <c r="A1710" s="18" t="n">
        <v>50047</v>
      </c>
    </row>
    <row r="1711" ht="15" customHeight="1" s="14">
      <c r="A1711" s="18" t="n">
        <v>50071</v>
      </c>
    </row>
    <row r="1712" ht="15" customHeight="1" s="14">
      <c r="A1712" s="18" t="n">
        <v>50096</v>
      </c>
    </row>
    <row r="1713" ht="15" customHeight="1" s="14">
      <c r="A1713" s="18" t="n">
        <v>50097</v>
      </c>
    </row>
    <row r="1714" ht="15" customHeight="1" s="14">
      <c r="A1714" s="18" t="n">
        <v>50107</v>
      </c>
    </row>
    <row r="1715" ht="15" customHeight="1" s="14">
      <c r="A1715" s="18" t="n">
        <v>50114</v>
      </c>
    </row>
    <row r="1716" ht="15" customHeight="1" s="14">
      <c r="A1716" s="18" t="n">
        <v>50202</v>
      </c>
    </row>
    <row r="1717" ht="15" customHeight="1" s="14">
      <c r="A1717" s="18" t="n">
        <v>50266</v>
      </c>
    </row>
    <row r="1718" ht="15" customHeight="1" s="14">
      <c r="A1718" s="18" t="n">
        <v>50280</v>
      </c>
    </row>
    <row r="1719" ht="15" customHeight="1" s="14">
      <c r="A1719" s="18" t="n">
        <v>50293</v>
      </c>
    </row>
    <row r="1720" ht="15" customHeight="1" s="14">
      <c r="A1720" s="18" t="n">
        <v>50294</v>
      </c>
    </row>
    <row r="1721" ht="15" customHeight="1" s="14">
      <c r="A1721" s="18" t="n">
        <v>50295</v>
      </c>
    </row>
    <row r="1722" ht="15" customHeight="1" s="14">
      <c r="A1722" s="18" t="n">
        <v>50327</v>
      </c>
    </row>
    <row r="1723" ht="15" customHeight="1" s="14">
      <c r="A1723" s="18" t="n">
        <v>50341</v>
      </c>
    </row>
    <row r="1724" ht="15" customHeight="1" s="14">
      <c r="A1724" s="18" t="n">
        <v>50342</v>
      </c>
    </row>
    <row r="1725" ht="15" customHeight="1" s="14">
      <c r="A1725" s="18" t="n">
        <v>50345</v>
      </c>
    </row>
    <row r="1726" ht="15" customHeight="1" s="14">
      <c r="A1726" s="18" t="n">
        <v>50348</v>
      </c>
    </row>
    <row r="1727" ht="15" customHeight="1" s="14">
      <c r="A1727" s="18" t="n">
        <v>50357</v>
      </c>
    </row>
    <row r="1728" ht="15" customHeight="1" s="14">
      <c r="A1728" s="18" t="n">
        <v>50358</v>
      </c>
    </row>
    <row r="1729" ht="15" customHeight="1" s="14">
      <c r="A1729" s="18" t="n">
        <v>50378</v>
      </c>
    </row>
    <row r="1730" ht="15" customHeight="1" s="14">
      <c r="A1730" s="18" t="n">
        <v>50390</v>
      </c>
    </row>
    <row r="1731" ht="15" customHeight="1" s="14">
      <c r="A1731" s="18" t="n">
        <v>50392</v>
      </c>
    </row>
    <row r="1732" ht="15" customHeight="1" s="14">
      <c r="A1732" s="18" t="n">
        <v>50393</v>
      </c>
    </row>
    <row r="1733" ht="15" customHeight="1" s="14">
      <c r="A1733" s="18" t="n">
        <v>50401</v>
      </c>
    </row>
    <row r="1734" ht="15" customHeight="1" s="14">
      <c r="A1734" s="18" t="n">
        <v>50402</v>
      </c>
    </row>
    <row r="1735" ht="15" customHeight="1" s="14">
      <c r="A1735" s="18" t="n">
        <v>50404</v>
      </c>
    </row>
    <row r="1736" ht="15" customHeight="1" s="14">
      <c r="A1736" s="18" t="n">
        <v>50423</v>
      </c>
    </row>
    <row r="1737" ht="15" customHeight="1" s="14">
      <c r="A1737" s="18" t="n">
        <v>50426</v>
      </c>
    </row>
    <row r="1738" ht="15" customHeight="1" s="14">
      <c r="A1738" s="18" t="n">
        <v>50433</v>
      </c>
    </row>
    <row r="1739" ht="15" customHeight="1" s="14">
      <c r="A1739" s="18" t="n">
        <v>50438</v>
      </c>
    </row>
    <row r="1740" ht="15" customHeight="1" s="14">
      <c r="A1740" s="18" t="n">
        <v>50464</v>
      </c>
    </row>
    <row r="1741" ht="15" customHeight="1" s="14">
      <c r="A1741" s="18" t="n">
        <v>50510</v>
      </c>
    </row>
    <row r="1742" ht="15" customHeight="1" s="14">
      <c r="A1742" s="18" t="n">
        <v>50539</v>
      </c>
    </row>
    <row r="1743" ht="15" customHeight="1" s="14">
      <c r="A1743" s="18" t="n">
        <v>50563</v>
      </c>
    </row>
    <row r="1744" ht="15" customHeight="1" s="14">
      <c r="A1744" s="18" t="n">
        <v>50564</v>
      </c>
    </row>
    <row r="1745" ht="15" customHeight="1" s="14">
      <c r="A1745" s="18" t="n">
        <v>50570</v>
      </c>
    </row>
    <row r="1746" ht="15" customHeight="1" s="14">
      <c r="A1746" s="18" t="n">
        <v>50575</v>
      </c>
    </row>
    <row r="1747" ht="15" customHeight="1" s="14">
      <c r="A1747" s="18" t="n">
        <v>50580</v>
      </c>
    </row>
    <row r="1748" ht="15" customHeight="1" s="14">
      <c r="A1748" s="18" t="n">
        <v>50593</v>
      </c>
    </row>
    <row r="1749" ht="15" customHeight="1" s="14">
      <c r="A1749" s="18" t="n">
        <v>50594</v>
      </c>
    </row>
    <row r="1750" ht="15" customHeight="1" s="14">
      <c r="A1750" s="18" t="n">
        <v>50610</v>
      </c>
    </row>
    <row r="1751" ht="15" customHeight="1" s="14">
      <c r="A1751" s="18" t="n">
        <v>50622</v>
      </c>
    </row>
    <row r="1752" ht="15" customHeight="1" s="14">
      <c r="A1752" s="18" t="n">
        <v>50624</v>
      </c>
    </row>
    <row r="1753" ht="15" customHeight="1" s="14">
      <c r="A1753" s="18" t="n">
        <v>50628</v>
      </c>
    </row>
    <row r="1754" ht="15" customHeight="1" s="14">
      <c r="A1754" s="18" t="n">
        <v>50635</v>
      </c>
    </row>
    <row r="1755" ht="15" customHeight="1" s="14">
      <c r="A1755" s="18" t="n">
        <v>50640</v>
      </c>
    </row>
    <row r="1756" ht="15" customHeight="1" s="14">
      <c r="A1756" s="18" t="n">
        <v>50647</v>
      </c>
    </row>
    <row r="1757" ht="15" customHeight="1" s="14">
      <c r="A1757" s="18" t="n">
        <v>50684</v>
      </c>
    </row>
    <row r="1758" ht="15" customHeight="1" s="14">
      <c r="A1758" s="18" t="n">
        <v>50685</v>
      </c>
    </row>
    <row r="1759" ht="15" customHeight="1" s="14">
      <c r="A1759" s="18" t="n">
        <v>50686</v>
      </c>
    </row>
    <row r="1760" ht="15" customHeight="1" s="14">
      <c r="A1760" s="18" t="n">
        <v>50701</v>
      </c>
    </row>
    <row r="1761" ht="15" customHeight="1" s="14">
      <c r="A1761" s="18" t="n">
        <v>50702</v>
      </c>
    </row>
    <row r="1762" ht="15" customHeight="1" s="14">
      <c r="A1762" s="18" t="n">
        <v>50711</v>
      </c>
    </row>
    <row r="1763" ht="15" customHeight="1" s="14">
      <c r="A1763" s="18" t="n">
        <v>50712</v>
      </c>
    </row>
    <row r="1764" ht="15" customHeight="1" s="14">
      <c r="A1764" s="18" t="n">
        <v>50720</v>
      </c>
    </row>
    <row r="1765" ht="15" customHeight="1" s="14">
      <c r="A1765" s="18" t="n">
        <v>50722</v>
      </c>
    </row>
    <row r="1766" ht="15" customHeight="1" s="14">
      <c r="A1766" s="18" t="n">
        <v>50751</v>
      </c>
    </row>
    <row r="1767" ht="15" customHeight="1" s="14">
      <c r="A1767" s="18" t="n">
        <v>50769</v>
      </c>
    </row>
    <row r="1768" ht="15" customHeight="1" s="14">
      <c r="A1768" s="18" t="n">
        <v>50776</v>
      </c>
    </row>
    <row r="1769" ht="15" customHeight="1" s="14">
      <c r="A1769" s="18" t="n">
        <v>50823</v>
      </c>
    </row>
    <row r="1770" ht="15" customHeight="1" s="14">
      <c r="A1770" s="18" t="n">
        <v>50833</v>
      </c>
    </row>
    <row r="1771" ht="15" customHeight="1" s="14">
      <c r="A1771" s="18" t="n">
        <v>50841</v>
      </c>
    </row>
    <row r="1772" ht="15" customHeight="1" s="14">
      <c r="A1772" s="18" t="n">
        <v>50865</v>
      </c>
    </row>
    <row r="1773" ht="15" customHeight="1" s="14">
      <c r="A1773" s="18" t="n">
        <v>50872</v>
      </c>
    </row>
    <row r="1774" ht="15" customHeight="1" s="14">
      <c r="A1774" s="18" t="n">
        <v>50882</v>
      </c>
    </row>
    <row r="1775" ht="15" customHeight="1" s="14">
      <c r="A1775" s="18" t="n">
        <v>50883</v>
      </c>
    </row>
    <row r="1776" ht="15" customHeight="1" s="14">
      <c r="A1776" s="18" t="n">
        <v>50884</v>
      </c>
    </row>
    <row r="1777" ht="15" customHeight="1" s="14">
      <c r="A1777" s="18" t="n">
        <v>50886</v>
      </c>
    </row>
    <row r="1778" ht="15" customHeight="1" s="14">
      <c r="A1778" s="18" t="n">
        <v>50902</v>
      </c>
    </row>
    <row r="1779" ht="15" customHeight="1" s="14">
      <c r="A1779" s="18" t="n">
        <v>50910</v>
      </c>
    </row>
    <row r="1780" ht="15" customHeight="1" s="14">
      <c r="A1780" s="18" t="n">
        <v>50911</v>
      </c>
    </row>
    <row r="1781" ht="15" customHeight="1" s="14">
      <c r="A1781" s="18" t="n">
        <v>50929</v>
      </c>
    </row>
    <row r="1782" ht="15" customHeight="1" s="14">
      <c r="A1782" s="18" t="n">
        <v>50962</v>
      </c>
    </row>
    <row r="1783" ht="15" customHeight="1" s="14">
      <c r="A1783" s="18" t="n">
        <v>50963</v>
      </c>
    </row>
    <row r="1784" ht="15" customHeight="1" s="14">
      <c r="A1784" s="18" t="n">
        <v>50964</v>
      </c>
    </row>
    <row r="1785" ht="15" customHeight="1" s="14">
      <c r="A1785" s="18" t="n">
        <v>50965</v>
      </c>
    </row>
    <row r="1786" ht="15" customHeight="1" s="14">
      <c r="A1786" s="18" t="n">
        <v>50966</v>
      </c>
    </row>
    <row r="1787" ht="15" customHeight="1" s="14">
      <c r="A1787" s="18" t="n">
        <v>50967</v>
      </c>
    </row>
    <row r="1788" ht="15" customHeight="1" s="14">
      <c r="A1788" s="18" t="n">
        <v>50986</v>
      </c>
    </row>
    <row r="1789" ht="15" customHeight="1" s="14">
      <c r="A1789" s="18" t="n">
        <v>50996</v>
      </c>
    </row>
    <row r="1790" ht="15" customHeight="1" s="14">
      <c r="A1790" s="18" t="n">
        <v>51000</v>
      </c>
    </row>
    <row r="1791" ht="15" customHeight="1" s="14">
      <c r="A1791" s="18" t="n">
        <v>51001</v>
      </c>
    </row>
    <row r="1792" ht="15" customHeight="1" s="14">
      <c r="A1792" s="18" t="n">
        <v>51005</v>
      </c>
    </row>
    <row r="1793" ht="15" customHeight="1" s="14">
      <c r="A1793" s="18" t="n">
        <v>51057</v>
      </c>
    </row>
    <row r="1794" ht="15" customHeight="1" s="14">
      <c r="A1794" s="18" t="n">
        <v>51105</v>
      </c>
    </row>
    <row r="1795" ht="15" customHeight="1" s="14">
      <c r="A1795" s="18" t="n">
        <v>51120</v>
      </c>
    </row>
    <row r="1796" ht="15" customHeight="1" s="14">
      <c r="A1796" s="18" t="n">
        <v>51129</v>
      </c>
    </row>
    <row r="1797" ht="15" customHeight="1" s="14">
      <c r="A1797" s="18" t="n">
        <v>51204</v>
      </c>
    </row>
    <row r="1798" ht="15" customHeight="1" s="14">
      <c r="A1798" s="18" t="n">
        <v>51213</v>
      </c>
    </row>
    <row r="1799" ht="15" customHeight="1" s="14">
      <c r="A1799" s="18" t="n">
        <v>51252</v>
      </c>
    </row>
    <row r="1800" ht="15" customHeight="1" s="14">
      <c r="A1800" s="18" t="n">
        <v>51335</v>
      </c>
    </row>
    <row r="1801" ht="15" customHeight="1" s="14">
      <c r="A1801" s="18" t="n">
        <v>51339</v>
      </c>
    </row>
    <row r="1802" ht="15" customHeight="1" s="14">
      <c r="A1802" s="18" t="n">
        <v>51340</v>
      </c>
    </row>
    <row r="1803" ht="15" customHeight="1" s="14">
      <c r="A1803" s="18" t="n">
        <v>51348</v>
      </c>
    </row>
    <row r="1804" ht="15" customHeight="1" s="14">
      <c r="A1804" s="18" t="n">
        <v>51371</v>
      </c>
    </row>
    <row r="1805" ht="15" customHeight="1" s="14">
      <c r="A1805" s="18" t="n">
        <v>51380</v>
      </c>
    </row>
    <row r="1806" ht="15" customHeight="1" s="14">
      <c r="A1806" s="18" t="n">
        <v>51459</v>
      </c>
    </row>
    <row r="1807" ht="15" customHeight="1" s="14">
      <c r="A1807" s="18" t="n">
        <v>51462</v>
      </c>
    </row>
    <row r="1808" ht="15" customHeight="1" s="14">
      <c r="A1808" s="18" t="n">
        <v>51473</v>
      </c>
    </row>
    <row r="1809" ht="15" customHeight="1" s="14">
      <c r="A1809" s="18" t="n">
        <v>51479</v>
      </c>
    </row>
    <row r="1810" ht="15" customHeight="1" s="14">
      <c r="A1810" s="18" t="n">
        <v>51485</v>
      </c>
    </row>
    <row r="1811" ht="15" customHeight="1" s="14">
      <c r="A1811" s="18" t="n">
        <v>51492</v>
      </c>
    </row>
    <row r="1812" ht="15" customHeight="1" s="14">
      <c r="A1812" s="18" t="n">
        <v>51502</v>
      </c>
    </row>
    <row r="1813" ht="15" customHeight="1" s="14">
      <c r="A1813" s="18" t="n">
        <v>51504</v>
      </c>
    </row>
    <row r="1814" ht="15" customHeight="1" s="14">
      <c r="A1814" s="18" t="n">
        <v>51513</v>
      </c>
    </row>
    <row r="1815" ht="15" customHeight="1" s="14">
      <c r="A1815" s="18" t="n">
        <v>51516</v>
      </c>
    </row>
    <row r="1816" ht="15" customHeight="1" s="14">
      <c r="A1816" s="18" t="n">
        <v>51517</v>
      </c>
    </row>
    <row r="1817" ht="15" customHeight="1" s="14">
      <c r="A1817" s="18" t="n">
        <v>51518</v>
      </c>
    </row>
    <row r="1818" ht="15" customHeight="1" s="14">
      <c r="A1818" s="18" t="n">
        <v>51520</v>
      </c>
    </row>
    <row r="1819" ht="15" customHeight="1" s="14">
      <c r="A1819" s="18" t="n">
        <v>51525</v>
      </c>
    </row>
    <row r="1820" ht="15" customHeight="1" s="14">
      <c r="A1820" s="18" t="n">
        <v>51526</v>
      </c>
    </row>
    <row r="1821" ht="15" customHeight="1" s="14">
      <c r="A1821" s="18" t="n">
        <v>51644</v>
      </c>
    </row>
    <row r="1822" ht="15" customHeight="1" s="14">
      <c r="A1822" s="18" t="n">
        <v>51653</v>
      </c>
    </row>
    <row r="1823" ht="15" customHeight="1" s="14">
      <c r="A1823" s="18" t="n">
        <v>51656</v>
      </c>
    </row>
    <row r="1824" ht="15" customHeight="1" s="14">
      <c r="A1824" s="18" t="n">
        <v>51681</v>
      </c>
    </row>
    <row r="1825" ht="15" customHeight="1" s="14">
      <c r="A1825" s="18" t="n">
        <v>51682</v>
      </c>
    </row>
    <row r="1826" ht="15" customHeight="1" s="14">
      <c r="A1826" s="18" t="n">
        <v>51698</v>
      </c>
    </row>
    <row r="1827" ht="15" customHeight="1" s="14">
      <c r="A1827" s="18" t="n">
        <v>51777</v>
      </c>
    </row>
    <row r="1828" ht="15" customHeight="1" s="14">
      <c r="A1828" s="18" t="n">
        <v>51798</v>
      </c>
    </row>
    <row r="1829" ht="15" customHeight="1" s="14">
      <c r="A1829" s="18" t="n">
        <v>51815</v>
      </c>
    </row>
    <row r="1830" ht="15" customHeight="1" s="14">
      <c r="A1830" s="18" t="n">
        <v>51850</v>
      </c>
    </row>
    <row r="1831" ht="15" customHeight="1" s="14">
      <c r="A1831" s="18" t="n">
        <v>51851</v>
      </c>
    </row>
    <row r="1832" ht="15" customHeight="1" s="14">
      <c r="A1832" s="18" t="n">
        <v>51854</v>
      </c>
    </row>
    <row r="1833" ht="15" customHeight="1" s="14">
      <c r="A1833" s="18" t="n">
        <v>51858</v>
      </c>
    </row>
    <row r="1834" ht="15" customHeight="1" s="14">
      <c r="A1834" s="18" t="n">
        <v>51859</v>
      </c>
    </row>
    <row r="1835" ht="15" customHeight="1" s="14">
      <c r="A1835" s="18" t="n">
        <v>51866</v>
      </c>
    </row>
    <row r="1836" ht="15" customHeight="1" s="14">
      <c r="A1836" s="18" t="n">
        <v>51868</v>
      </c>
    </row>
    <row r="1837" ht="15" customHeight="1" s="14">
      <c r="A1837" s="18" t="n">
        <v>51869</v>
      </c>
    </row>
    <row r="1838" ht="15" customHeight="1" s="14">
      <c r="A1838" s="18" t="n">
        <v>51877</v>
      </c>
    </row>
    <row r="1839" ht="15" customHeight="1" s="14">
      <c r="A1839" s="18" t="n">
        <v>51878</v>
      </c>
    </row>
    <row r="1840" ht="15" customHeight="1" s="14">
      <c r="A1840" s="18" t="n">
        <v>51880</v>
      </c>
    </row>
    <row r="1841" ht="15" customHeight="1" s="14">
      <c r="A1841" s="18" t="n">
        <v>51881</v>
      </c>
    </row>
    <row r="1842" ht="15" customHeight="1" s="14">
      <c r="A1842" s="18" t="n">
        <v>51883</v>
      </c>
    </row>
    <row r="1843" ht="15" customHeight="1" s="14">
      <c r="A1843" s="18" t="n">
        <v>51884</v>
      </c>
    </row>
    <row r="1844" ht="15" customHeight="1" s="14">
      <c r="A1844" s="18" t="n">
        <v>51885</v>
      </c>
    </row>
    <row r="1845" ht="15" customHeight="1" s="14">
      <c r="A1845" s="18" t="n">
        <v>51886</v>
      </c>
    </row>
    <row r="1846" ht="15" customHeight="1" s="14">
      <c r="A1846" s="18" t="n">
        <v>51887</v>
      </c>
    </row>
    <row r="1847" ht="15" customHeight="1" s="14">
      <c r="A1847" s="18" t="n">
        <v>51888</v>
      </c>
    </row>
    <row r="1848" ht="15" customHeight="1" s="14">
      <c r="A1848" s="18" t="n">
        <v>51889</v>
      </c>
    </row>
    <row r="1849" ht="15" customHeight="1" s="14">
      <c r="A1849" s="18" t="n">
        <v>51893</v>
      </c>
    </row>
    <row r="1850" ht="15" customHeight="1" s="14">
      <c r="A1850" s="18" t="n">
        <v>51894</v>
      </c>
    </row>
    <row r="1851" ht="15" customHeight="1" s="14">
      <c r="A1851" s="18" t="n">
        <v>51895</v>
      </c>
    </row>
    <row r="1852" ht="15" customHeight="1" s="14">
      <c r="A1852" s="18" t="n">
        <v>51896</v>
      </c>
    </row>
    <row r="1853" ht="15" customHeight="1" s="14">
      <c r="A1853" s="18" t="n">
        <v>51901</v>
      </c>
    </row>
    <row r="1854" ht="15" customHeight="1" s="14">
      <c r="A1854" s="18" t="n">
        <v>51903</v>
      </c>
    </row>
    <row r="1855" ht="15" customHeight="1" s="14">
      <c r="A1855" s="18" t="n">
        <v>51909</v>
      </c>
    </row>
    <row r="1856" ht="15" customHeight="1" s="14">
      <c r="A1856" s="18" t="n">
        <v>51911</v>
      </c>
    </row>
    <row r="1857" ht="15" customHeight="1" s="14">
      <c r="A1857" s="18" t="n">
        <v>51912</v>
      </c>
    </row>
    <row r="1858" ht="15" customHeight="1" s="14">
      <c r="A1858" s="18" t="n">
        <v>51914</v>
      </c>
    </row>
    <row r="1859" ht="15" customHeight="1" s="14">
      <c r="A1859" s="18" t="n">
        <v>51915</v>
      </c>
    </row>
    <row r="1860" ht="15" customHeight="1" s="14">
      <c r="A1860" s="18" t="n">
        <v>51923</v>
      </c>
    </row>
    <row r="1861" ht="15" customHeight="1" s="14">
      <c r="A1861" s="18" t="n">
        <v>51924</v>
      </c>
    </row>
    <row r="1862" ht="15" customHeight="1" s="14">
      <c r="A1862" s="18" t="n">
        <v>51925</v>
      </c>
    </row>
    <row r="1863" ht="15" customHeight="1" s="14">
      <c r="A1863" s="18" t="n">
        <v>51937</v>
      </c>
    </row>
    <row r="1864" ht="15" customHeight="1" s="14">
      <c r="A1864" s="18" t="n">
        <v>51939</v>
      </c>
    </row>
    <row r="1865" ht="15" customHeight="1" s="14">
      <c r="A1865" s="18" t="n">
        <v>51940</v>
      </c>
    </row>
    <row r="1866" ht="15" customHeight="1" s="14">
      <c r="A1866" s="18" t="n">
        <v>51942</v>
      </c>
    </row>
    <row r="1867" ht="15" customHeight="1" s="14">
      <c r="A1867" s="18" t="n">
        <v>51943</v>
      </c>
    </row>
    <row r="1868" ht="15" customHeight="1" s="14">
      <c r="A1868" s="18" t="n">
        <v>51948</v>
      </c>
    </row>
    <row r="1869" ht="15" customHeight="1" s="14">
      <c r="A1869" s="18" t="n">
        <v>51952</v>
      </c>
    </row>
    <row r="1870" ht="15" customHeight="1" s="14">
      <c r="A1870" s="18" t="n">
        <v>51953</v>
      </c>
    </row>
    <row r="1871" ht="15" customHeight="1" s="14">
      <c r="A1871" s="18" t="n">
        <v>51954</v>
      </c>
    </row>
    <row r="1872" ht="15" customHeight="1" s="14">
      <c r="A1872" s="18" t="n">
        <v>51955</v>
      </c>
    </row>
    <row r="1873" ht="15" customHeight="1" s="14">
      <c r="A1873" s="18" t="n">
        <v>51956</v>
      </c>
    </row>
    <row r="1874" ht="15" customHeight="1" s="14">
      <c r="A1874" s="18" t="n">
        <v>51958</v>
      </c>
    </row>
    <row r="1875" ht="15" customHeight="1" s="14">
      <c r="A1875" s="18" t="n">
        <v>51960</v>
      </c>
    </row>
    <row r="1876" ht="15" customHeight="1" s="14">
      <c r="A1876" s="18" t="n">
        <v>51961</v>
      </c>
    </row>
    <row r="1877" ht="15" customHeight="1" s="14">
      <c r="A1877" s="18" t="n">
        <v>51962</v>
      </c>
    </row>
    <row r="1878" ht="15" customHeight="1" s="14">
      <c r="A1878" s="18" t="n">
        <v>51964</v>
      </c>
    </row>
    <row r="1879" ht="15" customHeight="1" s="14">
      <c r="A1879" s="18" t="n">
        <v>51965</v>
      </c>
    </row>
    <row r="1880" ht="15" customHeight="1" s="14">
      <c r="A1880" s="18" t="n">
        <v>51966</v>
      </c>
    </row>
    <row r="1881" ht="15" customHeight="1" s="14">
      <c r="A1881" s="18" t="n">
        <v>51968</v>
      </c>
    </row>
    <row r="1882" ht="15" customHeight="1" s="14">
      <c r="A1882" s="18" t="n">
        <v>51970</v>
      </c>
    </row>
    <row r="1883" ht="15" customHeight="1" s="14">
      <c r="A1883" s="18" t="n">
        <v>51971</v>
      </c>
    </row>
    <row r="1884" ht="15" customHeight="1" s="14">
      <c r="A1884" s="18" t="n">
        <v>51973</v>
      </c>
    </row>
    <row r="1885" ht="15" customHeight="1" s="14">
      <c r="A1885" s="18" t="n">
        <v>51976</v>
      </c>
    </row>
    <row r="1886" ht="15" customHeight="1" s="14">
      <c r="A1886" s="18" t="n">
        <v>51977</v>
      </c>
    </row>
    <row r="1887" ht="15" customHeight="1" s="14">
      <c r="A1887" s="18" t="n">
        <v>51979</v>
      </c>
    </row>
    <row r="1888" ht="15" customHeight="1" s="14">
      <c r="A1888" s="18" t="n">
        <v>51982</v>
      </c>
    </row>
    <row r="1889" ht="15" customHeight="1" s="14">
      <c r="A1889" s="18" t="n">
        <v>51983</v>
      </c>
    </row>
    <row r="1890" ht="15" customHeight="1" s="14">
      <c r="A1890" s="18" t="n">
        <v>51984</v>
      </c>
    </row>
    <row r="1891" ht="15" customHeight="1" s="14">
      <c r="A1891" s="18" t="n">
        <v>51986</v>
      </c>
    </row>
    <row r="1892" ht="15" customHeight="1" s="14">
      <c r="A1892" s="18" t="n">
        <v>51988</v>
      </c>
    </row>
    <row r="1893" ht="15" customHeight="1" s="14">
      <c r="A1893" s="18" t="n">
        <v>51991</v>
      </c>
    </row>
    <row r="1894" ht="15" customHeight="1" s="14">
      <c r="A1894" s="18" t="n">
        <v>51994</v>
      </c>
    </row>
    <row r="1895" ht="15" customHeight="1" s="14">
      <c r="A1895" s="18" t="n">
        <v>51995</v>
      </c>
    </row>
    <row r="1896" ht="15" customHeight="1" s="14">
      <c r="A1896" s="18" t="n">
        <v>52000</v>
      </c>
    </row>
    <row r="1897" ht="15" customHeight="1" s="14">
      <c r="A1897" s="18" t="n">
        <v>52001</v>
      </c>
    </row>
    <row r="1898" ht="15" customHeight="1" s="14">
      <c r="A1898" s="18" t="n">
        <v>52002</v>
      </c>
    </row>
    <row r="1899" ht="15" customHeight="1" s="14">
      <c r="A1899" s="18" t="n">
        <v>52003</v>
      </c>
    </row>
    <row r="1900" ht="15" customHeight="1" s="14">
      <c r="A1900" s="18" t="n">
        <v>52006</v>
      </c>
    </row>
    <row r="1901" ht="15" customHeight="1" s="14">
      <c r="A1901" s="18" t="n">
        <v>52008</v>
      </c>
    </row>
    <row r="1902" ht="15" customHeight="1" s="14">
      <c r="A1902" s="18" t="n">
        <v>52009</v>
      </c>
    </row>
    <row r="1903" ht="15" customHeight="1" s="14">
      <c r="A1903" s="18" t="n">
        <v>52014</v>
      </c>
    </row>
    <row r="1904" ht="15" customHeight="1" s="14">
      <c r="A1904" s="18" t="n">
        <v>52020</v>
      </c>
    </row>
    <row r="1905" ht="15" customHeight="1" s="14">
      <c r="A1905" s="18" t="n">
        <v>52022</v>
      </c>
    </row>
    <row r="1906" ht="15" customHeight="1" s="14">
      <c r="A1906" s="18" t="n">
        <v>52023</v>
      </c>
    </row>
    <row r="1907" ht="15" customHeight="1" s="14">
      <c r="A1907" s="18" t="n">
        <v>52024</v>
      </c>
    </row>
    <row r="1908" ht="15" customHeight="1" s="14">
      <c r="A1908" s="18" t="n">
        <v>52025</v>
      </c>
    </row>
    <row r="1909" ht="15" customHeight="1" s="14">
      <c r="A1909" s="18" t="n">
        <v>52028</v>
      </c>
    </row>
    <row r="1910" ht="15" customHeight="1" s="14">
      <c r="A1910" s="18" t="n">
        <v>52031</v>
      </c>
    </row>
    <row r="1911" ht="15" customHeight="1" s="14">
      <c r="A1911" s="18" t="n">
        <v>52032</v>
      </c>
    </row>
    <row r="1912" ht="15" customHeight="1" s="14">
      <c r="A1912" s="18" t="n">
        <v>52033</v>
      </c>
    </row>
    <row r="1913" ht="15" customHeight="1" s="14">
      <c r="A1913" s="18" t="n">
        <v>52039</v>
      </c>
    </row>
    <row r="1914" ht="15" customHeight="1" s="14">
      <c r="A1914" s="18" t="n">
        <v>52052</v>
      </c>
    </row>
    <row r="1915" ht="15" customHeight="1" s="14">
      <c r="A1915" s="18" t="n">
        <v>52053</v>
      </c>
    </row>
    <row r="1916" ht="15" customHeight="1" s="14">
      <c r="A1916" s="18" t="n">
        <v>52054</v>
      </c>
    </row>
    <row r="1917" ht="15" customHeight="1" s="14">
      <c r="A1917" s="18" t="n">
        <v>52055</v>
      </c>
    </row>
    <row r="1918" ht="15" customHeight="1" s="14">
      <c r="A1918" s="18" t="n">
        <v>52059</v>
      </c>
    </row>
    <row r="1919" ht="15" customHeight="1" s="14">
      <c r="A1919" s="18" t="n">
        <v>52061</v>
      </c>
    </row>
    <row r="1920" ht="15" customHeight="1" s="14">
      <c r="A1920" s="18" t="n">
        <v>52063</v>
      </c>
    </row>
    <row r="1921" ht="15" customHeight="1" s="14">
      <c r="A1921" s="18" t="n">
        <v>52064</v>
      </c>
    </row>
    <row r="1922" ht="15" customHeight="1" s="14">
      <c r="A1922" s="18" t="n">
        <v>52071</v>
      </c>
    </row>
    <row r="1923" ht="15" customHeight="1" s="14">
      <c r="A1923" s="18" t="n">
        <v>52073</v>
      </c>
    </row>
    <row r="1924" ht="15" customHeight="1" s="14">
      <c r="A1924" s="18" t="n">
        <v>52075</v>
      </c>
    </row>
    <row r="1925" ht="15" customHeight="1" s="14">
      <c r="A1925" s="18" t="n">
        <v>52082</v>
      </c>
    </row>
    <row r="1926" ht="15" customHeight="1" s="14">
      <c r="A1926" s="18" t="n">
        <v>52085</v>
      </c>
    </row>
    <row r="1927" ht="15" customHeight="1" s="14">
      <c r="A1927" s="18" t="n">
        <v>52086</v>
      </c>
    </row>
    <row r="1928" ht="15" customHeight="1" s="14">
      <c r="A1928" s="18" t="n">
        <v>52087</v>
      </c>
    </row>
    <row r="1929" ht="15" customHeight="1" s="14">
      <c r="A1929" s="18" t="n">
        <v>52096</v>
      </c>
    </row>
    <row r="1930" ht="15" customHeight="1" s="14">
      <c r="A1930" s="18" t="n">
        <v>52097</v>
      </c>
    </row>
    <row r="1931" ht="15" customHeight="1" s="14">
      <c r="A1931" s="18" t="n">
        <v>52098</v>
      </c>
    </row>
    <row r="1932" ht="15" customHeight="1" s="14">
      <c r="A1932" s="18" t="n">
        <v>52099</v>
      </c>
    </row>
    <row r="1933" ht="15" customHeight="1" s="14">
      <c r="A1933" s="18" t="n">
        <v>52100</v>
      </c>
    </row>
    <row r="1934" ht="15" customHeight="1" s="14">
      <c r="A1934" s="18" t="n">
        <v>52101</v>
      </c>
    </row>
    <row r="1935" ht="15" customHeight="1" s="14">
      <c r="A1935" s="18" t="n">
        <v>52109</v>
      </c>
    </row>
    <row r="1936" ht="15" customHeight="1" s="14">
      <c r="A1936" s="18" t="n">
        <v>52110</v>
      </c>
    </row>
    <row r="1937" ht="15" customHeight="1" s="14">
      <c r="A1937" s="18" t="n">
        <v>52111</v>
      </c>
    </row>
    <row r="1938" ht="15" customHeight="1" s="14">
      <c r="A1938" s="18" t="n">
        <v>52112</v>
      </c>
    </row>
    <row r="1939" ht="15" customHeight="1" s="14">
      <c r="A1939" s="18" t="n">
        <v>52136</v>
      </c>
    </row>
    <row r="1940" ht="15" customHeight="1" s="14">
      <c r="A1940" s="18" t="n">
        <v>52137</v>
      </c>
    </row>
    <row r="1941" ht="15" customHeight="1" s="14">
      <c r="A1941" s="18" t="n">
        <v>52138</v>
      </c>
    </row>
    <row r="1942" ht="15" customHeight="1" s="14">
      <c r="A1942" s="18" t="n">
        <v>52145</v>
      </c>
    </row>
    <row r="1943" ht="15" customHeight="1" s="14">
      <c r="A1943" s="18" t="n">
        <v>52146</v>
      </c>
    </row>
    <row r="1944" ht="15" customHeight="1" s="14">
      <c r="A1944" s="18" t="n">
        <v>52148</v>
      </c>
    </row>
    <row r="1945" ht="15" customHeight="1" s="14">
      <c r="A1945" s="18" t="n">
        <v>52149</v>
      </c>
    </row>
    <row r="1946" ht="15" customHeight="1" s="14">
      <c r="A1946" s="18" t="n">
        <v>52154</v>
      </c>
    </row>
    <row r="1947" ht="15" customHeight="1" s="14">
      <c r="A1947" s="18" t="n">
        <v>52159</v>
      </c>
    </row>
    <row r="1948" ht="15" customHeight="1" s="14">
      <c r="A1948" s="18" t="n">
        <v>52160</v>
      </c>
    </row>
    <row r="1949" ht="15" customHeight="1" s="14">
      <c r="A1949" s="18" t="n">
        <v>52163</v>
      </c>
    </row>
    <row r="1950" ht="15" customHeight="1" s="14">
      <c r="A1950" s="18" t="n">
        <v>52167</v>
      </c>
    </row>
    <row r="1951" ht="15" customHeight="1" s="14">
      <c r="A1951" s="18" t="n">
        <v>52172</v>
      </c>
    </row>
    <row r="1952" ht="15" customHeight="1" s="14">
      <c r="A1952" s="18" t="n">
        <v>52173</v>
      </c>
    </row>
    <row r="1953" ht="15" customHeight="1" s="14">
      <c r="A1953" s="18" t="n">
        <v>52174</v>
      </c>
    </row>
    <row r="1954" ht="15" customHeight="1" s="14">
      <c r="A1954" s="18" t="n">
        <v>52176</v>
      </c>
    </row>
    <row r="1955" ht="15" customHeight="1" s="14">
      <c r="A1955" s="18" t="n">
        <v>52177</v>
      </c>
    </row>
    <row r="1956" ht="15" customHeight="1" s="14">
      <c r="A1956" s="18" t="n">
        <v>52178</v>
      </c>
    </row>
    <row r="1957" ht="15" customHeight="1" s="14">
      <c r="A1957" s="18" t="n">
        <v>52179</v>
      </c>
    </row>
    <row r="1958" ht="15" customHeight="1" s="14">
      <c r="A1958" s="18" t="n">
        <v>52185</v>
      </c>
    </row>
    <row r="1959" ht="15" customHeight="1" s="14">
      <c r="A1959" s="18" t="n">
        <v>52186</v>
      </c>
    </row>
    <row r="1960" ht="15" customHeight="1" s="14">
      <c r="A1960" s="18" t="n">
        <v>52188</v>
      </c>
    </row>
    <row r="1961" ht="15" customHeight="1" s="14">
      <c r="A1961" s="18" t="n">
        <v>52189</v>
      </c>
    </row>
    <row r="1962" ht="15" customHeight="1" s="14">
      <c r="A1962" s="18" t="n">
        <v>52192</v>
      </c>
    </row>
    <row r="1963" ht="15" customHeight="1" s="14">
      <c r="A1963" s="18" t="n">
        <v>52195</v>
      </c>
    </row>
    <row r="1964" ht="15" customHeight="1" s="14">
      <c r="A1964" s="18" t="n">
        <v>52196</v>
      </c>
    </row>
    <row r="1965" ht="15" customHeight="1" s="14">
      <c r="A1965" s="18" t="n">
        <v>52201</v>
      </c>
    </row>
    <row r="1966" ht="15" customHeight="1" s="14">
      <c r="A1966" s="18" t="n">
        <v>52202</v>
      </c>
    </row>
    <row r="1967" ht="15" customHeight="1" s="14">
      <c r="A1967" s="18" t="n">
        <v>52203</v>
      </c>
    </row>
    <row r="1968" ht="15" customHeight="1" s="14">
      <c r="A1968" s="18" t="n">
        <v>52204</v>
      </c>
    </row>
    <row r="1969" ht="15" customHeight="1" s="14">
      <c r="A1969" s="18" t="n">
        <v>52215</v>
      </c>
    </row>
    <row r="1970" ht="15" customHeight="1" s="14">
      <c r="A1970" s="18" t="n">
        <v>52216</v>
      </c>
    </row>
    <row r="1971" ht="15" customHeight="1" s="14">
      <c r="A1971" s="18" t="n">
        <v>52222</v>
      </c>
    </row>
    <row r="1972" ht="15" customHeight="1" s="14">
      <c r="A1972" s="18" t="n">
        <v>52223</v>
      </c>
    </row>
    <row r="1973" ht="15" customHeight="1" s="14">
      <c r="A1973" s="18" t="n">
        <v>52229</v>
      </c>
    </row>
    <row r="1974" ht="15" customHeight="1" s="14">
      <c r="A1974" s="18" t="n">
        <v>52231</v>
      </c>
    </row>
    <row r="1975" ht="15" customHeight="1" s="14">
      <c r="A1975" s="18" t="n">
        <v>52234</v>
      </c>
    </row>
    <row r="1976" ht="15" customHeight="1" s="14">
      <c r="A1976" s="18" t="n">
        <v>52235</v>
      </c>
    </row>
    <row r="1977" ht="15" customHeight="1" s="14">
      <c r="A1977" s="18" t="n">
        <v>52236</v>
      </c>
    </row>
    <row r="1978" ht="15" customHeight="1" s="14">
      <c r="A1978" s="18" t="n">
        <v>52239</v>
      </c>
    </row>
    <row r="1979" ht="15" customHeight="1" s="14">
      <c r="A1979" s="18" t="n">
        <v>52240</v>
      </c>
    </row>
    <row r="1980" ht="15" customHeight="1" s="14">
      <c r="A1980" s="18" t="n">
        <v>52241</v>
      </c>
    </row>
    <row r="1981" ht="15" customHeight="1" s="14">
      <c r="A1981" s="18" t="n">
        <v>52242</v>
      </c>
    </row>
    <row r="1982" ht="15" customHeight="1" s="14">
      <c r="A1982" s="18" t="n">
        <v>52243</v>
      </c>
    </row>
    <row r="1983" ht="15" customHeight="1" s="14">
      <c r="A1983" s="18" t="n">
        <v>52251</v>
      </c>
    </row>
    <row r="1984" ht="15" customHeight="1" s="14">
      <c r="A1984" s="18" t="n">
        <v>52255</v>
      </c>
    </row>
    <row r="1985" ht="15" customHeight="1" s="14">
      <c r="A1985" s="18" t="n">
        <v>52263</v>
      </c>
    </row>
    <row r="1986" ht="15" customHeight="1" s="14">
      <c r="A1986" s="18" t="n">
        <v>52264</v>
      </c>
    </row>
    <row r="1987" ht="15" customHeight="1" s="14">
      <c r="A1987" s="18" t="n">
        <v>52265</v>
      </c>
    </row>
    <row r="1988" ht="15" customHeight="1" s="14">
      <c r="A1988" s="18" t="n">
        <v>52267</v>
      </c>
    </row>
    <row r="1989" ht="15" customHeight="1" s="14">
      <c r="A1989" s="18" t="n">
        <v>52270</v>
      </c>
    </row>
    <row r="1990" ht="15" customHeight="1" s="14">
      <c r="A1990" s="18" t="n">
        <v>52271</v>
      </c>
    </row>
    <row r="1991" ht="15" customHeight="1" s="14">
      <c r="A1991" s="18" t="n">
        <v>52273</v>
      </c>
    </row>
    <row r="1992" ht="15" customHeight="1" s="14">
      <c r="A1992" s="18" t="n">
        <v>52274</v>
      </c>
    </row>
    <row r="1993" ht="15" customHeight="1" s="14">
      <c r="A1993" s="18" t="n">
        <v>52276</v>
      </c>
    </row>
    <row r="1994" ht="15" customHeight="1" s="14">
      <c r="A1994" s="18" t="n">
        <v>52278</v>
      </c>
    </row>
    <row r="1995" ht="15" customHeight="1" s="14">
      <c r="A1995" s="18" t="n">
        <v>52285</v>
      </c>
    </row>
    <row r="1996" ht="15" customHeight="1" s="14">
      <c r="A1996" s="18" t="n">
        <v>52289</v>
      </c>
    </row>
    <row r="1997" ht="15" customHeight="1" s="14">
      <c r="A1997" s="18" t="n">
        <v>52291</v>
      </c>
    </row>
    <row r="1998" ht="15" customHeight="1" s="14">
      <c r="A1998" s="18" t="n">
        <v>52294</v>
      </c>
    </row>
    <row r="1999" ht="15" customHeight="1" s="14">
      <c r="A1999" s="18" t="n">
        <v>52295</v>
      </c>
    </row>
    <row r="2000" ht="15" customHeight="1" s="14">
      <c r="A2000" s="18" t="n">
        <v>52298</v>
      </c>
    </row>
    <row r="2001" ht="15" customHeight="1" s="14">
      <c r="A2001" s="18" t="n">
        <v>52299</v>
      </c>
    </row>
    <row r="2002" ht="15" customHeight="1" s="14">
      <c r="A2002" s="18" t="n">
        <v>52301</v>
      </c>
    </row>
    <row r="2003" ht="15" customHeight="1" s="14">
      <c r="A2003" s="18" t="n">
        <v>52306</v>
      </c>
    </row>
    <row r="2004" ht="15" customHeight="1" s="14">
      <c r="A2004" s="18" t="n">
        <v>52307</v>
      </c>
    </row>
    <row r="2005" ht="15" customHeight="1" s="14">
      <c r="A2005" s="18" t="n">
        <v>52318</v>
      </c>
    </row>
    <row r="2006" ht="15" customHeight="1" s="14">
      <c r="A2006" s="18" t="n">
        <v>52319</v>
      </c>
    </row>
    <row r="2007" ht="15" customHeight="1" s="14">
      <c r="A2007" s="18" t="n">
        <v>52320</v>
      </c>
    </row>
    <row r="2008" ht="15" customHeight="1" s="14">
      <c r="A2008" s="18" t="n">
        <v>52321</v>
      </c>
    </row>
    <row r="2009" ht="15" customHeight="1" s="14">
      <c r="A2009" s="18" t="n">
        <v>52322</v>
      </c>
    </row>
    <row r="2010" ht="15" customHeight="1" s="14">
      <c r="A2010" s="18" t="n">
        <v>52324</v>
      </c>
    </row>
    <row r="2011" ht="15" customHeight="1" s="14">
      <c r="A2011" s="18" t="n">
        <v>52326</v>
      </c>
    </row>
    <row r="2012" ht="15" customHeight="1" s="14">
      <c r="A2012" s="18" t="n">
        <v>52327</v>
      </c>
    </row>
    <row r="2013" ht="15" customHeight="1" s="14">
      <c r="A2013" s="18" t="n">
        <v>52328</v>
      </c>
    </row>
    <row r="2014" ht="15" customHeight="1" s="14">
      <c r="A2014" s="18" t="n">
        <v>52331</v>
      </c>
    </row>
    <row r="2015" ht="15" customHeight="1" s="14">
      <c r="A2015" s="18" t="n">
        <v>52332</v>
      </c>
    </row>
    <row r="2016" ht="15" customHeight="1" s="14">
      <c r="A2016" s="18" t="n">
        <v>52333</v>
      </c>
    </row>
    <row r="2017" ht="15" customHeight="1" s="14">
      <c r="A2017" s="18" t="n">
        <v>52336</v>
      </c>
    </row>
    <row r="2018" ht="15" customHeight="1" s="14">
      <c r="A2018" s="18" t="n">
        <v>52338</v>
      </c>
    </row>
    <row r="2019" ht="15" customHeight="1" s="14">
      <c r="A2019" s="18" t="n">
        <v>52340</v>
      </c>
    </row>
    <row r="2020" ht="15" customHeight="1" s="14">
      <c r="A2020" s="18" t="n">
        <v>52342</v>
      </c>
    </row>
    <row r="2021" ht="15" customHeight="1" s="14">
      <c r="A2021" s="18" t="n">
        <v>52343</v>
      </c>
    </row>
    <row r="2022" ht="15" customHeight="1" s="14">
      <c r="A2022" s="18" t="n">
        <v>52345</v>
      </c>
    </row>
    <row r="2023" ht="15" customHeight="1" s="14">
      <c r="A2023" s="18" t="n">
        <v>52349</v>
      </c>
    </row>
    <row r="2024" ht="15" customHeight="1" s="14">
      <c r="A2024" s="18" t="n">
        <v>52351</v>
      </c>
    </row>
    <row r="2025" ht="15" customHeight="1" s="14">
      <c r="A2025" s="18" t="n">
        <v>52352</v>
      </c>
    </row>
    <row r="2026" ht="15" customHeight="1" s="14">
      <c r="A2026" s="18" t="n">
        <v>52358</v>
      </c>
    </row>
    <row r="2027" ht="15" customHeight="1" s="14">
      <c r="A2027" s="18" t="n">
        <v>52363</v>
      </c>
    </row>
    <row r="2028" ht="15" customHeight="1" s="14">
      <c r="A2028" s="18" t="n">
        <v>52366</v>
      </c>
    </row>
    <row r="2029" ht="15" customHeight="1" s="14">
      <c r="A2029" s="18" t="n">
        <v>52368</v>
      </c>
    </row>
    <row r="2030" ht="15" customHeight="1" s="14">
      <c r="A2030" s="18" t="n">
        <v>52369</v>
      </c>
    </row>
    <row r="2031" ht="15" customHeight="1" s="14">
      <c r="A2031" s="18" t="n">
        <v>52378</v>
      </c>
    </row>
    <row r="2032" ht="15" customHeight="1" s="14">
      <c r="A2032" s="18" t="n">
        <v>52379</v>
      </c>
    </row>
    <row r="2033" ht="15" customHeight="1" s="14">
      <c r="A2033" s="18" t="n">
        <v>52384</v>
      </c>
    </row>
    <row r="2034" ht="15" customHeight="1" s="14">
      <c r="A2034" s="18" t="n">
        <v>52402</v>
      </c>
    </row>
    <row r="2035" ht="15" customHeight="1" s="14">
      <c r="A2035" s="18" t="n">
        <v>52404</v>
      </c>
    </row>
    <row r="2036" ht="15" customHeight="1" s="14">
      <c r="A2036" s="18" t="n">
        <v>52405</v>
      </c>
    </row>
    <row r="2037" ht="15" customHeight="1" s="14">
      <c r="A2037" s="18" t="n">
        <v>52406</v>
      </c>
    </row>
    <row r="2038" ht="15" customHeight="1" s="14">
      <c r="A2038" s="18" t="n">
        <v>52416</v>
      </c>
    </row>
    <row r="2039" ht="15" customHeight="1" s="14">
      <c r="A2039" s="18" t="n">
        <v>52417</v>
      </c>
    </row>
    <row r="2040" ht="15" customHeight="1" s="14">
      <c r="A2040" s="18" t="n">
        <v>52419</v>
      </c>
    </row>
    <row r="2041" ht="15" customHeight="1" s="14">
      <c r="A2041" s="18" t="n">
        <v>52422</v>
      </c>
    </row>
    <row r="2042" ht="15" customHeight="1" s="14">
      <c r="A2042" s="18" t="n">
        <v>52423</v>
      </c>
    </row>
    <row r="2043" ht="15" customHeight="1" s="14">
      <c r="A2043" s="18" t="n">
        <v>52424</v>
      </c>
    </row>
    <row r="2044" ht="15" customHeight="1" s="14">
      <c r="A2044" s="18" t="n">
        <v>52425</v>
      </c>
    </row>
    <row r="2045" ht="15" customHeight="1" s="14">
      <c r="A2045" s="18" t="n">
        <v>52426</v>
      </c>
    </row>
    <row r="2046" ht="15" customHeight="1" s="14">
      <c r="A2046" s="18" t="n">
        <v>52430</v>
      </c>
    </row>
    <row r="2047" ht="15" customHeight="1" s="14">
      <c r="A2047" s="18" t="n">
        <v>52432</v>
      </c>
    </row>
    <row r="2048" ht="15" customHeight="1" s="14">
      <c r="A2048" s="18" t="n">
        <v>52434</v>
      </c>
    </row>
    <row r="2049" ht="15" customHeight="1" s="14">
      <c r="A2049" s="18" t="n">
        <v>52435</v>
      </c>
    </row>
    <row r="2050" ht="15" customHeight="1" s="14">
      <c r="A2050" s="18" t="n">
        <v>52436</v>
      </c>
    </row>
    <row r="2051" ht="15" customHeight="1" s="14">
      <c r="A2051" s="18" t="n">
        <v>52437</v>
      </c>
    </row>
    <row r="2052" ht="15" customHeight="1" s="14">
      <c r="A2052" s="18" t="n">
        <v>52438</v>
      </c>
    </row>
    <row r="2053" ht="15" customHeight="1" s="14">
      <c r="A2053" s="18" t="n">
        <v>52439</v>
      </c>
    </row>
    <row r="2054" ht="15" customHeight="1" s="14">
      <c r="A2054" s="18" t="n">
        <v>52440</v>
      </c>
    </row>
    <row r="2055" ht="15" customHeight="1" s="14">
      <c r="A2055" s="18" t="n">
        <v>52441</v>
      </c>
    </row>
    <row r="2056" ht="15" customHeight="1" s="14">
      <c r="A2056" s="18" t="n">
        <v>52442</v>
      </c>
    </row>
    <row r="2057" ht="15" customHeight="1" s="14">
      <c r="A2057" s="18" t="n">
        <v>52445</v>
      </c>
    </row>
    <row r="2058" ht="15" customHeight="1" s="14">
      <c r="A2058" s="18" t="n">
        <v>52448</v>
      </c>
    </row>
    <row r="2059" ht="15" customHeight="1" s="14">
      <c r="A2059" s="18" t="n">
        <v>52451</v>
      </c>
    </row>
    <row r="2060" ht="15" customHeight="1" s="14">
      <c r="A2060" s="18" t="n">
        <v>52452</v>
      </c>
    </row>
    <row r="2061" ht="15" customHeight="1" s="14">
      <c r="A2061" s="18" t="n">
        <v>52455</v>
      </c>
    </row>
    <row r="2062" ht="15" customHeight="1" s="14">
      <c r="A2062" s="18" t="n">
        <v>52456</v>
      </c>
    </row>
    <row r="2063" ht="15" customHeight="1" s="14">
      <c r="A2063" s="18" t="n">
        <v>52458</v>
      </c>
    </row>
    <row r="2064" ht="15" customHeight="1" s="14">
      <c r="A2064" s="18" t="n">
        <v>52459</v>
      </c>
    </row>
    <row r="2065" ht="15" customHeight="1" s="14">
      <c r="A2065" s="18" t="n">
        <v>52460</v>
      </c>
    </row>
    <row r="2066" ht="15" customHeight="1" s="14">
      <c r="A2066" s="18" t="n">
        <v>52469</v>
      </c>
    </row>
    <row r="2067" ht="15" customHeight="1" s="14">
      <c r="A2067" s="18" t="n">
        <v>52474</v>
      </c>
    </row>
    <row r="2068" ht="15" customHeight="1" s="14">
      <c r="A2068" s="18" t="n">
        <v>52480</v>
      </c>
    </row>
    <row r="2069" ht="15" customHeight="1" s="14">
      <c r="A2069" s="18" t="n">
        <v>52489</v>
      </c>
    </row>
    <row r="2070" ht="15" customHeight="1" s="14">
      <c r="A2070" s="18" t="n">
        <v>52500</v>
      </c>
    </row>
    <row r="2071" ht="15" customHeight="1" s="14">
      <c r="A2071" s="18" t="n">
        <v>52504</v>
      </c>
    </row>
    <row r="2072" ht="15" customHeight="1" s="14">
      <c r="A2072" s="18" t="n">
        <v>52508</v>
      </c>
    </row>
    <row r="2073" ht="15" customHeight="1" s="14">
      <c r="A2073" s="18" t="n">
        <v>52511</v>
      </c>
    </row>
    <row r="2074" ht="15" customHeight="1" s="14">
      <c r="A2074" s="18" t="n">
        <v>52512</v>
      </c>
    </row>
    <row r="2075" ht="15" customHeight="1" s="14">
      <c r="A2075" s="18" t="n">
        <v>52524</v>
      </c>
    </row>
    <row r="2076" ht="15" customHeight="1" s="14">
      <c r="A2076" s="18" t="n">
        <v>52526</v>
      </c>
    </row>
    <row r="2077" ht="15" customHeight="1" s="14">
      <c r="A2077" s="18" t="n">
        <v>52527</v>
      </c>
    </row>
    <row r="2078" ht="15" customHeight="1" s="14">
      <c r="A2078" s="18" t="n">
        <v>52528</v>
      </c>
    </row>
    <row r="2079" ht="15" customHeight="1" s="14">
      <c r="A2079" s="18" t="n">
        <v>52530</v>
      </c>
    </row>
    <row r="2080" ht="15" customHeight="1" s="14">
      <c r="A2080" s="18" t="n">
        <v>52531</v>
      </c>
    </row>
    <row r="2081" ht="15" customHeight="1" s="14">
      <c r="A2081" s="18" t="n">
        <v>52533</v>
      </c>
    </row>
    <row r="2082" ht="15" customHeight="1" s="14">
      <c r="A2082" s="18" t="n">
        <v>52535</v>
      </c>
    </row>
    <row r="2083" ht="15" customHeight="1" s="14">
      <c r="A2083" s="18" t="n">
        <v>52539</v>
      </c>
    </row>
    <row r="2084" ht="15" customHeight="1" s="14">
      <c r="A2084" s="18" t="n">
        <v>52540</v>
      </c>
    </row>
    <row r="2085" ht="15" customHeight="1" s="14">
      <c r="A2085" s="18" t="n">
        <v>52541</v>
      </c>
    </row>
    <row r="2086" ht="15" customHeight="1" s="14">
      <c r="A2086" s="18" t="n">
        <v>52547</v>
      </c>
    </row>
    <row r="2087" ht="15" customHeight="1" s="14">
      <c r="A2087" s="18" t="n">
        <v>52620</v>
      </c>
    </row>
    <row r="2088" ht="15" customHeight="1" s="14">
      <c r="A2088" s="18" t="n">
        <v>52622</v>
      </c>
    </row>
    <row r="2089" ht="15" customHeight="1" s="14">
      <c r="A2089" s="18" t="n">
        <v>52625</v>
      </c>
    </row>
    <row r="2090" ht="15" customHeight="1" s="14">
      <c r="A2090" s="18" t="n">
        <v>52626</v>
      </c>
    </row>
    <row r="2091" ht="15" customHeight="1" s="14">
      <c r="A2091" s="18" t="n">
        <v>52628</v>
      </c>
    </row>
    <row r="2092" ht="15" customHeight="1" s="14">
      <c r="A2092" s="18" t="n">
        <v>52632</v>
      </c>
    </row>
    <row r="2093" ht="15" customHeight="1" s="14">
      <c r="A2093" s="18" t="n">
        <v>52633</v>
      </c>
    </row>
    <row r="2094" ht="15" customHeight="1" s="14">
      <c r="A2094" s="18" t="n">
        <v>52635</v>
      </c>
    </row>
    <row r="2095" ht="15" customHeight="1" s="14">
      <c r="A2095" s="18" t="n">
        <v>52636</v>
      </c>
    </row>
    <row r="2096" ht="15" customHeight="1" s="14">
      <c r="A2096" s="18" t="n">
        <v>52637</v>
      </c>
    </row>
    <row r="2097" ht="15" customHeight="1" s="14">
      <c r="A2097" s="18" t="n">
        <v>52638</v>
      </c>
    </row>
    <row r="2098" ht="15" customHeight="1" s="14">
      <c r="A2098" s="18" t="n">
        <v>52654</v>
      </c>
    </row>
    <row r="2099" ht="15" customHeight="1" s="14">
      <c r="A2099" s="18" t="n">
        <v>52661</v>
      </c>
    </row>
    <row r="2100" ht="15" customHeight="1" s="14">
      <c r="A2100" s="18" t="n">
        <v>52662</v>
      </c>
    </row>
    <row r="2101" ht="15" customHeight="1" s="14">
      <c r="A2101" s="18" t="n">
        <v>52663</v>
      </c>
    </row>
    <row r="2102" ht="15" customHeight="1" s="14">
      <c r="A2102" s="18" t="n">
        <v>52664</v>
      </c>
    </row>
    <row r="2103" ht="15" customHeight="1" s="14">
      <c r="A2103" s="18" t="n">
        <v>52665</v>
      </c>
    </row>
    <row r="2104" ht="15" customHeight="1" s="14">
      <c r="A2104" s="18" t="n">
        <v>52666</v>
      </c>
    </row>
    <row r="2105" ht="15" customHeight="1" s="14">
      <c r="A2105" s="18" t="n">
        <v>52667</v>
      </c>
    </row>
    <row r="2106" ht="15" customHeight="1" s="14">
      <c r="A2106" s="18" t="n">
        <v>52670</v>
      </c>
    </row>
    <row r="2107" ht="15" customHeight="1" s="14">
      <c r="A2107" s="18" t="n">
        <v>52671</v>
      </c>
    </row>
    <row r="2108" ht="15" customHeight="1" s="14">
      <c r="A2108" s="18" t="n">
        <v>52672</v>
      </c>
    </row>
    <row r="2109" ht="15" customHeight="1" s="14">
      <c r="A2109" s="18" t="n">
        <v>52673</v>
      </c>
    </row>
    <row r="2110" ht="15" customHeight="1" s="14">
      <c r="A2110" s="18" t="n">
        <v>52674</v>
      </c>
    </row>
    <row r="2111" ht="15" customHeight="1" s="14">
      <c r="A2111" s="18" t="n">
        <v>52676</v>
      </c>
    </row>
    <row r="2112" ht="15" customHeight="1" s="14">
      <c r="A2112" s="18" t="n">
        <v>52681</v>
      </c>
    </row>
    <row r="2113" ht="15" customHeight="1" s="14">
      <c r="A2113" s="18" t="n">
        <v>52685</v>
      </c>
    </row>
    <row r="2114" ht="15" customHeight="1" s="14">
      <c r="A2114" s="18" t="n">
        <v>52686</v>
      </c>
    </row>
    <row r="2115" ht="15" customHeight="1" s="14">
      <c r="A2115" s="18" t="n">
        <v>52689</v>
      </c>
    </row>
    <row r="2116" ht="15" customHeight="1" s="14">
      <c r="A2116" s="18" t="n">
        <v>52691</v>
      </c>
    </row>
    <row r="2117" ht="15" customHeight="1" s="14">
      <c r="A2117" s="18" t="n">
        <v>52692</v>
      </c>
    </row>
    <row r="2118" ht="15" customHeight="1" s="14">
      <c r="A2118" s="18" t="n">
        <v>52693</v>
      </c>
    </row>
    <row r="2119" ht="15" customHeight="1" s="14">
      <c r="A2119" s="18" t="n">
        <v>52694</v>
      </c>
    </row>
    <row r="2120" ht="15" customHeight="1" s="14">
      <c r="A2120" s="18" t="n">
        <v>52695</v>
      </c>
    </row>
    <row r="2121" ht="15" customHeight="1" s="14">
      <c r="A2121" s="18" t="n">
        <v>52696</v>
      </c>
    </row>
    <row r="2122" ht="15" customHeight="1" s="14">
      <c r="A2122" s="18" t="n">
        <v>52700</v>
      </c>
    </row>
    <row r="2123" ht="15" customHeight="1" s="14">
      <c r="A2123" s="18" t="n">
        <v>52701</v>
      </c>
    </row>
    <row r="2124" ht="15" customHeight="1" s="14">
      <c r="A2124" s="18" t="n">
        <v>52705</v>
      </c>
    </row>
    <row r="2125" ht="15" customHeight="1" s="14">
      <c r="A2125" s="18" t="n">
        <v>52707</v>
      </c>
    </row>
    <row r="2126" ht="15" customHeight="1" s="14">
      <c r="A2126" s="18" t="n">
        <v>52709</v>
      </c>
    </row>
    <row r="2127" ht="15" customHeight="1" s="14">
      <c r="A2127" s="18" t="n">
        <v>52711</v>
      </c>
    </row>
    <row r="2128" ht="15" customHeight="1" s="14">
      <c r="A2128" s="18" t="n">
        <v>52712</v>
      </c>
    </row>
    <row r="2129" ht="15" customHeight="1" s="14">
      <c r="A2129" s="18" t="n">
        <v>52714</v>
      </c>
    </row>
    <row r="2130" ht="15" customHeight="1" s="14">
      <c r="A2130" s="18" t="n">
        <v>52719</v>
      </c>
    </row>
    <row r="2131" ht="15" customHeight="1" s="14">
      <c r="A2131" s="18" t="n">
        <v>52722</v>
      </c>
    </row>
    <row r="2132" ht="15" customHeight="1" s="14">
      <c r="A2132" s="18" t="n">
        <v>52723</v>
      </c>
    </row>
    <row r="2133" ht="15" customHeight="1" s="14">
      <c r="A2133" s="18" t="n">
        <v>52725</v>
      </c>
    </row>
    <row r="2134" ht="15" customHeight="1" s="14">
      <c r="A2134" s="18" t="n">
        <v>52727</v>
      </c>
    </row>
    <row r="2135" ht="15" customHeight="1" s="14">
      <c r="A2135" s="18" t="n">
        <v>52728</v>
      </c>
    </row>
    <row r="2136" ht="15" customHeight="1" s="14">
      <c r="A2136" s="18" t="n">
        <v>52730</v>
      </c>
    </row>
    <row r="2137" ht="15" customHeight="1" s="14">
      <c r="A2137" s="18" t="n">
        <v>52731</v>
      </c>
    </row>
    <row r="2138" ht="15" customHeight="1" s="14">
      <c r="A2138" s="18" t="n">
        <v>52732</v>
      </c>
    </row>
    <row r="2139" ht="15" customHeight="1" s="14">
      <c r="A2139" s="18" t="n">
        <v>52733</v>
      </c>
    </row>
    <row r="2140" ht="15" customHeight="1" s="14">
      <c r="A2140" s="18" t="n">
        <v>52734</v>
      </c>
    </row>
    <row r="2141" ht="15" customHeight="1" s="14">
      <c r="A2141" s="18" t="n">
        <v>52735</v>
      </c>
    </row>
    <row r="2142" ht="15" customHeight="1" s="14">
      <c r="A2142" s="18" t="n">
        <v>52736</v>
      </c>
    </row>
    <row r="2143" ht="15" customHeight="1" s="14">
      <c r="A2143" s="18" t="n">
        <v>52742</v>
      </c>
    </row>
    <row r="2144" ht="15" customHeight="1" s="14">
      <c r="A2144" s="18" t="n">
        <v>52743</v>
      </c>
    </row>
    <row r="2145" ht="15" customHeight="1" s="14">
      <c r="A2145" s="18" t="n">
        <v>52744</v>
      </c>
    </row>
    <row r="2146" ht="15" customHeight="1" s="14">
      <c r="A2146" s="18" t="n">
        <v>52745</v>
      </c>
    </row>
    <row r="2147" ht="15" customHeight="1" s="14">
      <c r="A2147" s="18" t="n">
        <v>52746</v>
      </c>
    </row>
    <row r="2148" ht="15" customHeight="1" s="14">
      <c r="A2148" s="18" t="n">
        <v>52747</v>
      </c>
    </row>
    <row r="2149" ht="15" customHeight="1" s="14">
      <c r="A2149" s="18" t="n">
        <v>52754</v>
      </c>
    </row>
    <row r="2150" ht="15" customHeight="1" s="14">
      <c r="A2150" s="18" t="n">
        <v>52755</v>
      </c>
    </row>
    <row r="2151" ht="15" customHeight="1" s="14">
      <c r="A2151" s="18" t="n">
        <v>52756</v>
      </c>
    </row>
    <row r="2152" ht="15" customHeight="1" s="14">
      <c r="A2152" s="18" t="n">
        <v>52757</v>
      </c>
    </row>
    <row r="2153" ht="15" customHeight="1" s="14">
      <c r="A2153" s="18" t="n">
        <v>52760</v>
      </c>
    </row>
    <row r="2154" ht="15" customHeight="1" s="14">
      <c r="A2154" s="18" t="n">
        <v>52761</v>
      </c>
    </row>
    <row r="2155" ht="15" customHeight="1" s="14">
      <c r="A2155" s="18" t="n">
        <v>52762</v>
      </c>
    </row>
    <row r="2156" ht="15" customHeight="1" s="14">
      <c r="A2156" s="18" t="n">
        <v>52766</v>
      </c>
    </row>
    <row r="2157" ht="15" customHeight="1" s="14">
      <c r="A2157" s="18" t="n">
        <v>52780</v>
      </c>
    </row>
    <row r="2158" ht="15" customHeight="1" s="14">
      <c r="A2158" s="18" t="n">
        <v>52781</v>
      </c>
    </row>
    <row r="2159" ht="15" customHeight="1" s="14">
      <c r="A2159" s="18" t="n">
        <v>52782</v>
      </c>
    </row>
    <row r="2160" ht="15" customHeight="1" s="14">
      <c r="A2160" s="18" t="n">
        <v>52792</v>
      </c>
    </row>
    <row r="2161" ht="15" customHeight="1" s="14">
      <c r="A2161" s="18" t="n">
        <v>52793</v>
      </c>
    </row>
    <row r="2162" ht="15" customHeight="1" s="14">
      <c r="A2162" s="18" t="n">
        <v>52794</v>
      </c>
    </row>
    <row r="2163" ht="15" customHeight="1" s="14">
      <c r="A2163" s="18" t="n">
        <v>52795</v>
      </c>
    </row>
    <row r="2164" ht="15" customHeight="1" s="14">
      <c r="A2164" s="18" t="n">
        <v>52797</v>
      </c>
    </row>
    <row r="2165" ht="15" customHeight="1" s="14">
      <c r="A2165" s="18" t="n">
        <v>52798</v>
      </c>
    </row>
    <row r="2166" ht="15" customHeight="1" s="14">
      <c r="A2166" s="18" t="n">
        <v>52801</v>
      </c>
    </row>
    <row r="2167" ht="15" customHeight="1" s="14">
      <c r="A2167" s="18" t="n">
        <v>52802</v>
      </c>
    </row>
    <row r="2168" ht="15" customHeight="1" s="14">
      <c r="A2168" s="18" t="n">
        <v>52807</v>
      </c>
    </row>
    <row r="2169" ht="15" customHeight="1" s="14">
      <c r="A2169" s="18" t="n">
        <v>52811</v>
      </c>
    </row>
    <row r="2170" ht="15" customHeight="1" s="14">
      <c r="A2170" s="18" t="n">
        <v>52812</v>
      </c>
    </row>
    <row r="2171" ht="15" customHeight="1" s="14">
      <c r="A2171" s="18" t="n">
        <v>52813</v>
      </c>
    </row>
    <row r="2172" ht="15" customHeight="1" s="14">
      <c r="A2172" s="18" t="n">
        <v>52815</v>
      </c>
    </row>
    <row r="2173" ht="15" customHeight="1" s="14">
      <c r="A2173" s="18" t="n">
        <v>52817</v>
      </c>
    </row>
    <row r="2174" ht="15" customHeight="1" s="14">
      <c r="A2174" s="18" t="n">
        <v>52818</v>
      </c>
    </row>
    <row r="2175" ht="15" customHeight="1" s="14">
      <c r="A2175" s="18" t="n">
        <v>52819</v>
      </c>
    </row>
    <row r="2176" ht="15" customHeight="1" s="14">
      <c r="A2176" s="18" t="n">
        <v>52820</v>
      </c>
    </row>
    <row r="2177" ht="15" customHeight="1" s="14">
      <c r="A2177" s="18" t="n">
        <v>52824</v>
      </c>
    </row>
    <row r="2178" ht="15" customHeight="1" s="14">
      <c r="A2178" s="18" t="n">
        <v>52829</v>
      </c>
    </row>
    <row r="2179" ht="15" customHeight="1" s="14">
      <c r="A2179" s="18" t="n">
        <v>52830</v>
      </c>
    </row>
    <row r="2180" ht="15" customHeight="1" s="14">
      <c r="A2180" s="18" t="n">
        <v>52831</v>
      </c>
    </row>
    <row r="2181" ht="15" customHeight="1" s="14">
      <c r="A2181" s="18" t="n">
        <v>52832</v>
      </c>
    </row>
    <row r="2182" ht="15" customHeight="1" s="14">
      <c r="A2182" s="18" t="n">
        <v>52833</v>
      </c>
    </row>
    <row r="2183" ht="15" customHeight="1" s="14">
      <c r="A2183" s="18" t="n">
        <v>52834</v>
      </c>
    </row>
    <row r="2184" ht="15" customHeight="1" s="14">
      <c r="A2184" s="18" t="n">
        <v>52835</v>
      </c>
    </row>
    <row r="2185" ht="15" customHeight="1" s="14">
      <c r="A2185" s="18" t="n">
        <v>52837</v>
      </c>
    </row>
    <row r="2186" ht="15" customHeight="1" s="14">
      <c r="A2186" s="18" t="n">
        <v>52839</v>
      </c>
    </row>
    <row r="2187" ht="15" customHeight="1" s="14">
      <c r="A2187" s="18" t="n">
        <v>52840</v>
      </c>
    </row>
    <row r="2188" ht="15" customHeight="1" s="14">
      <c r="A2188" s="18" t="n">
        <v>52841</v>
      </c>
    </row>
    <row r="2189" ht="15" customHeight="1" s="14">
      <c r="A2189" s="18" t="n">
        <v>52842</v>
      </c>
    </row>
    <row r="2190" ht="15" customHeight="1" s="14">
      <c r="A2190" s="18" t="n">
        <v>52844</v>
      </c>
    </row>
    <row r="2191" ht="15" customHeight="1" s="14">
      <c r="A2191" s="18" t="n">
        <v>52845</v>
      </c>
    </row>
    <row r="2192" ht="15" customHeight="1" s="14">
      <c r="A2192" s="18" t="n">
        <v>52846</v>
      </c>
    </row>
    <row r="2193" ht="15" customHeight="1" s="14">
      <c r="A2193" s="18" t="n">
        <v>52851</v>
      </c>
    </row>
    <row r="2194" ht="15" customHeight="1" s="14">
      <c r="A2194" s="18" t="n">
        <v>52853</v>
      </c>
    </row>
    <row r="2195" ht="15" customHeight="1" s="14">
      <c r="A2195" s="18" t="n">
        <v>52854</v>
      </c>
    </row>
    <row r="2196" ht="15" customHeight="1" s="14">
      <c r="A2196" s="18" t="n">
        <v>52855</v>
      </c>
    </row>
    <row r="2197" ht="15" customHeight="1" s="14">
      <c r="A2197" s="18" t="n">
        <v>52859</v>
      </c>
    </row>
    <row r="2198" ht="15" customHeight="1" s="14">
      <c r="A2198" s="18" t="n">
        <v>52860</v>
      </c>
    </row>
    <row r="2199" ht="15" customHeight="1" s="14">
      <c r="A2199" s="18" t="n">
        <v>52862</v>
      </c>
    </row>
    <row r="2200" ht="15" customHeight="1" s="14">
      <c r="A2200" s="18" t="n">
        <v>52863</v>
      </c>
    </row>
    <row r="2201" ht="15" customHeight="1" s="14">
      <c r="A2201" s="18" t="n">
        <v>52864</v>
      </c>
    </row>
    <row r="2202" ht="15" customHeight="1" s="14">
      <c r="A2202" s="18" t="n">
        <v>52865</v>
      </c>
    </row>
    <row r="2203" ht="15" customHeight="1" s="14">
      <c r="A2203" s="18" t="n">
        <v>52866</v>
      </c>
    </row>
    <row r="2204" ht="15" customHeight="1" s="14">
      <c r="A2204" s="18" t="n">
        <v>52871</v>
      </c>
    </row>
    <row r="2205" ht="15" customHeight="1" s="14">
      <c r="A2205" s="18" t="n">
        <v>52876</v>
      </c>
    </row>
    <row r="2206" ht="15" customHeight="1" s="14">
      <c r="A2206" s="18" t="n">
        <v>52877</v>
      </c>
    </row>
    <row r="2207" ht="15" customHeight="1" s="14">
      <c r="A2207" s="18" t="n">
        <v>52878</v>
      </c>
    </row>
    <row r="2208" ht="15" customHeight="1" s="14">
      <c r="A2208" s="18" t="n">
        <v>52879</v>
      </c>
    </row>
    <row r="2209" ht="15" customHeight="1" s="14">
      <c r="A2209" s="18" t="n">
        <v>52880</v>
      </c>
    </row>
    <row r="2210" ht="15" customHeight="1" s="14">
      <c r="A2210" s="18" t="n">
        <v>52881</v>
      </c>
    </row>
    <row r="2211" ht="15" customHeight="1" s="14">
      <c r="A2211" s="18" t="n">
        <v>52882</v>
      </c>
    </row>
    <row r="2212" ht="15" customHeight="1" s="14">
      <c r="A2212" s="18" t="n">
        <v>52885</v>
      </c>
    </row>
    <row r="2213" ht="15" customHeight="1" s="14">
      <c r="A2213" s="18" t="n">
        <v>52889</v>
      </c>
    </row>
    <row r="2214" ht="15" customHeight="1" s="14">
      <c r="A2214" s="18" t="n">
        <v>52892</v>
      </c>
    </row>
    <row r="2215" ht="15" customHeight="1" s="14">
      <c r="A2215" s="18" t="n">
        <v>52899</v>
      </c>
    </row>
    <row r="2216" ht="15" customHeight="1" s="14">
      <c r="A2216" s="18" t="n">
        <v>52902</v>
      </c>
    </row>
    <row r="2217" ht="15" customHeight="1" s="14">
      <c r="A2217" s="18" t="n">
        <v>52903</v>
      </c>
    </row>
    <row r="2218" ht="15" customHeight="1" s="14">
      <c r="A2218" s="18" t="n">
        <v>52906</v>
      </c>
    </row>
    <row r="2219" ht="15" customHeight="1" s="14">
      <c r="A2219" s="18" t="n">
        <v>52908</v>
      </c>
    </row>
    <row r="2220" ht="15" customHeight="1" s="14">
      <c r="A2220" s="18" t="n">
        <v>52917</v>
      </c>
    </row>
    <row r="2221" ht="15" customHeight="1" s="14">
      <c r="A2221" s="18" t="n">
        <v>52918</v>
      </c>
    </row>
    <row r="2222" ht="15" customHeight="1" s="14">
      <c r="A2222" s="18" t="n">
        <v>52921</v>
      </c>
    </row>
    <row r="2223" ht="15" customHeight="1" s="14">
      <c r="A2223" s="18" t="n">
        <v>52924</v>
      </c>
    </row>
    <row r="2224" ht="15" customHeight="1" s="14">
      <c r="A2224" s="18" t="n">
        <v>52925</v>
      </c>
    </row>
    <row r="2225" ht="15" customHeight="1" s="14">
      <c r="A2225" s="18" t="n">
        <v>52932</v>
      </c>
    </row>
    <row r="2226" ht="15" customHeight="1" s="14">
      <c r="A2226" s="18" t="n">
        <v>52933</v>
      </c>
    </row>
    <row r="2227" ht="15" customHeight="1" s="14">
      <c r="A2227" s="18" t="n">
        <v>52936</v>
      </c>
    </row>
    <row r="2228" ht="15" customHeight="1" s="14">
      <c r="A2228" s="18" t="n">
        <v>52940</v>
      </c>
    </row>
    <row r="2229" ht="15" customHeight="1" s="14">
      <c r="A2229" s="18" t="n">
        <v>52941</v>
      </c>
    </row>
    <row r="2230" ht="15" customHeight="1" s="14">
      <c r="A2230" s="18" t="n">
        <v>52947</v>
      </c>
    </row>
    <row r="2231" ht="15" customHeight="1" s="14">
      <c r="A2231" s="18" t="n">
        <v>52949</v>
      </c>
    </row>
    <row r="2232" ht="15" customHeight="1" s="14">
      <c r="A2232" s="18" t="n">
        <v>52952</v>
      </c>
    </row>
    <row r="2233" ht="15" customHeight="1" s="14">
      <c r="A2233" s="18" t="n">
        <v>52953</v>
      </c>
    </row>
    <row r="2234" ht="15" customHeight="1" s="14">
      <c r="A2234" s="18" t="n">
        <v>52954</v>
      </c>
    </row>
    <row r="2235" ht="15" customHeight="1" s="14">
      <c r="A2235" s="18" t="n">
        <v>52955</v>
      </c>
    </row>
    <row r="2236" ht="15" customHeight="1" s="14">
      <c r="A2236" s="18" t="n">
        <v>52958</v>
      </c>
    </row>
    <row r="2237" ht="15" customHeight="1" s="14">
      <c r="A2237" s="18" t="n">
        <v>52978</v>
      </c>
    </row>
    <row r="2238" ht="15" customHeight="1" s="14">
      <c r="A2238" s="18" t="n">
        <v>52985</v>
      </c>
    </row>
    <row r="2239" ht="15" customHeight="1" s="14">
      <c r="A2239" s="18" t="n">
        <v>52986</v>
      </c>
    </row>
    <row r="2240" ht="15" customHeight="1" s="14">
      <c r="A2240" s="18" t="n">
        <v>52989</v>
      </c>
    </row>
    <row r="2241" ht="15" customHeight="1" s="14">
      <c r="A2241" s="18" t="n">
        <v>52990</v>
      </c>
    </row>
    <row r="2242" ht="15" customHeight="1" s="14">
      <c r="A2242" s="18" t="n">
        <v>52991</v>
      </c>
    </row>
    <row r="2243" ht="15" customHeight="1" s="14">
      <c r="A2243" s="18" t="n">
        <v>52992</v>
      </c>
    </row>
    <row r="2244" ht="15" customHeight="1" s="14">
      <c r="A2244" s="18" t="n">
        <v>52993</v>
      </c>
    </row>
    <row r="2245" ht="15" customHeight="1" s="14">
      <c r="A2245" s="18" t="n">
        <v>53000</v>
      </c>
    </row>
    <row r="2246" ht="15" customHeight="1" s="14">
      <c r="A2246" s="18" t="n">
        <v>53006</v>
      </c>
    </row>
    <row r="2247" ht="15" customHeight="1" s="14">
      <c r="A2247" s="18" t="n">
        <v>53007</v>
      </c>
    </row>
    <row r="2248" ht="15" customHeight="1" s="14">
      <c r="A2248" s="18" t="n">
        <v>53008</v>
      </c>
    </row>
    <row r="2249" ht="15" customHeight="1" s="14">
      <c r="A2249" s="18" t="n">
        <v>53011</v>
      </c>
    </row>
    <row r="2250" ht="15" customHeight="1" s="14">
      <c r="A2250" s="18" t="n">
        <v>53012</v>
      </c>
    </row>
    <row r="2251" ht="15" customHeight="1" s="14">
      <c r="A2251" s="18" t="n">
        <v>53013</v>
      </c>
    </row>
    <row r="2252" ht="15" customHeight="1" s="14">
      <c r="A2252" s="18" t="n">
        <v>53016</v>
      </c>
    </row>
    <row r="2253" ht="15" customHeight="1" s="14">
      <c r="A2253" s="18" t="n">
        <v>53018</v>
      </c>
    </row>
    <row r="2254" ht="15" customHeight="1" s="14">
      <c r="A2254" s="18" t="n">
        <v>53019</v>
      </c>
    </row>
    <row r="2255" ht="15" customHeight="1" s="14">
      <c r="A2255" s="18" t="n">
        <v>53025</v>
      </c>
    </row>
    <row r="2256" ht="15" customHeight="1" s="14">
      <c r="A2256" s="18" t="n">
        <v>53031</v>
      </c>
    </row>
    <row r="2257" ht="15" customHeight="1" s="14">
      <c r="A2257" s="18" t="n">
        <v>53038</v>
      </c>
    </row>
    <row r="2258" ht="15" customHeight="1" s="14">
      <c r="A2258" s="18" t="n">
        <v>53039</v>
      </c>
    </row>
    <row r="2259" ht="15" customHeight="1" s="14">
      <c r="A2259" s="18" t="n">
        <v>53041</v>
      </c>
    </row>
    <row r="2260" ht="15" customHeight="1" s="14">
      <c r="A2260" s="18" t="n">
        <v>53046</v>
      </c>
    </row>
    <row r="2261" ht="15" customHeight="1" s="14">
      <c r="A2261" s="18" t="n">
        <v>53047</v>
      </c>
    </row>
    <row r="2262" ht="15" customHeight="1" s="14">
      <c r="A2262" s="18" t="n">
        <v>53048</v>
      </c>
    </row>
    <row r="2263" ht="15" customHeight="1" s="14">
      <c r="A2263" s="18" t="n">
        <v>53049</v>
      </c>
    </row>
    <row r="2264" ht="15" customHeight="1" s="14">
      <c r="A2264" s="18" t="n">
        <v>53050</v>
      </c>
    </row>
    <row r="2265" ht="15" customHeight="1" s="14">
      <c r="A2265" s="18" t="n">
        <v>53058</v>
      </c>
    </row>
    <row r="2266" ht="15" customHeight="1" s="14">
      <c r="A2266" s="18" t="n">
        <v>53062</v>
      </c>
    </row>
    <row r="2267" ht="15" customHeight="1" s="14">
      <c r="A2267" s="18" t="n">
        <v>53063</v>
      </c>
    </row>
    <row r="2268" ht="15" customHeight="1" s="14">
      <c r="A2268" s="18" t="n">
        <v>53064</v>
      </c>
    </row>
    <row r="2269" ht="15" customHeight="1" s="14">
      <c r="A2269" s="18" t="n">
        <v>53065</v>
      </c>
    </row>
    <row r="2270" ht="15" customHeight="1" s="14">
      <c r="A2270" s="18" t="n">
        <v>53066</v>
      </c>
    </row>
    <row r="2271" ht="15" customHeight="1" s="14">
      <c r="A2271" s="18" t="n">
        <v>53067</v>
      </c>
    </row>
    <row r="2272" ht="15" customHeight="1" s="14">
      <c r="A2272" s="18" t="n">
        <v>53081</v>
      </c>
    </row>
    <row r="2273" ht="15" customHeight="1" s="14">
      <c r="A2273" s="18" t="n">
        <v>53082</v>
      </c>
    </row>
    <row r="2274" ht="15" customHeight="1" s="14">
      <c r="A2274" s="18" t="n">
        <v>53087</v>
      </c>
    </row>
    <row r="2275" ht="15" customHeight="1" s="14">
      <c r="A2275" s="18" t="n">
        <v>53088</v>
      </c>
    </row>
    <row r="2276" ht="15" customHeight="1" s="14">
      <c r="A2276" s="18" t="n">
        <v>53089</v>
      </c>
    </row>
    <row r="2277" ht="15" customHeight="1" s="14">
      <c r="A2277" s="18" t="n">
        <v>53093</v>
      </c>
    </row>
    <row r="2278" ht="15" customHeight="1" s="14">
      <c r="A2278" s="18" t="n">
        <v>53096</v>
      </c>
    </row>
    <row r="2279" ht="15" customHeight="1" s="14">
      <c r="A2279" s="18" t="n">
        <v>53098</v>
      </c>
    </row>
    <row r="2280" ht="15" customHeight="1" s="14">
      <c r="A2280" s="18" t="n">
        <v>53100</v>
      </c>
    </row>
    <row r="2281" ht="15" customHeight="1" s="14">
      <c r="A2281" s="18" t="n">
        <v>53101</v>
      </c>
    </row>
    <row r="2282" ht="15" customHeight="1" s="14">
      <c r="A2282" s="18" t="n">
        <v>53111</v>
      </c>
    </row>
    <row r="2283" ht="15" customHeight="1" s="14">
      <c r="A2283" s="18" t="n">
        <v>53113</v>
      </c>
    </row>
    <row r="2284" ht="15" customHeight="1" s="14">
      <c r="A2284" s="18" t="n">
        <v>53117</v>
      </c>
    </row>
    <row r="2285" ht="15" customHeight="1" s="14">
      <c r="A2285" s="18" t="n">
        <v>53118</v>
      </c>
    </row>
    <row r="2286" ht="15" customHeight="1" s="14">
      <c r="A2286" s="18" t="n">
        <v>53120</v>
      </c>
    </row>
    <row r="2287" ht="15" customHeight="1" s="14">
      <c r="A2287" s="18" t="n">
        <v>53121</v>
      </c>
    </row>
    <row r="2288" ht="15" customHeight="1" s="14">
      <c r="A2288" s="18" t="n">
        <v>53129</v>
      </c>
    </row>
    <row r="2289" ht="15" customHeight="1" s="14">
      <c r="A2289" s="18" t="n">
        <v>53130</v>
      </c>
    </row>
    <row r="2290" ht="15" customHeight="1" s="14">
      <c r="A2290" s="18" t="n">
        <v>53132</v>
      </c>
    </row>
    <row r="2291" ht="15" customHeight="1" s="14">
      <c r="A2291" s="18" t="n">
        <v>53133</v>
      </c>
    </row>
    <row r="2292" ht="15" customHeight="1" s="14">
      <c r="A2292" s="18" t="n">
        <v>53134</v>
      </c>
    </row>
    <row r="2293" ht="15" customHeight="1" s="14">
      <c r="A2293" s="18" t="n">
        <v>53135</v>
      </c>
    </row>
    <row r="2294" ht="15" customHeight="1" s="14">
      <c r="A2294" s="18" t="n">
        <v>53139</v>
      </c>
    </row>
    <row r="2295" ht="15" customHeight="1" s="14">
      <c r="A2295" s="18" t="n">
        <v>53140</v>
      </c>
    </row>
    <row r="2296" ht="15" customHeight="1" s="14">
      <c r="A2296" s="18" t="n">
        <v>53141</v>
      </c>
    </row>
    <row r="2297" ht="15" customHeight="1" s="14">
      <c r="A2297" s="18" t="n">
        <v>53142</v>
      </c>
    </row>
    <row r="2298" ht="15" customHeight="1" s="14">
      <c r="A2298" s="18" t="n">
        <v>53144</v>
      </c>
    </row>
    <row r="2299" ht="15" customHeight="1" s="14">
      <c r="A2299" s="18" t="n">
        <v>53152</v>
      </c>
    </row>
    <row r="2300" ht="15" customHeight="1" s="14">
      <c r="A2300" s="18" t="n">
        <v>53153</v>
      </c>
    </row>
    <row r="2301" ht="15" customHeight="1" s="14">
      <c r="A2301" s="18" t="n">
        <v>53157</v>
      </c>
    </row>
    <row r="2302" ht="15" customHeight="1" s="14">
      <c r="A2302" s="18" t="n">
        <v>53158</v>
      </c>
    </row>
    <row r="2303" ht="15" customHeight="1" s="14">
      <c r="A2303" s="18" t="n">
        <v>53159</v>
      </c>
    </row>
    <row r="2304" ht="15" customHeight="1" s="14">
      <c r="A2304" s="18" t="n">
        <v>53163</v>
      </c>
    </row>
    <row r="2305" ht="15" customHeight="1" s="14">
      <c r="A2305" s="18" t="n">
        <v>53167</v>
      </c>
    </row>
    <row r="2306" ht="15" customHeight="1" s="14">
      <c r="A2306" s="18" t="n">
        <v>53168</v>
      </c>
    </row>
    <row r="2307" ht="15" customHeight="1" s="14">
      <c r="A2307" s="18" t="n">
        <v>53173</v>
      </c>
    </row>
    <row r="2308" ht="15" customHeight="1" s="14">
      <c r="A2308" s="18" t="n">
        <v>53174</v>
      </c>
    </row>
    <row r="2309" ht="15" customHeight="1" s="14">
      <c r="A2309" s="18" t="n">
        <v>53175</v>
      </c>
    </row>
    <row r="2310" ht="15" customHeight="1" s="14">
      <c r="A2310" s="18" t="n">
        <v>53176</v>
      </c>
    </row>
    <row r="2311" ht="15" customHeight="1" s="14">
      <c r="A2311" s="18" t="n">
        <v>53177</v>
      </c>
    </row>
    <row r="2312" ht="15" customHeight="1" s="14">
      <c r="A2312" s="18" t="n">
        <v>53179</v>
      </c>
    </row>
    <row r="2313" ht="15" customHeight="1" s="14">
      <c r="A2313" s="18" t="n">
        <v>53192</v>
      </c>
    </row>
    <row r="2314" ht="15" customHeight="1" s="14">
      <c r="A2314" s="18" t="n">
        <v>53197</v>
      </c>
    </row>
    <row r="2315" ht="15" customHeight="1" s="14">
      <c r="A2315" s="18" t="n">
        <v>53198</v>
      </c>
    </row>
    <row r="2316" ht="15" customHeight="1" s="14">
      <c r="A2316" s="18" t="n">
        <v>53199</v>
      </c>
    </row>
    <row r="2317" ht="15" customHeight="1" s="14">
      <c r="A2317" s="18" t="n">
        <v>53200</v>
      </c>
    </row>
    <row r="2318" ht="15" customHeight="1" s="14">
      <c r="A2318" s="18" t="n">
        <v>53212</v>
      </c>
    </row>
    <row r="2319" ht="15" customHeight="1" s="14">
      <c r="A2319" s="18" t="n">
        <v>53213</v>
      </c>
    </row>
    <row r="2320" ht="15" customHeight="1" s="14">
      <c r="A2320" s="18" t="n">
        <v>53223</v>
      </c>
    </row>
    <row r="2321" ht="15" customHeight="1" s="14">
      <c r="A2321" s="18" t="n">
        <v>53227</v>
      </c>
    </row>
    <row r="2322" ht="15" customHeight="1" s="14">
      <c r="A2322" s="18" t="n">
        <v>53228</v>
      </c>
    </row>
    <row r="2323" ht="15" customHeight="1" s="14">
      <c r="A2323" s="18" t="n">
        <v>53229</v>
      </c>
    </row>
    <row r="2324" ht="15" customHeight="1" s="14">
      <c r="A2324" s="18" t="n">
        <v>53232</v>
      </c>
    </row>
    <row r="2325" ht="15" customHeight="1" s="14">
      <c r="A2325" s="18" t="n">
        <v>53235</v>
      </c>
    </row>
    <row r="2326" ht="15" customHeight="1" s="14">
      <c r="A2326" s="18" t="n">
        <v>53236</v>
      </c>
    </row>
    <row r="2327" ht="15" customHeight="1" s="14">
      <c r="A2327" s="18" t="n">
        <v>53238</v>
      </c>
    </row>
    <row r="2328" ht="15" customHeight="1" s="14">
      <c r="A2328" s="18" t="n">
        <v>53240</v>
      </c>
    </row>
    <row r="2329" ht="15" customHeight="1" s="14">
      <c r="A2329" s="18" t="n">
        <v>53246</v>
      </c>
    </row>
    <row r="2330" ht="15" customHeight="1" s="14">
      <c r="A2330" s="18" t="n">
        <v>53247</v>
      </c>
    </row>
    <row r="2331" ht="15" customHeight="1" s="14">
      <c r="A2331" s="18" t="n">
        <v>53248</v>
      </c>
    </row>
    <row r="2332" ht="15" customHeight="1" s="14">
      <c r="A2332" s="18" t="n">
        <v>53249</v>
      </c>
    </row>
    <row r="2333" ht="15" customHeight="1" s="14">
      <c r="A2333" s="18" t="n">
        <v>53256</v>
      </c>
    </row>
    <row r="2334" ht="15" customHeight="1" s="14">
      <c r="A2334" s="18" t="n">
        <v>53257</v>
      </c>
    </row>
    <row r="2335" ht="15" customHeight="1" s="14">
      <c r="A2335" s="18" t="n">
        <v>53260</v>
      </c>
    </row>
    <row r="2336" ht="15" customHeight="1" s="14">
      <c r="A2336" s="18" t="n">
        <v>53263</v>
      </c>
    </row>
    <row r="2337" ht="15" customHeight="1" s="14">
      <c r="A2337" s="18" t="n">
        <v>53271</v>
      </c>
    </row>
    <row r="2338" ht="15" customHeight="1" s="14">
      <c r="A2338" s="18" t="n">
        <v>53272</v>
      </c>
    </row>
    <row r="2339" ht="15" customHeight="1" s="14">
      <c r="A2339" s="18" t="n">
        <v>53273</v>
      </c>
    </row>
    <row r="2340" ht="15" customHeight="1" s="14">
      <c r="A2340" s="18" t="n">
        <v>53275</v>
      </c>
    </row>
    <row r="2341" ht="15" customHeight="1" s="14">
      <c r="A2341" s="18" t="n">
        <v>53277</v>
      </c>
    </row>
    <row r="2342" ht="15" customHeight="1" s="14">
      <c r="A2342" s="18" t="n">
        <v>53286</v>
      </c>
    </row>
    <row r="2343" ht="15" customHeight="1" s="14">
      <c r="A2343" s="18" t="n">
        <v>53290</v>
      </c>
    </row>
    <row r="2344" ht="15" customHeight="1" s="14">
      <c r="A2344" s="18" t="n">
        <v>53291</v>
      </c>
    </row>
    <row r="2345" ht="15" customHeight="1" s="14">
      <c r="A2345" s="18" t="n">
        <v>53292</v>
      </c>
    </row>
    <row r="2346" ht="15" customHeight="1" s="14">
      <c r="A2346" s="18" t="n">
        <v>53293</v>
      </c>
    </row>
    <row r="2347" ht="15" customHeight="1" s="14">
      <c r="A2347" s="18" t="n">
        <v>53294</v>
      </c>
    </row>
    <row r="2348" ht="15" customHeight="1" s="14">
      <c r="A2348" s="18" t="n">
        <v>53295</v>
      </c>
    </row>
    <row r="2349" ht="15" customHeight="1" s="14">
      <c r="A2349" s="18" t="n">
        <v>53297</v>
      </c>
    </row>
    <row r="2350" ht="15" customHeight="1" s="14">
      <c r="A2350" s="18" t="n">
        <v>53298</v>
      </c>
    </row>
    <row r="2351" ht="15" customHeight="1" s="14">
      <c r="A2351" s="18" t="n">
        <v>53299</v>
      </c>
    </row>
    <row r="2352" ht="15" customHeight="1" s="14">
      <c r="A2352" s="18" t="n">
        <v>53300</v>
      </c>
    </row>
    <row r="2353" ht="15" customHeight="1" s="14">
      <c r="A2353" s="18" t="n">
        <v>53301</v>
      </c>
    </row>
    <row r="2354" ht="15" customHeight="1" s="14">
      <c r="A2354" s="18" t="n">
        <v>53302</v>
      </c>
    </row>
    <row r="2355" ht="15" customHeight="1" s="14">
      <c r="A2355" s="18" t="n">
        <v>53308</v>
      </c>
    </row>
    <row r="2356" ht="15" customHeight="1" s="14">
      <c r="A2356" s="18" t="n">
        <v>53315</v>
      </c>
    </row>
    <row r="2357" ht="15" customHeight="1" s="14">
      <c r="A2357" s="18" t="n">
        <v>53316</v>
      </c>
    </row>
    <row r="2358" ht="15" customHeight="1" s="14">
      <c r="A2358" s="18" t="n">
        <v>53323</v>
      </c>
    </row>
    <row r="2359" ht="15" customHeight="1" s="14">
      <c r="A2359" s="18" t="n">
        <v>53324</v>
      </c>
    </row>
    <row r="2360" ht="15" customHeight="1" s="14">
      <c r="A2360" s="18" t="n">
        <v>53326</v>
      </c>
    </row>
    <row r="2361" ht="15" customHeight="1" s="14">
      <c r="A2361" s="18" t="n">
        <v>53328</v>
      </c>
    </row>
    <row r="2362" ht="15" customHeight="1" s="14">
      <c r="A2362" s="18" t="n">
        <v>53334</v>
      </c>
    </row>
    <row r="2363" ht="15" customHeight="1" s="14">
      <c r="A2363" s="18" t="n">
        <v>53335</v>
      </c>
    </row>
    <row r="2364" ht="15" customHeight="1" s="14">
      <c r="A2364" s="18" t="n">
        <v>53341</v>
      </c>
    </row>
    <row r="2365" ht="15" customHeight="1" s="14">
      <c r="A2365" s="18" t="n">
        <v>53342</v>
      </c>
    </row>
    <row r="2366" ht="15" customHeight="1" s="14">
      <c r="A2366" s="18" t="n">
        <v>53346</v>
      </c>
    </row>
    <row r="2367" ht="15" customHeight="1" s="14">
      <c r="A2367" s="18" t="n">
        <v>53358</v>
      </c>
    </row>
    <row r="2368" ht="15" customHeight="1" s="14">
      <c r="A2368" s="18" t="n">
        <v>53359</v>
      </c>
    </row>
    <row r="2369" ht="15" customHeight="1" s="14">
      <c r="A2369" s="18" t="n">
        <v>53360</v>
      </c>
    </row>
    <row r="2370" ht="15" customHeight="1" s="14">
      <c r="A2370" s="18" t="n">
        <v>53361</v>
      </c>
    </row>
    <row r="2371" ht="15" customHeight="1" s="14">
      <c r="A2371" s="18" t="n">
        <v>53362</v>
      </c>
    </row>
    <row r="2372" ht="15" customHeight="1" s="14">
      <c r="A2372" s="18" t="n">
        <v>53364</v>
      </c>
    </row>
    <row r="2373" ht="15" customHeight="1" s="14">
      <c r="A2373" s="18" t="n">
        <v>53367</v>
      </c>
    </row>
    <row r="2374" ht="15" customHeight="1" s="14">
      <c r="A2374" s="18" t="n">
        <v>53368</v>
      </c>
    </row>
    <row r="2375" ht="15" customHeight="1" s="14">
      <c r="A2375" s="18" t="n">
        <v>53370</v>
      </c>
    </row>
    <row r="2376" ht="15" customHeight="1" s="14">
      <c r="A2376" s="18" t="n">
        <v>53371</v>
      </c>
    </row>
    <row r="2377" ht="15" customHeight="1" s="14">
      <c r="A2377" s="18" t="n">
        <v>53374</v>
      </c>
    </row>
    <row r="2378" ht="15" customHeight="1" s="14">
      <c r="A2378" s="18" t="n">
        <v>53376</v>
      </c>
    </row>
    <row r="2379" ht="15" customHeight="1" s="14">
      <c r="A2379" s="18" t="n">
        <v>53379</v>
      </c>
    </row>
    <row r="2380" ht="15" customHeight="1" s="14">
      <c r="A2380" s="18" t="n">
        <v>53380</v>
      </c>
    </row>
    <row r="2381" ht="15" customHeight="1" s="14">
      <c r="A2381" s="18" t="n">
        <v>53382</v>
      </c>
    </row>
    <row r="2382" ht="15" customHeight="1" s="14">
      <c r="A2382" s="18" t="n">
        <v>53384</v>
      </c>
    </row>
    <row r="2383" ht="15" customHeight="1" s="14">
      <c r="A2383" s="18" t="n">
        <v>53385</v>
      </c>
    </row>
    <row r="2384" ht="15" customHeight="1" s="14">
      <c r="A2384" s="18" t="n">
        <v>53388</v>
      </c>
    </row>
    <row r="2385" ht="15" customHeight="1" s="14">
      <c r="A2385" s="18" t="n">
        <v>53396</v>
      </c>
    </row>
    <row r="2386" ht="15" customHeight="1" s="14">
      <c r="A2386" s="18" t="n">
        <v>53397</v>
      </c>
    </row>
    <row r="2387" ht="15" customHeight="1" s="14">
      <c r="A2387" s="18" t="n">
        <v>53402</v>
      </c>
    </row>
    <row r="2388" ht="15" customHeight="1" s="14">
      <c r="A2388" s="18" t="n">
        <v>53408</v>
      </c>
    </row>
    <row r="2389" ht="15" customHeight="1" s="14">
      <c r="A2389" s="18" t="n">
        <v>53409</v>
      </c>
    </row>
    <row r="2390" ht="15" customHeight="1" s="14">
      <c r="A2390" s="18" t="n">
        <v>53416</v>
      </c>
    </row>
    <row r="2391" ht="15" customHeight="1" s="14">
      <c r="A2391" s="18" t="n">
        <v>53421</v>
      </c>
    </row>
    <row r="2392" ht="15" customHeight="1" s="14">
      <c r="A2392" s="18" t="n">
        <v>53422</v>
      </c>
    </row>
    <row r="2393" ht="15" customHeight="1" s="14">
      <c r="A2393" s="18" t="n">
        <v>53423</v>
      </c>
    </row>
    <row r="2394" ht="15" customHeight="1" s="14">
      <c r="A2394" s="18" t="n">
        <v>53424</v>
      </c>
    </row>
    <row r="2395" ht="15" customHeight="1" s="14">
      <c r="A2395" s="18" t="n">
        <v>53425</v>
      </c>
    </row>
    <row r="2396" ht="15" customHeight="1" s="14">
      <c r="A2396" s="18" t="n">
        <v>53426</v>
      </c>
    </row>
    <row r="2397" ht="15" customHeight="1" s="14">
      <c r="A2397" s="18" t="n">
        <v>53442</v>
      </c>
    </row>
    <row r="2398" ht="15" customHeight="1" s="14">
      <c r="A2398" s="18" t="n">
        <v>53446</v>
      </c>
    </row>
    <row r="2399" ht="15" customHeight="1" s="14">
      <c r="A2399" s="18" t="n">
        <v>53447</v>
      </c>
    </row>
    <row r="2400" ht="15" customHeight="1" s="14">
      <c r="A2400" s="18" t="n">
        <v>53448</v>
      </c>
    </row>
    <row r="2401" ht="15" customHeight="1" s="14">
      <c r="A2401" s="18" t="n">
        <v>53450</v>
      </c>
    </row>
    <row r="2402" ht="15" customHeight="1" s="14">
      <c r="A2402" s="18" t="n">
        <v>53451</v>
      </c>
    </row>
    <row r="2403" ht="15" customHeight="1" s="14">
      <c r="A2403" s="18" t="n">
        <v>53452</v>
      </c>
    </row>
    <row r="2404" ht="15" customHeight="1" s="14">
      <c r="A2404" s="18" t="n">
        <v>53455</v>
      </c>
    </row>
    <row r="2405" ht="15" customHeight="1" s="14">
      <c r="A2405" s="18" t="n">
        <v>53459</v>
      </c>
    </row>
    <row r="2406" ht="15" customHeight="1" s="14">
      <c r="A2406" s="18" t="n">
        <v>53460</v>
      </c>
    </row>
    <row r="2407" ht="15" customHeight="1" s="14">
      <c r="A2407" s="18" t="n">
        <v>53461</v>
      </c>
    </row>
    <row r="2408" ht="15" customHeight="1" s="14">
      <c r="A2408" s="18" t="n">
        <v>53462</v>
      </c>
    </row>
    <row r="2409" ht="15" customHeight="1" s="14">
      <c r="A2409" s="18" t="n">
        <v>53463</v>
      </c>
    </row>
    <row r="2410" ht="15" customHeight="1" s="14">
      <c r="A2410" s="18" t="n">
        <v>53473</v>
      </c>
    </row>
    <row r="2411" ht="15" customHeight="1" s="14">
      <c r="A2411" s="18" t="n">
        <v>53476</v>
      </c>
    </row>
    <row r="2412" ht="15" customHeight="1" s="14">
      <c r="A2412" s="18" t="n">
        <v>53482</v>
      </c>
    </row>
    <row r="2413" ht="15" customHeight="1" s="14">
      <c r="A2413" s="18" t="n">
        <v>53483</v>
      </c>
    </row>
    <row r="2414" ht="15" customHeight="1" s="14">
      <c r="A2414" s="18" t="n">
        <v>53486</v>
      </c>
    </row>
    <row r="2415" ht="15" customHeight="1" s="14">
      <c r="A2415" s="18" t="n">
        <v>53491</v>
      </c>
    </row>
    <row r="2416" ht="15" customHeight="1" s="14">
      <c r="A2416" s="18" t="n">
        <v>53504</v>
      </c>
    </row>
    <row r="2417" ht="15" customHeight="1" s="14">
      <c r="A2417" s="18" t="n">
        <v>53506</v>
      </c>
    </row>
    <row r="2418" ht="15" customHeight="1" s="14">
      <c r="A2418" s="18" t="n">
        <v>53507</v>
      </c>
    </row>
    <row r="2419" ht="15" customHeight="1" s="14">
      <c r="A2419" s="18" t="n">
        <v>53508</v>
      </c>
    </row>
    <row r="2420" ht="15" customHeight="1" s="14">
      <c r="A2420" s="18" t="n">
        <v>53509</v>
      </c>
    </row>
    <row r="2421" ht="15" customHeight="1" s="14">
      <c r="A2421" s="18" t="n">
        <v>53510</v>
      </c>
    </row>
    <row r="2422" ht="15" customHeight="1" s="14">
      <c r="A2422" s="18" t="n">
        <v>53512</v>
      </c>
    </row>
    <row r="2423" ht="15" customHeight="1" s="14">
      <c r="A2423" s="18" t="n">
        <v>53520</v>
      </c>
    </row>
    <row r="2424" ht="15" customHeight="1" s="14">
      <c r="A2424" s="18" t="n">
        <v>53528</v>
      </c>
    </row>
    <row r="2425" ht="15" customHeight="1" s="14">
      <c r="A2425" s="18" t="n">
        <v>53533</v>
      </c>
    </row>
    <row r="2426" ht="15" customHeight="1" s="14">
      <c r="A2426" s="18" t="n">
        <v>53563</v>
      </c>
    </row>
    <row r="2427" ht="15" customHeight="1" s="14">
      <c r="A2427" s="18" t="n">
        <v>53565</v>
      </c>
    </row>
    <row r="2428" ht="15" customHeight="1" s="14">
      <c r="A2428" s="18" t="n">
        <v>53566</v>
      </c>
    </row>
    <row r="2429" ht="15" customHeight="1" s="14">
      <c r="A2429" s="18" t="n">
        <v>53583</v>
      </c>
    </row>
    <row r="2430" ht="15" customHeight="1" s="14">
      <c r="A2430" s="18" t="n">
        <v>53585</v>
      </c>
    </row>
    <row r="2431" ht="15" customHeight="1" s="14">
      <c r="A2431" s="18" t="n">
        <v>53593</v>
      </c>
    </row>
    <row r="2432" ht="15" customHeight="1" s="14">
      <c r="A2432" s="18" t="n">
        <v>53595</v>
      </c>
    </row>
    <row r="2433" ht="15" customHeight="1" s="14">
      <c r="A2433" s="18" t="n">
        <v>53596</v>
      </c>
    </row>
    <row r="2434" ht="15" customHeight="1" s="14">
      <c r="A2434" s="18" t="n">
        <v>53597</v>
      </c>
    </row>
    <row r="2435" ht="15" customHeight="1" s="14">
      <c r="A2435" s="18" t="n">
        <v>53598</v>
      </c>
    </row>
    <row r="2436" ht="15" customHeight="1" s="14">
      <c r="A2436" s="18" t="n">
        <v>53600</v>
      </c>
    </row>
    <row r="2437" ht="15" customHeight="1" s="14">
      <c r="A2437" s="18" t="n">
        <v>53606</v>
      </c>
    </row>
    <row r="2438" ht="15" customHeight="1" s="14">
      <c r="A2438" s="18" t="n">
        <v>53636</v>
      </c>
    </row>
    <row r="2439" ht="15" customHeight="1" s="14">
      <c r="A2439" s="18" t="n">
        <v>53637</v>
      </c>
    </row>
    <row r="2440" ht="15" customHeight="1" s="14">
      <c r="A2440" s="18" t="n">
        <v>53652</v>
      </c>
    </row>
    <row r="2441" ht="15" customHeight="1" s="14">
      <c r="A2441" s="18" t="n">
        <v>53659</v>
      </c>
    </row>
    <row r="2442" ht="15" customHeight="1" s="14">
      <c r="A2442" s="18" t="n">
        <v>53679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98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55" customWidth="1" style="13" min="2" max="2"/>
    <col width="22" customWidth="1" style="13" min="3" max="3"/>
  </cols>
  <sheetData>
    <row r="1" ht="17.35" customHeight="1" s="14">
      <c r="A1" s="15" t="inlineStr">
        <is>
          <t>پوشش کدهای ژنریک تی‌تک توسط فایل‌های پیام‌داروساز</t>
        </is>
      </c>
    </row>
    <row r="2" ht="12.65" customHeight="1" s="14">
      <c r="A2" s="16" t="inlineStr">
        <is>
          <t>تعداد کل کد ژنریک یکتا در فایل تی‌تک: 3983   |   تعداد یکتا در فایل‌های پیام: 2441</t>
        </is>
      </c>
    </row>
    <row r="4" ht="15" customHeight="1" s="14">
      <c r="A4" s="23" t="inlineStr">
        <is>
          <t>کد ژنریک</t>
        </is>
      </c>
      <c r="B4" s="23" t="inlineStr">
        <is>
          <t>نام ژنریک (تی‌تک)</t>
        </is>
      </c>
      <c r="C4" s="23" t="inlineStr">
        <is>
          <t>موجود در فایل‌های پیام؟</t>
        </is>
      </c>
    </row>
    <row r="5" ht="15" customHeight="1" s="14">
      <c r="A5" s="24" t="n">
        <v>1</v>
      </c>
      <c r="B5" s="24" t="inlineStr">
        <is>
          <t>ACETAMINOPHEN / CAFFEINE / ASA TABLET ORAL 162.5 mg/32.5 mg/325 mg</t>
        </is>
      </c>
      <c r="C5" s="25">
        <f>IF(COUNTIF('کدهای پیام‌داروساز'!$A$2:$A$2442,A5)&gt;0,"بله","خیر")</f>
        <v/>
      </c>
    </row>
    <row r="6" ht="15" customHeight="1" s="14">
      <c r="A6" s="24" t="n">
        <v>3</v>
      </c>
      <c r="B6" s="24" t="inlineStr">
        <is>
          <t>ACETAMINOPHEN SOLUTION, DROPS ORAL 100 mg/1mL 15 mL</t>
        </is>
      </c>
      <c r="C6" s="25">
        <f>IF(COUNTIF('کدهای پیام‌داروساز'!$A$2:$A$2442,A6)&gt;0,"بله","خیر")</f>
        <v/>
      </c>
    </row>
    <row r="7" ht="15" customHeight="1" s="14">
      <c r="A7" s="24" t="n">
        <v>4</v>
      </c>
      <c r="B7" s="24" t="inlineStr">
        <is>
          <t>ACETAMINOPHEN SOLUTION ORAL 120 mg/5mL 60 mL</t>
        </is>
      </c>
      <c r="C7" s="25">
        <f>IF(COUNTIF('کدهای پیام‌داروساز'!$A$2:$A$2442,A7)&gt;0,"بله","خیر")</f>
        <v/>
      </c>
    </row>
    <row r="8" ht="15" customHeight="1" s="14">
      <c r="A8" s="24" t="n">
        <v>5</v>
      </c>
      <c r="B8" s="24" t="inlineStr">
        <is>
          <t>ACETAMINOPHEN SUSPENSION ORAL 120 mg/5mL 120 mL</t>
        </is>
      </c>
      <c r="C8" s="25">
        <f>IF(COUNTIF('کدهای پیام‌داروساز'!$A$2:$A$2442,A8)&gt;0,"بله","خیر")</f>
        <v/>
      </c>
    </row>
    <row r="9" ht="15" customHeight="1" s="14">
      <c r="A9" s="24" t="n">
        <v>6</v>
      </c>
      <c r="B9" s="24" t="inlineStr">
        <is>
          <t>ACETAMINOPHEN SUPPOSITORY RECTAL 125 mg</t>
        </is>
      </c>
      <c r="C9" s="25">
        <f>IF(COUNTIF('کدهای پیام‌داروساز'!$A$2:$A$2442,A9)&gt;0,"بله","خیر")</f>
        <v/>
      </c>
    </row>
    <row r="10" ht="15" customHeight="1" s="14">
      <c r="A10" s="24" t="n">
        <v>7</v>
      </c>
      <c r="B10" s="24" t="inlineStr">
        <is>
          <t>ACETAMINOPHEN TABLET ORAL 325 mg</t>
        </is>
      </c>
      <c r="C10" s="25">
        <f>IF(COUNTIF('کدهای پیام‌داروساز'!$A$2:$A$2442,A10)&gt;0,"بله","خیر")</f>
        <v/>
      </c>
    </row>
    <row r="11" ht="15" customHeight="1" s="14">
      <c r="A11" s="24" t="n">
        <v>8</v>
      </c>
      <c r="B11" s="24" t="inlineStr">
        <is>
          <t>ACETAMINOPHEN SUPPOSITORY RECTAL 325 mg</t>
        </is>
      </c>
      <c r="C11" s="25">
        <f>IF(COUNTIF('کدهای پیام‌داروساز'!$A$2:$A$2442,A11)&gt;0,"بله","خیر")</f>
        <v/>
      </c>
    </row>
    <row r="12" ht="15" customHeight="1" s="14">
      <c r="A12" s="24" t="n">
        <v>9</v>
      </c>
      <c r="B12" s="24" t="inlineStr">
        <is>
          <t>ACETAMINOPHEN TABLET, ORALLY DISINTEGRATING ORAL 80 mg</t>
        </is>
      </c>
      <c r="C12" s="25">
        <f>IF(COUNTIF('کدهای پیام‌داروساز'!$A$2:$A$2442,A12)&gt;0,"بله","خیر")</f>
        <v/>
      </c>
    </row>
    <row r="13" ht="15" customHeight="1" s="14">
      <c r="A13" s="24" t="n">
        <v>11</v>
      </c>
      <c r="B13" s="24" t="inlineStr">
        <is>
          <t>ACETAZOLAMIDE TABLET ORAL 250 mg</t>
        </is>
      </c>
      <c r="C13" s="25">
        <f>IF(COUNTIF('کدهای پیام‌داروساز'!$A$2:$A$2442,A13)&gt;0,"بله","خیر")</f>
        <v/>
      </c>
    </row>
    <row r="14" ht="15" customHeight="1" s="14">
      <c r="A14" s="24" t="n">
        <v>12</v>
      </c>
      <c r="B14" s="24" t="inlineStr">
        <is>
          <t>ACETAZOLAMIDE INJECTION, POWDER, FOR SOLUTION PARENTERAL 500 mg</t>
        </is>
      </c>
      <c r="C14" s="25">
        <f>IF(COUNTIF('کدهای پیام‌داروساز'!$A$2:$A$2442,A14)&gt;0,"بله","خیر")</f>
        <v/>
      </c>
    </row>
    <row r="15" ht="15" customHeight="1" s="14">
      <c r="A15" s="24" t="n">
        <v>15</v>
      </c>
      <c r="B15" s="24" t="inlineStr">
        <is>
          <t>ACETYLCHOLINE CHLORIDE INJECTION OPHTHALMIC 1 % 2 mL</t>
        </is>
      </c>
      <c r="C15" s="25">
        <f>IF(COUNTIF('کدهای پیام‌داروساز'!$A$2:$A$2442,A15)&gt;0,"بله","خیر")</f>
        <v/>
      </c>
    </row>
    <row r="16" ht="15" customHeight="1" s="14">
      <c r="A16" s="24" t="n">
        <v>17</v>
      </c>
      <c r="B16" s="24" t="inlineStr">
        <is>
          <t>ACITRETIN CAPSULE ORAL 10 mg</t>
        </is>
      </c>
      <c r="C16" s="25">
        <f>IF(COUNTIF('کدهای پیام‌داروساز'!$A$2:$A$2442,A16)&gt;0,"بله","خیر")</f>
        <v/>
      </c>
    </row>
    <row r="17" ht="15" customHeight="1" s="14">
      <c r="A17" s="24" t="n">
        <v>18</v>
      </c>
      <c r="B17" s="24" t="inlineStr">
        <is>
          <t>ACITRETIN CAPSULE ORAL 25 mg</t>
        </is>
      </c>
      <c r="C17" s="25">
        <f>IF(COUNTIF('کدهای پیام‌داروساز'!$A$2:$A$2442,A17)&gt;0,"بله","خیر")</f>
        <v/>
      </c>
    </row>
    <row r="18" ht="15" customHeight="1" s="14">
      <c r="A18" s="24" t="n">
        <v>19</v>
      </c>
      <c r="B18" s="24" t="inlineStr">
        <is>
          <t>ACTIVATED PROTHROMBIN COMPLEX (CONCENTRATED) INJECTION, POWDER, LYOPHILIZED, FOR SOLUTION PARENTERAL 500 [iU]</t>
        </is>
      </c>
      <c r="C18" s="25">
        <f>IF(COUNTIF('کدهای پیام‌داروساز'!$A$2:$A$2442,A18)&gt;0,"بله","خیر")</f>
        <v/>
      </c>
    </row>
    <row r="19" ht="15" customHeight="1" s="14">
      <c r="A19" s="24" t="n">
        <v>20</v>
      </c>
      <c r="B19" s="24" t="inlineStr">
        <is>
          <t>ACICLOVIR OINTMENT OPHTHALMIC 3 % 3 g</t>
        </is>
      </c>
      <c r="C19" s="25">
        <f>IF(COUNTIF('کدهای پیام‌داروساز'!$A$2:$A$2442,A19)&gt;0,"بله","خیر")</f>
        <v/>
      </c>
    </row>
    <row r="20" ht="15" customHeight="1" s="14">
      <c r="A20" s="24" t="n">
        <v>21</v>
      </c>
      <c r="B20" s="24" t="inlineStr">
        <is>
          <t>ACICLOVIR TABLET ORAL 200 mg</t>
        </is>
      </c>
      <c r="C20" s="25">
        <f>IF(COUNTIF('کدهای پیام‌داروساز'!$A$2:$A$2442,A20)&gt;0,"بله","خیر")</f>
        <v/>
      </c>
    </row>
    <row r="21" ht="15" customHeight="1" s="14">
      <c r="A21" s="24" t="n">
        <v>22</v>
      </c>
      <c r="B21" s="24" t="inlineStr">
        <is>
          <t>ACICLOVIR INJECTION, POWDER, LYOPHILIZED, FOR SOLUTION PARENTERAL 250 mg</t>
        </is>
      </c>
      <c r="C21" s="25">
        <f>IF(COUNTIF('کدهای پیام‌داروساز'!$A$2:$A$2442,A21)&gt;0,"بله","خیر")</f>
        <v/>
      </c>
    </row>
    <row r="22" ht="15" customHeight="1" s="14">
      <c r="A22" s="24" t="n">
        <v>23</v>
      </c>
      <c r="B22" s="24" t="inlineStr">
        <is>
          <t>ACICLOVIR TABLET ORAL 400 mg</t>
        </is>
      </c>
      <c r="C22" s="25">
        <f>IF(COUNTIF('کدهای پیام‌داروساز'!$A$2:$A$2442,A22)&gt;0,"بله","خیر")</f>
        <v/>
      </c>
    </row>
    <row r="23" ht="15" customHeight="1" s="14">
      <c r="A23" s="24" t="n">
        <v>24</v>
      </c>
      <c r="B23" s="24" t="inlineStr">
        <is>
          <t>ACICLOVIR CREAM TOPICAL 5 % 10 g</t>
        </is>
      </c>
      <c r="C23" s="25">
        <f>IF(COUNTIF('کدهای پیام‌داروساز'!$A$2:$A$2442,A23)&gt;0,"بله","خیر")</f>
        <v/>
      </c>
    </row>
    <row r="24" ht="15" customHeight="1" s="14">
      <c r="A24" s="24" t="n">
        <v>26</v>
      </c>
      <c r="B24" s="24" t="inlineStr">
        <is>
          <t>ALBENDAZOLE TABLET, CHEWABLE ORAL 400 mg</t>
        </is>
      </c>
      <c r="C24" s="25">
        <f>IF(COUNTIF('کدهای پیام‌داروساز'!$A$2:$A$2442,A24)&gt;0,"بله","خیر")</f>
        <v/>
      </c>
    </row>
    <row r="25" ht="15" customHeight="1" s="14">
      <c r="A25" s="24" t="n">
        <v>27</v>
      </c>
      <c r="B25" s="24" t="inlineStr">
        <is>
          <t>ALBUMIN (HUMAN) INJECTION, SOLUTION PARENTERAL 20 % 50 mL</t>
        </is>
      </c>
      <c r="C25" s="25">
        <f>IF(COUNTIF('کدهای پیام‌داروساز'!$A$2:$A$2442,A25)&gt;0,"بله","خیر")</f>
        <v/>
      </c>
    </row>
    <row r="26" ht="15" customHeight="1" s="14">
      <c r="A26" s="24" t="n">
        <v>28</v>
      </c>
      <c r="B26" s="24" t="inlineStr">
        <is>
          <t>ALBUMIN (HUMAN) INJECTION, SOLUTION PARENTERAL 5 % 100 mL</t>
        </is>
      </c>
      <c r="C26" s="25">
        <f>IF(COUNTIF('کدهای پیام‌داروساز'!$A$2:$A$2442,A26)&gt;0,"بله","خیر")</f>
        <v/>
      </c>
    </row>
    <row r="27" ht="15" customHeight="1" s="14">
      <c r="A27" s="24" t="n">
        <v>38</v>
      </c>
      <c r="B27" s="24" t="inlineStr">
        <is>
          <t>ALLOPURINOL TABLET ORAL 100 mg</t>
        </is>
      </c>
      <c r="C27" s="25">
        <f>IF(COUNTIF('کدهای پیام‌داروساز'!$A$2:$A$2442,A27)&gt;0,"بله","خیر")</f>
        <v/>
      </c>
    </row>
    <row r="28" ht="15" customHeight="1" s="14">
      <c r="A28" s="24" t="n">
        <v>40</v>
      </c>
      <c r="B28" s="24" t="inlineStr">
        <is>
          <t>ALPRAZOLAM TABLET ORAL 0.5 mg</t>
        </is>
      </c>
      <c r="C28" s="25">
        <f>IF(COUNTIF('کدهای پیام‌داروساز'!$A$2:$A$2442,A28)&gt;0,"بله","خیر")</f>
        <v/>
      </c>
    </row>
    <row r="29" ht="15" customHeight="1" s="14">
      <c r="A29" s="24" t="n">
        <v>42</v>
      </c>
      <c r="B29" s="24" t="inlineStr">
        <is>
          <t>PROSTAGLANDIN E1 (ALPROSTADIL) INJECTION PARENTERAL 0.5 mg/1mL 1 mL</t>
        </is>
      </c>
      <c r="C29" s="25">
        <f>IF(COUNTIF('کدهای پیام‌داروساز'!$A$2:$A$2442,A29)&gt;0,"بله","خیر")</f>
        <v/>
      </c>
    </row>
    <row r="30" ht="15" customHeight="1" s="14">
      <c r="A30" s="24" t="n">
        <v>45</v>
      </c>
      <c r="B30" s="24" t="inlineStr">
        <is>
          <t>ALUMINIUM HYDROXIDE TABLET, CHEWABLE ORAL 300 mg</t>
        </is>
      </c>
      <c r="C30" s="25">
        <f>IF(COUNTIF('کدهای پیام‌داروساز'!$A$2:$A$2442,A30)&gt;0,"بله","خیر")</f>
        <v/>
      </c>
    </row>
    <row r="31" ht="15" customHeight="1" s="14">
      <c r="A31" s="24" t="n">
        <v>46</v>
      </c>
      <c r="B31" s="24" t="inlineStr">
        <is>
          <t>ALUMINIUM HYDROXIDE SUSPENSION ORAL 320 mg/5mL 240 mL</t>
        </is>
      </c>
      <c r="C31" s="25">
        <f>IF(COUNTIF('کدهای پیام‌داروساز'!$A$2:$A$2442,A31)&gt;0,"بله","خیر")</f>
        <v/>
      </c>
    </row>
    <row r="32" ht="15" customHeight="1" s="14">
      <c r="A32" s="24" t="n">
        <v>47</v>
      </c>
      <c r="B32" s="24" t="inlineStr">
        <is>
          <t>ALUMINIUM HYDROXIDE / MAGNESIUM HYDROXIDE SUSPENSION ORAL 225 mg/200 mg/5 mL 240 mL</t>
        </is>
      </c>
      <c r="C32" s="25">
        <f>IF(COUNTIF('کدهای پیام‌داروساز'!$A$2:$A$2442,A32)&gt;0,"بله","خیر")</f>
        <v/>
      </c>
    </row>
    <row r="33" ht="15" customHeight="1" s="14">
      <c r="A33" s="24" t="n">
        <v>48</v>
      </c>
      <c r="B33" s="24" t="inlineStr">
        <is>
          <t>ALUMINIUM HYDROXIDE / MAGNESIUM HYDROXIDE TABLET, CHEWABLE ORAL 200 mg/200 mg</t>
        </is>
      </c>
      <c r="C33" s="25">
        <f>IF(COUNTIF('کدهای پیام‌داروساز'!$A$2:$A$2442,A33)&gt;0,"بله","خیر")</f>
        <v/>
      </c>
    </row>
    <row r="34" ht="15" customHeight="1" s="14">
      <c r="A34" s="24" t="n">
        <v>49</v>
      </c>
      <c r="B34" s="24" t="inlineStr">
        <is>
          <t>ALUMINIUM HYDROXIDE / MAGNESIUM HYDROXIDE / SIMETHICONE SUSPENSION ORAL 225 mg/200 mg/25 mg/5mL 240 mL</t>
        </is>
      </c>
      <c r="C34" s="25">
        <f>IF(COUNTIF('کدهای پیام‌داروساز'!$A$2:$A$2442,A34)&gt;0,"بله","خیر")</f>
        <v/>
      </c>
    </row>
    <row r="35" ht="15" customHeight="1" s="14">
      <c r="A35" s="24" t="n">
        <v>50</v>
      </c>
      <c r="B35" s="24" t="inlineStr">
        <is>
          <t>ALUMINIUM HYDROXIDE / MAGNESIUM HYDROXIDE / SIMETHICONE TABLET, CHEWABLE ORAL 200 mg/200 mg/25 mg</t>
        </is>
      </c>
      <c r="C35" s="25">
        <f>IF(COUNTIF('کدهای پیام‌داروساز'!$A$2:$A$2442,A35)&gt;0,"بله","خیر")</f>
        <v/>
      </c>
    </row>
    <row r="36" ht="15" customHeight="1" s="14">
      <c r="A36" s="24" t="n">
        <v>51</v>
      </c>
      <c r="B36" s="24" t="inlineStr">
        <is>
          <t>AMANTADINE HYDROCHLORIDE CAPSULE ORAL 100 mg</t>
        </is>
      </c>
      <c r="C36" s="25">
        <f>IF(COUNTIF('کدهای پیام‌داروساز'!$A$2:$A$2442,A36)&gt;0,"بله","خیر")</f>
        <v/>
      </c>
    </row>
    <row r="37" ht="15" customHeight="1" s="14">
      <c r="A37" s="24" t="n">
        <v>53</v>
      </c>
      <c r="B37" s="24" t="inlineStr">
        <is>
          <t>AMIKACIN (AS SULFATE) INJECTION PARENTERAL 50 mg/1mL 2 mL</t>
        </is>
      </c>
      <c r="C37" s="25">
        <f>IF(COUNTIF('کدهای پیام‌داروساز'!$A$2:$A$2442,A37)&gt;0,"بله","خیر")</f>
        <v/>
      </c>
    </row>
    <row r="38" ht="15" customHeight="1" s="14">
      <c r="A38" s="24" t="n">
        <v>54</v>
      </c>
      <c r="B38" s="24" t="inlineStr">
        <is>
          <t>AMIKACIN (AS SULFATE) INJECTION PARENTERAL 250 mg/1mL 2 mL</t>
        </is>
      </c>
      <c r="C38" s="25">
        <f>IF(COUNTIF('کدهای پیام‌داروساز'!$A$2:$A$2442,A38)&gt;0,"بله","خیر")</f>
        <v/>
      </c>
    </row>
    <row r="39" ht="15" customHeight="1" s="14">
      <c r="A39" s="24" t="n">
        <v>55</v>
      </c>
      <c r="B39" s="24" t="inlineStr">
        <is>
          <t>AMILORIDE / HYROCHLOROTHIAZIDE TABLET ORAL 5 mg/50 mg</t>
        </is>
      </c>
      <c r="C39" s="25">
        <f>IF(COUNTIF('کدهای پیام‌داروساز'!$A$2:$A$2442,A39)&gt;0,"بله","خیر")</f>
        <v/>
      </c>
    </row>
    <row r="40" ht="15" customHeight="1" s="14">
      <c r="A40" s="24" t="n">
        <v>56</v>
      </c>
      <c r="B40" s="24" t="inlineStr">
        <is>
          <t>AMINO ACID 10% PAEDIATRIC (1) INJECTION, SOLUTION INTRAVENOUS 8 mg/13 mg/8.51 mg/3.12 mg/3.75 mg/4.4 mg/2.01 mg/9 mg/7.5 mg/4.76 mg/9.3 mg/4.15 mg/0.7 mg/2.3 mg/1.6 mg/9.71 mg/7.67 mg/5.176 mg/2.26 mg/0.4 mg/1 mL/1mL 250 mL</t>
        </is>
      </c>
      <c r="C40" s="25">
        <f>IF(COUNTIF('کدهای پیام‌داروساز'!$A$2:$A$2442,A40)&gt;0,"بله","خیر")</f>
        <v/>
      </c>
    </row>
    <row r="41" ht="15" customHeight="1" s="14">
      <c r="A41" s="24" t="n">
        <v>57</v>
      </c>
      <c r="B41" s="24" t="inlineStr">
        <is>
          <t>AMINO ACID 5% (1) INJECTION, SOLUTION INTRAVENOUS 2.25 mg/4.45 mg/3.5 mg/1.9 mg/2.55 mg/2.05 mg/0.9 mg/2.4 mg/4.6 mg/2.6 mg/6.85 mg/3.95 mg/1.86 mg/0.65 mg/0.36 mg/2.3 mg/1.6 mg/4.45 mg/1.2 mg/0.3 mg/0.43 mg/1 mL/1mL 500 mL</t>
        </is>
      </c>
      <c r="C41" s="25">
        <f>IF(COUNTIF('کدهای پیام‌داروساز'!$A$2:$A$2442,A41)&gt;0,"بله","خیر")</f>
        <v/>
      </c>
    </row>
    <row r="42" ht="15" customHeight="1" s="14">
      <c r="A42" s="24" t="n">
        <v>61</v>
      </c>
      <c r="B42" s="24" t="inlineStr">
        <is>
          <t>AMINOPHYLLINE INJECTION PARENTERAL 25 mg/1mL 10 mL</t>
        </is>
      </c>
      <c r="C42" s="25">
        <f>IF(COUNTIF('کدهای پیام‌داروساز'!$A$2:$A$2442,A42)&gt;0,"بله","خیر")</f>
        <v/>
      </c>
    </row>
    <row r="43" ht="15" customHeight="1" s="14">
      <c r="A43" s="24" t="n">
        <v>63</v>
      </c>
      <c r="B43" s="24" t="inlineStr">
        <is>
          <t>AMIODARONE HYDROCHLORIDE TABLET ORAL 200 mg</t>
        </is>
      </c>
      <c r="C43" s="25">
        <f>IF(COUNTIF('کدهای پیام‌داروساز'!$A$2:$A$2442,A43)&gt;0,"بله","خیر")</f>
        <v/>
      </c>
    </row>
    <row r="44" ht="15" customHeight="1" s="14">
      <c r="A44" s="24" t="n">
        <v>64</v>
      </c>
      <c r="B44" s="24" t="inlineStr">
        <is>
          <t>AMIODARONE HYDROCHLORIDE INJECTION PARENTERAL 50 mg/1 mL 3 mL</t>
        </is>
      </c>
      <c r="C44" s="25">
        <f>IF(COUNTIF('کدهای پیام‌داروساز'!$A$2:$A$2442,A44)&gt;0,"بله","خیر")</f>
        <v/>
      </c>
    </row>
    <row r="45" ht="15" customHeight="1" s="14">
      <c r="A45" s="24" t="n">
        <v>65</v>
      </c>
      <c r="B45" s="24" t="inlineStr">
        <is>
          <t>AMITRIPTYLINE HYDROCHLORIDE TABLET ORAL 10 mg</t>
        </is>
      </c>
      <c r="C45" s="25">
        <f>IF(COUNTIF('کدهای پیام‌داروساز'!$A$2:$A$2442,A45)&gt;0,"بله","خیر")</f>
        <v/>
      </c>
    </row>
    <row r="46" ht="15" customHeight="1" s="14">
      <c r="A46" s="24" t="n">
        <v>66</v>
      </c>
      <c r="B46" s="24" t="inlineStr">
        <is>
          <t>AMITRIPTYLINE HYDROCHLORIDE TABLET ORAL 100 mg</t>
        </is>
      </c>
      <c r="C46" s="25">
        <f>IF(COUNTIF('کدهای پیام‌داروساز'!$A$2:$A$2442,A46)&gt;0,"بله","خیر")</f>
        <v/>
      </c>
    </row>
    <row r="47" ht="15" customHeight="1" s="14">
      <c r="A47" s="24" t="n">
        <v>68</v>
      </c>
      <c r="B47" s="24" t="inlineStr">
        <is>
          <t>AMITRIPTYLINE HYDROCHLORIDE TABLET ORAL 25 mg</t>
        </is>
      </c>
      <c r="C47" s="25">
        <f>IF(COUNTIF('کدهای پیام‌داروساز'!$A$2:$A$2442,A47)&gt;0,"بله","خیر")</f>
        <v/>
      </c>
    </row>
    <row r="48" ht="15" customHeight="1" s="14">
      <c r="A48" s="24" t="n">
        <v>69</v>
      </c>
      <c r="B48" s="24" t="inlineStr">
        <is>
          <t>AMITRIPTYLINE HYDROCHLORIDE TABLET ORAL 50 mg</t>
        </is>
      </c>
      <c r="C48" s="25">
        <f>IF(COUNTIF('کدهای پیام‌داروساز'!$A$2:$A$2442,A48)&gt;0,"بله","خیر")</f>
        <v/>
      </c>
    </row>
    <row r="49" ht="15" customHeight="1" s="14">
      <c r="A49" s="24" t="n">
        <v>70</v>
      </c>
      <c r="B49" s="24" t="inlineStr">
        <is>
          <t>AMLODIPINE (AS BESILATE) TABLET ORAL 5 mg</t>
        </is>
      </c>
      <c r="C49" s="25">
        <f>IF(COUNTIF('کدهای پیام‌داروساز'!$A$2:$A$2442,A49)&gt;0,"بله","خیر")</f>
        <v/>
      </c>
    </row>
    <row r="50" ht="15" customHeight="1" s="14">
      <c r="A50" s="24" t="n">
        <v>75</v>
      </c>
      <c r="B50" s="24" t="inlineStr">
        <is>
          <t>AMOXICILLIN POWDER, FOR SUSPENSION ORAL 125 mg/5mL 100 mL</t>
        </is>
      </c>
      <c r="C50" s="25">
        <f>IF(COUNTIF('کدهای پیام‌داروساز'!$A$2:$A$2442,A50)&gt;0,"بله","خیر")</f>
        <v/>
      </c>
    </row>
    <row r="51" ht="15" customHeight="1" s="14">
      <c r="A51" s="24" t="n">
        <v>76</v>
      </c>
      <c r="B51" s="24" t="inlineStr">
        <is>
          <t>AMOXICILLIN CAPSULE ORAL 250 mg</t>
        </is>
      </c>
      <c r="C51" s="25">
        <f>IF(COUNTIF('کدهای پیام‌داروساز'!$A$2:$A$2442,A51)&gt;0,"بله","خیر")</f>
        <v/>
      </c>
    </row>
    <row r="52" ht="15" customHeight="1" s="14">
      <c r="A52" s="24" t="n">
        <v>77</v>
      </c>
      <c r="B52" s="24" t="inlineStr">
        <is>
          <t>AMOXICILLIN CAPSULE ORAL 500 mg</t>
        </is>
      </c>
      <c r="C52" s="25">
        <f>IF(COUNTIF('کدهای پیام‌داروساز'!$A$2:$A$2442,A52)&gt;0,"بله","خیر")</f>
        <v/>
      </c>
    </row>
    <row r="53" ht="15" customHeight="1" s="14">
      <c r="A53" s="24" t="n">
        <v>78</v>
      </c>
      <c r="B53" s="24" t="inlineStr">
        <is>
          <t>AMOXICILLIN POWDER, FOR SUSPENSION ORAL 250 mg/5mL 100 mL</t>
        </is>
      </c>
      <c r="C53" s="25">
        <f>IF(COUNTIF('کدهای پیام‌داروساز'!$A$2:$A$2442,A53)&gt;0,"بله","خیر")</f>
        <v/>
      </c>
    </row>
    <row r="54" ht="15" customHeight="1" s="14">
      <c r="A54" s="24" t="n">
        <v>79</v>
      </c>
      <c r="B54" s="24" t="inlineStr">
        <is>
          <t>AMPHOTERICIN B INJECTION, POWDER, LYOPHILIZED, FOR SOLUTION PARENTERAL 50 mg</t>
        </is>
      </c>
      <c r="C54" s="25">
        <f>IF(COUNTIF('کدهای پیام‌داروساز'!$A$2:$A$2442,A54)&gt;0,"بله","خیر")</f>
        <v/>
      </c>
    </row>
    <row r="55" ht="15" customHeight="1" s="14">
      <c r="A55" s="24" t="n">
        <v>80</v>
      </c>
      <c r="B55" s="24" t="inlineStr">
        <is>
          <t>AMPICILLIN INJECTION, POWDER, FOR SOLUTION PARENTERAL 1 g</t>
        </is>
      </c>
      <c r="C55" s="25">
        <f>IF(COUNTIF('کدهای پیام‌داروساز'!$A$2:$A$2442,A55)&gt;0,"بله","خیر")</f>
        <v/>
      </c>
    </row>
    <row r="56" ht="15" customHeight="1" s="14">
      <c r="A56" s="24" t="n">
        <v>81</v>
      </c>
      <c r="B56" s="24" t="inlineStr">
        <is>
          <t>AMPICILLIN INJECTION, POWDER, FOR SOLUTION PARENTERAL 250 mg</t>
        </is>
      </c>
      <c r="C56" s="25">
        <f>IF(COUNTIF('کدهای پیام‌داروساز'!$A$2:$A$2442,A56)&gt;0,"بله","خیر")</f>
        <v/>
      </c>
    </row>
    <row r="57" ht="15" customHeight="1" s="14">
      <c r="A57" s="24" t="n">
        <v>82</v>
      </c>
      <c r="B57" s="24" t="inlineStr">
        <is>
          <t>AMPICILLIN INJECTION, POWDER, FOR SOLUTION PARENTERAL 500 mg</t>
        </is>
      </c>
      <c r="C57" s="25">
        <f>IF(COUNTIF('کدهای پیام‌داروساز'!$A$2:$A$2442,A57)&gt;0,"بله","خیر")</f>
        <v/>
      </c>
    </row>
    <row r="58" ht="15" customHeight="1" s="14">
      <c r="A58" s="24" t="n">
        <v>83</v>
      </c>
      <c r="B58" s="24" t="inlineStr">
        <is>
          <t>AMPICILLIN POWDER, FOR SUSPENSION ORAL 125 mg/5 mL 100 mL</t>
        </is>
      </c>
      <c r="C58" s="25">
        <f>IF(COUNTIF('کدهای پیام‌داروساز'!$A$2:$A$2442,A58)&gt;0,"بله","خیر")</f>
        <v/>
      </c>
    </row>
    <row r="59" ht="15" customHeight="1" s="14">
      <c r="A59" s="24" t="n">
        <v>84</v>
      </c>
      <c r="B59" s="24" t="inlineStr">
        <is>
          <t>AMPICILLIN CAPSULE ORAL 250 mg</t>
        </is>
      </c>
      <c r="C59" s="25">
        <f>IF(COUNTIF('کدهای پیام‌داروساز'!$A$2:$A$2442,A59)&gt;0,"بله","خیر")</f>
        <v/>
      </c>
    </row>
    <row r="60" ht="15" customHeight="1" s="14">
      <c r="A60" s="24" t="n">
        <v>85</v>
      </c>
      <c r="B60" s="24" t="inlineStr">
        <is>
          <t>AMPICILLIN CAPSULE ORAL 500 mg</t>
        </is>
      </c>
      <c r="C60" s="25">
        <f>IF(COUNTIF('کدهای پیام‌داروساز'!$A$2:$A$2442,A60)&gt;0,"بله","خیر")</f>
        <v/>
      </c>
    </row>
    <row r="61" ht="15" customHeight="1" s="14">
      <c r="A61" s="24" t="n">
        <v>86</v>
      </c>
      <c r="B61" s="24" t="inlineStr">
        <is>
          <t>AMPICILLIN POWDER, FOR SUSPENSION ORAL 250 mg/5 mL 100 mL</t>
        </is>
      </c>
      <c r="C61" s="25">
        <f>IF(COUNTIF('کدهای پیام‌داروساز'!$A$2:$A$2442,A61)&gt;0,"بله","خیر")</f>
        <v/>
      </c>
    </row>
    <row r="62" ht="15" customHeight="1" s="14">
      <c r="A62" s="24" t="n">
        <v>88</v>
      </c>
      <c r="B62" s="24" t="inlineStr">
        <is>
          <t>ANTHOCYANOSIDE A TABLET ORAL 100 mg/5 mg</t>
        </is>
      </c>
      <c r="C62" s="25">
        <f>IF(COUNTIF('کدهای پیام‌داروساز'!$A$2:$A$2442,A62)&gt;0,"بله","خیر")</f>
        <v/>
      </c>
    </row>
    <row r="63" ht="15" customHeight="1" s="14">
      <c r="A63" s="24" t="n">
        <v>91</v>
      </c>
      <c r="B63" s="24" t="inlineStr">
        <is>
          <t>FACTOR IX INJECTION, POWDER, LYOPHILIZED, FOR SOLUTION PARENTERAL 1000 [iU]</t>
        </is>
      </c>
      <c r="C63" s="25">
        <f>IF(COUNTIF('کدهای پیام‌داروساز'!$A$2:$A$2442,A63)&gt;0,"بله","خیر")</f>
        <v/>
      </c>
    </row>
    <row r="64" ht="15" customHeight="1" s="14">
      <c r="A64" s="24" t="n">
        <v>93</v>
      </c>
      <c r="B64" s="24" t="inlineStr">
        <is>
          <t>FACTOR IX INJECTION, POWDER, LYOPHILIZED, FOR SOLUTION PARENTERAL 500 [iU]</t>
        </is>
      </c>
      <c r="C64" s="25">
        <f>IF(COUNTIF('کدهای پیام‌داروساز'!$A$2:$A$2442,A64)&gt;0,"بله","خیر")</f>
        <v/>
      </c>
    </row>
    <row r="65" ht="15" customHeight="1" s="14">
      <c r="A65" s="24" t="n">
        <v>94</v>
      </c>
      <c r="B65" s="24" t="inlineStr">
        <is>
          <t>FACTOR VIIA INJECTION, POWDER, LYOPHILIZED, FOR SOLUTION PARENTERAL 2.4 mg</t>
        </is>
      </c>
      <c r="C65" s="25">
        <f>IF(COUNTIF('کدهای پیام‌داروساز'!$A$2:$A$2442,A65)&gt;0,"بله","خیر")</f>
        <v/>
      </c>
    </row>
    <row r="66" ht="15" customHeight="1" s="14">
      <c r="A66" s="24" t="n">
        <v>95</v>
      </c>
      <c r="B66" s="24" t="inlineStr">
        <is>
          <t>FACTOR VIIA INJECTION, POWDER, LYOPHILIZED, FOR SOLUTION PARENTERAL 4.8 mg</t>
        </is>
      </c>
      <c r="C66" s="25">
        <f>IF(COUNTIF('کدهای پیام‌داروساز'!$A$2:$A$2442,A66)&gt;0,"بله","خیر")</f>
        <v/>
      </c>
    </row>
    <row r="67" ht="15" customHeight="1" s="14">
      <c r="A67" s="24" t="n">
        <v>96</v>
      </c>
      <c r="B67" s="24" t="inlineStr">
        <is>
          <t>ANTIHEMORRHOID OINTMENT RECTAL 50 mg/2.75 mg/35 mg/180 mg/1g 15 g</t>
        </is>
      </c>
      <c r="C67" s="25">
        <f>IF(COUNTIF('کدهای پیام‌داروساز'!$A$2:$A$2442,A67)&gt;0,"بله","خیر")</f>
        <v/>
      </c>
    </row>
    <row r="68" ht="15" customHeight="1" s="14">
      <c r="A68" s="24" t="n">
        <v>97</v>
      </c>
      <c r="B68" s="24" t="inlineStr">
        <is>
          <t>ANTIHEMORRHOID SUPPOSITORY RECTAL 60 mg/5 mg/50 mg/400 mg</t>
        </is>
      </c>
      <c r="C68" s="25">
        <f>IF(COUNTIF('کدهای پیام‌داروساز'!$A$2:$A$2442,A68)&gt;0,"بله","خیر")</f>
        <v/>
      </c>
    </row>
    <row r="69" ht="15" customHeight="1" s="14">
      <c r="A69" s="24" t="n">
        <v>100</v>
      </c>
      <c r="B69" s="24" t="inlineStr">
        <is>
          <t>ANTITHYMOCYTE IMMUNOGLOBULIN INJECTION PARENTERAL 50 mg/1mL 5 mL</t>
        </is>
      </c>
      <c r="C69" s="25">
        <f>IF(COUNTIF('کدهای پیام‌داروساز'!$A$2:$A$2442,A69)&gt;0,"بله","خیر")</f>
        <v/>
      </c>
    </row>
    <row r="70" ht="15" customHeight="1" s="14">
      <c r="A70" s="24" t="n">
        <v>101</v>
      </c>
      <c r="B70" s="24" t="inlineStr">
        <is>
          <t>APOMORPHINE HYDROCHLORIDE INJECTION PARENTERAL 10 mg/1mL 3 mL</t>
        </is>
      </c>
      <c r="C70" s="25">
        <f>IF(COUNTIF('کدهای پیام‌داروساز'!$A$2:$A$2442,A70)&gt;0,"بله","خیر")</f>
        <v/>
      </c>
    </row>
    <row r="71" ht="15" customHeight="1" s="14">
      <c r="A71" s="24" t="n">
        <v>106</v>
      </c>
      <c r="B71" s="24" t="inlineStr">
        <is>
          <t>ASA (ACETYLSALICYLIC ACID) TABLET, CHEWABLE ORAL 100 mg</t>
        </is>
      </c>
      <c r="C71" s="25">
        <f>IF(COUNTIF('کدهای پیام‌داروساز'!$A$2:$A$2442,A71)&gt;0,"بله","خیر")</f>
        <v/>
      </c>
    </row>
    <row r="72" ht="15" customHeight="1" s="14">
      <c r="A72" s="24" t="n">
        <v>109</v>
      </c>
      <c r="B72" s="24" t="inlineStr">
        <is>
          <t>ASA (ACETYLSALICYLIC ACID) TABLET ORAL 325 mg</t>
        </is>
      </c>
      <c r="C72" s="25">
        <f>IF(COUNTIF('کدهای پیام‌داروساز'!$A$2:$A$2442,A72)&gt;0,"بله","خیر")</f>
        <v/>
      </c>
    </row>
    <row r="73" ht="15" customHeight="1" s="14">
      <c r="A73" s="24" t="n">
        <v>110</v>
      </c>
      <c r="B73" s="24" t="inlineStr">
        <is>
          <t>ASA / CODEINE PHOSPHATE TABLET ORAL 500 mg/10 mg</t>
        </is>
      </c>
      <c r="C73" s="25">
        <f>IF(COUNTIF('کدهای پیام‌داروساز'!$A$2:$A$2442,A73)&gt;0,"بله","خیر")</f>
        <v/>
      </c>
    </row>
    <row r="74" ht="15" customHeight="1" s="14">
      <c r="A74" s="24" t="n">
        <v>112</v>
      </c>
      <c r="B74" s="24" t="inlineStr">
        <is>
          <t>ASA (ACETYLSALICYLIC ACID) TABLET ORAL 500 mg</t>
        </is>
      </c>
      <c r="C74" s="25">
        <f>IF(COUNTIF('کدهای پیام‌داروساز'!$A$2:$A$2442,A74)&gt;0,"بله","خیر")</f>
        <v/>
      </c>
    </row>
    <row r="75" ht="15" customHeight="1" s="14">
      <c r="A75" s="24" t="n">
        <v>113</v>
      </c>
      <c r="B75" s="24" t="inlineStr">
        <is>
          <t>ASPARAGINASE INJECTION, POWDER, FOR SOLUTION PARENTERAL 10000 [iU]</t>
        </is>
      </c>
      <c r="C75" s="25">
        <f>IF(COUNTIF('کدهای پیام‌داروساز'!$A$2:$A$2442,A75)&gt;0,"بله","خیر")</f>
        <v/>
      </c>
    </row>
    <row r="76" ht="15" customHeight="1" s="14">
      <c r="A76" s="24" t="n">
        <v>114</v>
      </c>
      <c r="B76" s="24" t="inlineStr">
        <is>
          <t>ATENOLOL TABLET ORAL 100 mg</t>
        </is>
      </c>
      <c r="C76" s="25">
        <f>IF(COUNTIF('کدهای پیام‌داروساز'!$A$2:$A$2442,A76)&gt;0,"بله","خیر")</f>
        <v/>
      </c>
    </row>
    <row r="77" ht="15" customHeight="1" s="14">
      <c r="A77" s="24" t="n">
        <v>115</v>
      </c>
      <c r="B77" s="24" t="inlineStr">
        <is>
          <t>ATENOLOL TABLET ORAL 50 mg</t>
        </is>
      </c>
      <c r="C77" s="25">
        <f>IF(COUNTIF('کدهای پیام‌داروساز'!$A$2:$A$2442,A77)&gt;0,"بله","خیر")</f>
        <v/>
      </c>
    </row>
    <row r="78" ht="15" customHeight="1" s="14">
      <c r="A78" s="24" t="n">
        <v>116</v>
      </c>
      <c r="B78" s="24" t="inlineStr">
        <is>
          <t>ATRACURIUM BESYLATE INJECTION PARENTERAL 10 mg/1mL 2.5 mL</t>
        </is>
      </c>
      <c r="C78" s="25">
        <f>IF(COUNTIF('کدهای پیام‌داروساز'!$A$2:$A$2442,A78)&gt;0,"بله","خیر")</f>
        <v/>
      </c>
    </row>
    <row r="79" ht="15" customHeight="1" s="14">
      <c r="A79" s="24" t="n">
        <v>117</v>
      </c>
      <c r="B79" s="24" t="inlineStr">
        <is>
          <t>ATRACURIUM BESYLATE INJECTION PARENTERAL 10 mg/1mL 5 mL</t>
        </is>
      </c>
      <c r="C79" s="25">
        <f>IF(COUNTIF('کدهای پیام‌داروساز'!$A$2:$A$2442,A79)&gt;0,"بله","خیر")</f>
        <v/>
      </c>
    </row>
    <row r="80" ht="15" customHeight="1" s="14">
      <c r="A80" s="24" t="n">
        <v>118</v>
      </c>
      <c r="B80" s="24" t="inlineStr">
        <is>
          <t>ATROPINE SULFATE SOLUTION, DROPS OPHTHALMIC 0.5 % 10 mL</t>
        </is>
      </c>
      <c r="C80" s="25">
        <f>IF(COUNTIF('کدهای پیام‌داروساز'!$A$2:$A$2442,A80)&gt;0,"بله","خیر")</f>
        <v/>
      </c>
    </row>
    <row r="81" ht="15" customHeight="1" s="14">
      <c r="A81" s="24" t="n">
        <v>119</v>
      </c>
      <c r="B81" s="24" t="inlineStr">
        <is>
          <t>ATROPINE SULFATE INJECTION PARENTERAL 0.5 mg/1mL</t>
        </is>
      </c>
      <c r="C81" s="25">
        <f>IF(COUNTIF('کدهای پیام‌داروساز'!$A$2:$A$2442,A81)&gt;0,"بله","خیر")</f>
        <v/>
      </c>
    </row>
    <row r="82" ht="15" customHeight="1" s="14">
      <c r="A82" s="24" t="n">
        <v>121</v>
      </c>
      <c r="B82" s="24" t="inlineStr">
        <is>
          <t>ATROPINE SULFATE SOLUTION, DROPS OPHTHALMIC 1 % 10 mL</t>
        </is>
      </c>
      <c r="C82" s="25">
        <f>IF(COUNTIF('کدهای پیام‌داروساز'!$A$2:$A$2442,A82)&gt;0,"بله","خیر")</f>
        <v/>
      </c>
    </row>
    <row r="83" ht="15" customHeight="1" s="14">
      <c r="A83" s="24" t="n">
        <v>122</v>
      </c>
      <c r="B83" s="24" t="inlineStr">
        <is>
          <t>AZATHIOPRINE TABLET ORAL 50 mg</t>
        </is>
      </c>
      <c r="C83" s="25">
        <f>IF(COUNTIF('کدهای پیام‌داروساز'!$A$2:$A$2442,A83)&gt;0,"بله","خیر")</f>
        <v/>
      </c>
    </row>
    <row r="84" ht="15" customHeight="1" s="14">
      <c r="A84" s="24" t="n">
        <v>123</v>
      </c>
      <c r="B84" s="24" t="inlineStr">
        <is>
          <t>AZITHROMYCIN CAPSULE ORAL 250 mg</t>
        </is>
      </c>
      <c r="C84" s="25">
        <f>IF(COUNTIF('کدهای پیام‌داروساز'!$A$2:$A$2442,A84)&gt;0,"بله","خیر")</f>
        <v/>
      </c>
    </row>
    <row r="85" ht="15" customHeight="1" s="14">
      <c r="A85" s="24" t="n">
        <v>125</v>
      </c>
      <c r="B85" s="24" t="inlineStr">
        <is>
          <t>VITAMIN B COMPLEX INJECTION PARENTERAL 5 mg/2 mg/2 mg/3 mg/20 mg/1mL 2 mL</t>
        </is>
      </c>
      <c r="C85" s="25">
        <f>IF(COUNTIF('کدهای پیام‌داروساز'!$A$2:$A$2442,A85)&gt;0,"بله","خیر")</f>
        <v/>
      </c>
    </row>
    <row r="86" ht="15" customHeight="1" s="14">
      <c r="A86" s="24" t="n">
        <v>129</v>
      </c>
      <c r="B86" s="24" t="inlineStr">
        <is>
          <t>BACLOFEN TABLET ORAL 10 mg</t>
        </is>
      </c>
      <c r="C86" s="25">
        <f>IF(COUNTIF('کدهای پیام‌داروساز'!$A$2:$A$2442,A86)&gt;0,"بله","خیر")</f>
        <v/>
      </c>
    </row>
    <row r="87" ht="15" customHeight="1" s="14">
      <c r="A87" s="24" t="n">
        <v>130</v>
      </c>
      <c r="B87" s="24" t="inlineStr">
        <is>
          <t>BACLOFEN TABLET ORAL 25 mg</t>
        </is>
      </c>
      <c r="C87" s="25">
        <f>IF(COUNTIF('کدهای پیام‌داروساز'!$A$2:$A$2442,A87)&gt;0,"بله","خیر")</f>
        <v/>
      </c>
    </row>
    <row r="88" ht="15" customHeight="1" s="14">
      <c r="A88" s="24" t="n">
        <v>133</v>
      </c>
      <c r="B88" s="24" t="inlineStr">
        <is>
          <t>BECLOMETHASONE DIPROPIONATE INHALANT RESPIRATORY 50 ug/1{dose} 200 {Puff}</t>
        </is>
      </c>
      <c r="C88" s="25">
        <f>IF(COUNTIF('کدهای پیام‌داروساز'!$A$2:$A$2442,A88)&gt;0,"بله","خیر")</f>
        <v/>
      </c>
    </row>
    <row r="89" ht="15" customHeight="1" s="14">
      <c r="A89" s="24" t="n">
        <v>135</v>
      </c>
      <c r="B89" s="24" t="inlineStr">
        <is>
          <t>BELLADONNA PB ELIXIR ORAL 19.4 ug/6.5 ug/103.7 ug/16.2 mg/5mL 60 mL</t>
        </is>
      </c>
      <c r="C89" s="25">
        <f>IF(COUNTIF('کدهای پیام‌داروساز'!$A$2:$A$2442,A89)&gt;0,"بله","خیر")</f>
        <v/>
      </c>
    </row>
    <row r="90" ht="15" customHeight="1" s="14">
      <c r="A90" s="24" t="n">
        <v>136</v>
      </c>
      <c r="B90" s="24" t="inlineStr">
        <is>
          <t>BELLADONNA PB TABLET ORAL 19.4 ug/6.5 ug/103.7 ug/16.2 ug</t>
        </is>
      </c>
      <c r="C90" s="25">
        <f>IF(COUNTIF('کدهای پیام‌داروساز'!$A$2:$A$2442,A90)&gt;0,"بله","خیر")</f>
        <v/>
      </c>
    </row>
    <row r="91" ht="15" customHeight="1" s="14">
      <c r="A91" s="24" t="n">
        <v>137</v>
      </c>
      <c r="B91" s="24" t="inlineStr">
        <is>
          <t>BENZOYL PEROXIDE GEL TOPICAL 10 % 30 g</t>
        </is>
      </c>
      <c r="C91" s="25">
        <f>IF(COUNTIF('کدهای پیام‌داروساز'!$A$2:$A$2442,A91)&gt;0,"بله","خیر")</f>
        <v/>
      </c>
    </row>
    <row r="92" ht="15" customHeight="1" s="14">
      <c r="A92" s="24" t="n">
        <v>138</v>
      </c>
      <c r="B92" s="24" t="inlineStr">
        <is>
          <t>BENZOYL PEROXIDE LOTION TOPICAL 10 % 30 mL</t>
        </is>
      </c>
      <c r="C92" s="25">
        <f>IF(COUNTIF('کدهای پیام‌داروساز'!$A$2:$A$2442,A92)&gt;0,"بله","خیر")</f>
        <v/>
      </c>
    </row>
    <row r="93" ht="15" customHeight="1" s="14">
      <c r="A93" s="24" t="n">
        <v>139</v>
      </c>
      <c r="B93" s="24" t="inlineStr">
        <is>
          <t>BENZOYL PEROXIDE GEL TOPICAL 5 % 30 g</t>
        </is>
      </c>
      <c r="C93" s="25">
        <f>IF(COUNTIF('کدهای پیام‌داروساز'!$A$2:$A$2442,A93)&gt;0,"بله","خیر")</f>
        <v/>
      </c>
    </row>
    <row r="94" ht="15" customHeight="1" s="14">
      <c r="A94" s="24" t="n">
        <v>148</v>
      </c>
      <c r="B94" s="24" t="inlineStr">
        <is>
          <t>BETAHISTINE DIHYDROCHLORIDE TABLET ORAL 8 mg</t>
        </is>
      </c>
      <c r="C94" s="25">
        <f>IF(COUNTIF('کدهای پیام‌داروساز'!$A$2:$A$2442,A94)&gt;0,"بله","خیر")</f>
        <v/>
      </c>
    </row>
    <row r="95" ht="15" customHeight="1" s="14">
      <c r="A95" s="24" t="n">
        <v>149</v>
      </c>
      <c r="B95" s="24" t="inlineStr">
        <is>
          <t>BETAMETHASONE (AS DISODIUM PHOSPHATE) INJECTION PARENTERAL 4 mg/1mL</t>
        </is>
      </c>
      <c r="C95" s="25">
        <f>IF(COUNTIF('کدهای پیام‌داروساز'!$A$2:$A$2442,A95)&gt;0,"بله","خیر")</f>
        <v/>
      </c>
    </row>
    <row r="96" ht="15" customHeight="1" s="14">
      <c r="A96" s="24" t="n">
        <v>150</v>
      </c>
      <c r="B96" s="24" t="inlineStr">
        <is>
          <t>BETAMETHASONE TABLET ORAL 0.5 mg</t>
        </is>
      </c>
      <c r="C96" s="25">
        <f>IF(COUNTIF('کدهای پیام‌داروساز'!$A$2:$A$2442,A96)&gt;0,"بله","خیر")</f>
        <v/>
      </c>
    </row>
    <row r="97" ht="15" customHeight="1" s="14">
      <c r="A97" s="24" t="n">
        <v>151</v>
      </c>
      <c r="B97" s="24" t="inlineStr">
        <is>
          <t>BETAMETHASONE (AS DISODIUM PHOSPHATE) OINTMENT OPHTHALMIC 0.1 % 3 g</t>
        </is>
      </c>
      <c r="C97" s="25">
        <f>IF(COUNTIF('کدهای پیام‌داروساز'!$A$2:$A$2442,A97)&gt;0,"بله","خیر")</f>
        <v/>
      </c>
    </row>
    <row r="98" ht="15" customHeight="1" s="14">
      <c r="A98" s="24" t="n">
        <v>152</v>
      </c>
      <c r="B98" s="24" t="inlineStr">
        <is>
          <t>BETAMETHASONE (AS DISODIUM PHOSPHATE) SOLUTION, DROPS OPHTHALMIC 0.1 % 5 mL</t>
        </is>
      </c>
      <c r="C98" s="25">
        <f>IF(COUNTIF('کدهای پیام‌داروساز'!$A$2:$A$2442,A98)&gt;0,"بله","خیر")</f>
        <v/>
      </c>
    </row>
    <row r="99" ht="15" customHeight="1" s="14">
      <c r="A99" s="24" t="n">
        <v>153</v>
      </c>
      <c r="B99" s="24" t="inlineStr">
        <is>
          <t>BETAMETHASONE LA (BETAMETHASONE AS DISODIUM PHOSPHATE / BETAMETHASONE ACETATE) INJECTION, SUSPENSION, EXTENDED RELEASE PARENTERAL 3 mg/3 mg/1mL</t>
        </is>
      </c>
      <c r="C99" s="25">
        <f>IF(COUNTIF('کدهای پیام‌داروساز'!$A$2:$A$2442,A99)&gt;0,"بله","خیر")</f>
        <v/>
      </c>
    </row>
    <row r="100" ht="15" customHeight="1" s="14">
      <c r="A100" s="24" t="n">
        <v>159</v>
      </c>
      <c r="B100" s="24" t="inlineStr">
        <is>
          <t>BETAMETHASONE (AS VALERATE) LOTION TOPICAL 0.1 % 20 mL</t>
        </is>
      </c>
      <c r="C100" s="25">
        <f>IF(COUNTIF('کدهای پیام‌داروساز'!$A$2:$A$2442,A100)&gt;0,"بله","خیر")</f>
        <v/>
      </c>
    </row>
    <row r="101" ht="15" customHeight="1" s="14">
      <c r="A101" s="24" t="n">
        <v>160</v>
      </c>
      <c r="B101" s="24" t="inlineStr">
        <is>
          <t>BETAMETHASONE (AS VALERATE) OINTMENT TOPICAL 0.1 % 15 g</t>
        </is>
      </c>
      <c r="C101" s="25">
        <f>IF(COUNTIF('کدهای پیام‌داروساز'!$A$2:$A$2442,A101)&gt;0,"بله","خیر")</f>
        <v/>
      </c>
    </row>
    <row r="102" ht="15" customHeight="1" s="14">
      <c r="A102" s="24" t="n">
        <v>161</v>
      </c>
      <c r="B102" s="24" t="inlineStr">
        <is>
          <t>BETAMETHASONE (AS VALERATE) CREAM TOPICAL 0.1 % 15 g</t>
        </is>
      </c>
      <c r="C102" s="25">
        <f>IF(COUNTIF('کدهای پیام‌داروساز'!$A$2:$A$2442,A102)&gt;0,"بله","خیر")</f>
        <v/>
      </c>
    </row>
    <row r="103" ht="15" customHeight="1" s="14">
      <c r="A103" s="24" t="n">
        <v>162</v>
      </c>
      <c r="B103" s="24" t="inlineStr">
        <is>
          <t>BETHANECHOL CHLORIDE TABLET ORAL 10 mg</t>
        </is>
      </c>
      <c r="C103" s="25">
        <f>IF(COUNTIF('کدهای پیام‌داروساز'!$A$2:$A$2442,A103)&gt;0,"بله","خیر")</f>
        <v/>
      </c>
    </row>
    <row r="104" ht="15" customHeight="1" s="14">
      <c r="A104" s="24" t="n">
        <v>163</v>
      </c>
      <c r="B104" s="24" t="inlineStr">
        <is>
          <t>BETAXOLOL SOLUTION, DROPS OPHTHALMIC 0.5 % 10 mL</t>
        </is>
      </c>
      <c r="C104" s="25">
        <f>IF(COUNTIF('کدهای پیام‌داروساز'!$A$2:$A$2442,A104)&gt;0,"بله","خیر")</f>
        <v/>
      </c>
    </row>
    <row r="105" ht="15" customHeight="1" s="14">
      <c r="A105" s="24" t="n">
        <v>164</v>
      </c>
      <c r="B105" s="24" t="inlineStr">
        <is>
          <t>BIPERIDEN HYDROCHLORIDE TABLET ORAL 2 mg</t>
        </is>
      </c>
      <c r="C105" s="25">
        <f>IF(COUNTIF('کدهای پیام‌داروساز'!$A$2:$A$2442,A105)&gt;0,"بله","خیر")</f>
        <v/>
      </c>
    </row>
    <row r="106" ht="15" customHeight="1" s="14">
      <c r="A106" s="24" t="n">
        <v>165</v>
      </c>
      <c r="B106" s="24" t="inlineStr">
        <is>
          <t>BIPERIDEN LACTATE INJECTION PARENTERAL 5 mg/1mL</t>
        </is>
      </c>
      <c r="C106" s="25">
        <f>IF(COUNTIF('کدهای پیام‌داروساز'!$A$2:$A$2442,A106)&gt;0,"بله","خیر")</f>
        <v/>
      </c>
    </row>
    <row r="107" ht="15" customHeight="1" s="14">
      <c r="A107" s="24" t="n">
        <v>166</v>
      </c>
      <c r="B107" s="24" t="inlineStr">
        <is>
          <t>BISACODYL SUPPOSITORY RECTAL 10 mg</t>
        </is>
      </c>
      <c r="C107" s="25">
        <f>IF(COUNTIF('کدهای پیام‌داروساز'!$A$2:$A$2442,A107)&gt;0,"بله","خیر")</f>
        <v/>
      </c>
    </row>
    <row r="108" ht="15" customHeight="1" s="14">
      <c r="A108" s="24" t="n">
        <v>167</v>
      </c>
      <c r="B108" s="24" t="inlineStr">
        <is>
          <t>BISACODYL TABLET, DELAYED RELEASE ORAL 5 mg</t>
        </is>
      </c>
      <c r="C108" s="25">
        <f>IF(COUNTIF('کدهای پیام‌داروساز'!$A$2:$A$2442,A108)&gt;0,"بله","خیر")</f>
        <v/>
      </c>
    </row>
    <row r="109" ht="15" customHeight="1" s="14">
      <c r="A109" s="24" t="n">
        <v>168</v>
      </c>
      <c r="B109" s="24" t="inlineStr">
        <is>
          <t>BISACODYL SUPPOSITORY RECTAL 5 mg</t>
        </is>
      </c>
      <c r="C109" s="25">
        <f>IF(COUNTIF('کدهای پیام‌داروساز'!$A$2:$A$2442,A109)&gt;0,"بله","خیر")</f>
        <v/>
      </c>
    </row>
    <row r="110" ht="15" customHeight="1" s="14">
      <c r="A110" s="24" t="n">
        <v>169</v>
      </c>
      <c r="B110" s="24" t="inlineStr">
        <is>
          <t>BISMUTH SUBCITRATE EQU. TO BISMUTH OXIDE TABLET ORAL 120 mg</t>
        </is>
      </c>
      <c r="C110" s="25">
        <f>IF(COUNTIF('کدهای پیام‌داروساز'!$A$2:$A$2442,A110)&gt;0,"بله","خیر")</f>
        <v/>
      </c>
    </row>
    <row r="111" ht="15" customHeight="1" s="14">
      <c r="A111" s="24" t="n">
        <v>170</v>
      </c>
      <c r="B111" s="24" t="inlineStr">
        <is>
          <t>BLEOMYCIN INJECTION, POWDER, FOR SOLUTION PARENTERAL 15 [iU]</t>
        </is>
      </c>
      <c r="C111" s="25">
        <f>IF(COUNTIF('کدهای پیام‌داروساز'!$A$2:$A$2442,A111)&gt;0,"بله","خیر")</f>
        <v/>
      </c>
    </row>
    <row r="112" ht="15" customHeight="1" s="14">
      <c r="A112" s="24" t="n">
        <v>176</v>
      </c>
      <c r="B112" s="24" t="inlineStr">
        <is>
          <t>BROMHEXINE HYDROCHLORIDE INJECTION PARENTERAL 2 mg/1mL 2 mL</t>
        </is>
      </c>
      <c r="C112" s="25">
        <f>IF(COUNTIF('کدهای پیام‌داروساز'!$A$2:$A$2442,A112)&gt;0,"بله","خیر")</f>
        <v/>
      </c>
    </row>
    <row r="113" ht="15" customHeight="1" s="14">
      <c r="A113" s="24" t="n">
        <v>177</v>
      </c>
      <c r="B113" s="24" t="inlineStr">
        <is>
          <t>BROMHEXINE HYDROCHLORIDE SOLUTION ORAL 4 mg/5mL 60 mL</t>
        </is>
      </c>
      <c r="C113" s="25">
        <f>IF(COUNTIF('کدهای پیام‌داروساز'!$A$2:$A$2442,A113)&gt;0,"بله","خیر")</f>
        <v/>
      </c>
    </row>
    <row r="114" ht="15" customHeight="1" s="14">
      <c r="A114" s="24" t="n">
        <v>178</v>
      </c>
      <c r="B114" s="24" t="inlineStr">
        <is>
          <t>BROMHEXINE HYDROCHLORIDE TABLET ORAL 8 mg</t>
        </is>
      </c>
      <c r="C114" s="25">
        <f>IF(COUNTIF('کدهای پیام‌داروساز'!$A$2:$A$2442,A114)&gt;0,"بله","خیر")</f>
        <v/>
      </c>
    </row>
    <row r="115" ht="15" customHeight="1" s="14">
      <c r="A115" s="24" t="n">
        <v>179</v>
      </c>
      <c r="B115" s="24" t="inlineStr">
        <is>
          <t>BROMOCRIPTINE (AS MESYLATE) TABLET ORAL 2.5 mg</t>
        </is>
      </c>
      <c r="C115" s="25">
        <f>IF(COUNTIF('کدهای پیام‌داروساز'!$A$2:$A$2442,A115)&gt;0,"بله","خیر")</f>
        <v/>
      </c>
    </row>
    <row r="116" ht="15" customHeight="1" s="14">
      <c r="A116" s="24" t="n">
        <v>181</v>
      </c>
      <c r="B116" s="24" t="inlineStr">
        <is>
          <t>BUPIVACAINE HYDROCHLORIDE INJECTION PARENTERAL 0.25 % 20 mL</t>
        </is>
      </c>
      <c r="C116" s="25">
        <f>IF(COUNTIF('کدهای پیام‌داروساز'!$A$2:$A$2442,A116)&gt;0,"بله","خیر")</f>
        <v/>
      </c>
    </row>
    <row r="117" ht="15" customHeight="1" s="14">
      <c r="A117" s="24" t="n">
        <v>183</v>
      </c>
      <c r="B117" s="24" t="inlineStr">
        <is>
          <t>BURN OINTMENT OINTMENT TOPICAL 30 %/50 % 30 g</t>
        </is>
      </c>
      <c r="C117" s="25">
        <f>IF(COUNTIF('کدهای پیام‌داروساز'!$A$2:$A$2442,A117)&gt;0,"بله","خیر")</f>
        <v/>
      </c>
    </row>
    <row r="118" ht="15" customHeight="1" s="14">
      <c r="A118" s="24" t="n">
        <v>185</v>
      </c>
      <c r="B118" s="24" t="inlineStr">
        <is>
          <t>BUSERELIN ACETATE INJECTION PARENTERAL 1 mg/1mL 5.5 mL</t>
        </is>
      </c>
      <c r="C118" s="25">
        <f>IF(COUNTIF('کدهای پیام‌داروساز'!$A$2:$A$2442,A118)&gt;0,"بله","خیر")</f>
        <v/>
      </c>
    </row>
    <row r="119" ht="15" customHeight="1" s="14">
      <c r="A119" s="24" t="n">
        <v>186</v>
      </c>
      <c r="B119" s="24" t="inlineStr">
        <is>
          <t>BUSULFAN TABLET ORAL 2 mg</t>
        </is>
      </c>
      <c r="C119" s="25">
        <f>IF(COUNTIF('کدهای پیام‌داروساز'!$A$2:$A$2442,A119)&gt;0,"بله","خیر")</f>
        <v/>
      </c>
    </row>
    <row r="120" ht="15" customHeight="1" s="14">
      <c r="A120" s="24" t="n">
        <v>190</v>
      </c>
      <c r="B120" s="24" t="inlineStr">
        <is>
          <t>CALAMINE CREAM TOPICAL 8 % 30 g</t>
        </is>
      </c>
      <c r="C120" s="25">
        <f>IF(COUNTIF('کدهای پیام‌داروساز'!$A$2:$A$2442,A120)&gt;0,"بله","خیر")</f>
        <v/>
      </c>
    </row>
    <row r="121" ht="15" customHeight="1" s="14">
      <c r="A121" s="24" t="n">
        <v>192</v>
      </c>
      <c r="B121" s="24" t="inlineStr">
        <is>
          <t>CALCIPOTRIOL OINTMENT TOPICAL 50 ug/1g 30 g</t>
        </is>
      </c>
      <c r="C121" s="25">
        <f>IF(COUNTIF('کدهای پیام‌داروساز'!$A$2:$A$2442,A121)&gt;0,"بله","خیر")</f>
        <v/>
      </c>
    </row>
    <row r="122" ht="15" customHeight="1" s="14">
      <c r="A122" s="24" t="n">
        <v>194</v>
      </c>
      <c r="B122" s="24" t="inlineStr">
        <is>
          <t>CALCITONIN INJECTION PARENTERAL 50 [iU]/1mL</t>
        </is>
      </c>
      <c r="C122" s="25">
        <f>IF(COUNTIF('کدهای پیام‌داروساز'!$A$2:$A$2442,A122)&gt;0,"بله","خیر")</f>
        <v/>
      </c>
    </row>
    <row r="123" ht="15" customHeight="1" s="14">
      <c r="A123" s="24" t="n">
        <v>195</v>
      </c>
      <c r="B123" s="24" t="inlineStr">
        <is>
          <t>CALCITRIOL CAPSULE, LIQUID FILLED ORAL 0.25 ug</t>
        </is>
      </c>
      <c r="C123" s="25">
        <f>IF(COUNTIF('کدهای پیام‌داروساز'!$A$2:$A$2442,A123)&gt;0,"بله","خیر")</f>
        <v/>
      </c>
    </row>
    <row r="124" ht="15" customHeight="1" s="14">
      <c r="A124" s="24" t="n">
        <v>200</v>
      </c>
      <c r="B124" s="24" t="inlineStr">
        <is>
          <t>CALCIUM GLUCONATE INJECTION PARENTERAL 10 % 10 mL</t>
        </is>
      </c>
      <c r="C124" s="25">
        <f>IF(COUNTIF('کدهای پیام‌داروساز'!$A$2:$A$2442,A124)&gt;0,"بله","خیر")</f>
        <v/>
      </c>
    </row>
    <row r="125" ht="15" customHeight="1" s="14">
      <c r="A125" s="24" t="n">
        <v>201</v>
      </c>
      <c r="B125" s="24" t="inlineStr">
        <is>
          <t>CALCIUM PANTOTHENATE TABLET ORAL 100 mg</t>
        </is>
      </c>
      <c r="C125" s="25">
        <f>IF(COUNTIF('کدهای پیام‌داروساز'!$A$2:$A$2442,A125)&gt;0,"بله","خیر")</f>
        <v/>
      </c>
    </row>
    <row r="126" ht="15" customHeight="1" s="14">
      <c r="A126" s="24" t="n">
        <v>204</v>
      </c>
      <c r="B126" s="24" t="inlineStr">
        <is>
          <t>CAPREOMYCIN (AS SULFATE) INJECTION, POWDER, FOR SUSPENSION INTRAMUSCULAR 1 g</t>
        </is>
      </c>
      <c r="C126" s="25">
        <f>IF(COUNTIF('کدهای پیام‌داروساز'!$A$2:$A$2442,A126)&gt;0,"بله","خیر")</f>
        <v/>
      </c>
    </row>
    <row r="127" ht="15" customHeight="1" s="14">
      <c r="A127" s="24" t="n">
        <v>205</v>
      </c>
      <c r="B127" s="24" t="inlineStr">
        <is>
          <t>CAPTOPRIL TABLET ORAL 25 mg</t>
        </is>
      </c>
      <c r="C127" s="25">
        <f>IF(COUNTIF('کدهای پیام‌داروساز'!$A$2:$A$2442,A127)&gt;0,"بله","خیر")</f>
        <v/>
      </c>
    </row>
    <row r="128" ht="15" customHeight="1" s="14">
      <c r="A128" s="24" t="n">
        <v>206</v>
      </c>
      <c r="B128" s="24" t="inlineStr">
        <is>
          <t>CAPTOPRIL TABLET ORAL 50 mg</t>
        </is>
      </c>
      <c r="C128" s="25">
        <f>IF(COUNTIF('کدهای پیام‌داروساز'!$A$2:$A$2442,A128)&gt;0,"بله","خیر")</f>
        <v/>
      </c>
    </row>
    <row r="129" ht="15" customHeight="1" s="14">
      <c r="A129" s="24" t="n">
        <v>208</v>
      </c>
      <c r="B129" s="24" t="inlineStr">
        <is>
          <t>CARBAMAZEPINE TABLET ORAL 200 mg</t>
        </is>
      </c>
      <c r="C129" s="25">
        <f>IF(COUNTIF('کدهای پیام‌داروساز'!$A$2:$A$2442,A129)&gt;0,"بله","خیر")</f>
        <v/>
      </c>
    </row>
    <row r="130" ht="15" customHeight="1" s="14">
      <c r="A130" s="24" t="n">
        <v>214</v>
      </c>
      <c r="B130" s="24" t="inlineStr">
        <is>
          <t>CARBOPLATIN INJECTION, SOLUTION, CONCENTRATE INTRAVENOUS 10 mg/1mL 15 mL</t>
        </is>
      </c>
      <c r="C130" s="25">
        <f>IF(COUNTIF('کدهای پیام‌داروساز'!$A$2:$A$2442,A130)&gt;0,"بله","خیر")</f>
        <v/>
      </c>
    </row>
    <row r="131" ht="15" customHeight="1" s="14">
      <c r="A131" s="24" t="n">
        <v>215</v>
      </c>
      <c r="B131" s="24" t="inlineStr">
        <is>
          <t>CARBOPLATIN INJECTION, SOLUTION, CONCENTRATE INTRAVENOUS 10 mg/1mL 5 mL</t>
        </is>
      </c>
      <c r="C131" s="25">
        <f>IF(COUNTIF('کدهای پیام‌داروساز'!$A$2:$A$2442,A131)&gt;0,"بله","خیر")</f>
        <v/>
      </c>
    </row>
    <row r="132" ht="15" customHeight="1" s="14">
      <c r="A132" s="24" t="n">
        <v>219</v>
      </c>
      <c r="B132" s="24" t="inlineStr">
        <is>
          <t>CARMUSTINE INJECTION, POWDER, FOR SOLUTION PARENTERAL 100 mg</t>
        </is>
      </c>
      <c r="C132" s="25">
        <f>IF(COUNTIF('کدهای پیام‌داروساز'!$A$2:$A$2442,A132)&gt;0,"بله","خیر")</f>
        <v/>
      </c>
    </row>
    <row r="133" ht="15" customHeight="1" s="14">
      <c r="A133" s="24" t="n">
        <v>220</v>
      </c>
      <c r="B133" s="24" t="inlineStr">
        <is>
          <t>L-CARNITINE TABLET ORAL 250 mg</t>
        </is>
      </c>
      <c r="C133" s="25">
        <f>IF(COUNTIF('کدهای پیام‌داروساز'!$A$2:$A$2442,A133)&gt;0,"بله","خیر")</f>
        <v/>
      </c>
    </row>
    <row r="134" ht="15" customHeight="1" s="14">
      <c r="A134" s="24" t="n">
        <v>222</v>
      </c>
      <c r="B134" s="24" t="inlineStr">
        <is>
          <t>CEFAZOLIN INJECTION, POWDER, FOR SOLUTION PARENTERAL 1 g</t>
        </is>
      </c>
      <c r="C134" s="25">
        <f>IF(COUNTIF('کدهای پیام‌داروساز'!$A$2:$A$2442,A134)&gt;0,"بله","خیر")</f>
        <v/>
      </c>
    </row>
    <row r="135" ht="15" customHeight="1" s="14">
      <c r="A135" s="24" t="n">
        <v>223</v>
      </c>
      <c r="B135" s="24" t="inlineStr">
        <is>
          <t>CEFAZOLIN INJECTION, POWDER, FOR SOLUTION PARENTERAL 250 mg</t>
        </is>
      </c>
      <c r="C135" s="25">
        <f>IF(COUNTIF('کدهای پیام‌داروساز'!$A$2:$A$2442,A135)&gt;0,"بله","خیر")</f>
        <v/>
      </c>
    </row>
    <row r="136" ht="15" customHeight="1" s="14">
      <c r="A136" s="24" t="n">
        <v>224</v>
      </c>
      <c r="B136" s="24" t="inlineStr">
        <is>
          <t>CEFAZOLIN INJECTION, POWDER, FOR SOLUTION PARENTERAL 500 mg</t>
        </is>
      </c>
      <c r="C136" s="25">
        <f>IF(COUNTIF('کدهای پیام‌داروساز'!$A$2:$A$2442,A136)&gt;0,"بله","خیر")</f>
        <v/>
      </c>
    </row>
    <row r="137" ht="15" customHeight="1" s="14">
      <c r="A137" s="24" t="n">
        <v>226</v>
      </c>
      <c r="B137" s="24" t="inlineStr">
        <is>
          <t>CEFIXIME TABLET ORAL 200 mg</t>
        </is>
      </c>
      <c r="C137" s="25">
        <f>IF(COUNTIF('کدهای پیام‌داروساز'!$A$2:$A$2442,A137)&gt;0,"بله","خیر")</f>
        <v/>
      </c>
    </row>
    <row r="138" ht="15" customHeight="1" s="14">
      <c r="A138" s="24" t="n">
        <v>227</v>
      </c>
      <c r="B138" s="24" t="inlineStr">
        <is>
          <t>CEFIXIME CAPSULE ORAL 400 mg</t>
        </is>
      </c>
      <c r="C138" s="25">
        <f>IF(COUNTIF('کدهای پیام‌داروساز'!$A$2:$A$2442,A138)&gt;0,"بله","خیر")</f>
        <v/>
      </c>
    </row>
    <row r="139" ht="15" customHeight="1" s="14">
      <c r="A139" s="24" t="n">
        <v>228</v>
      </c>
      <c r="B139" s="24" t="inlineStr">
        <is>
          <t>CEFIXIME POWDER, FOR SUSPENSION ORAL 50 mg/5 mL 30 mL</t>
        </is>
      </c>
      <c r="C139" s="25">
        <f>IF(COUNTIF('کدهای پیام‌داروساز'!$A$2:$A$2442,A139)&gt;0,"بله","خیر")</f>
        <v/>
      </c>
    </row>
    <row r="140" ht="15" customHeight="1" s="14">
      <c r="A140" s="24" t="n">
        <v>229</v>
      </c>
      <c r="B140" s="24" t="inlineStr">
        <is>
          <t>CEFOTAXIME (AS SODIUM) INJECTION, POWDER, FOR SOLUTION PARENTERAL 500 mg</t>
        </is>
      </c>
      <c r="C140" s="25">
        <f>IF(COUNTIF('کدهای پیام‌داروساز'!$A$2:$A$2442,A140)&gt;0,"بله","خیر")</f>
        <v/>
      </c>
    </row>
    <row r="141" ht="15" customHeight="1" s="14">
      <c r="A141" s="24" t="n">
        <v>230</v>
      </c>
      <c r="B141" s="24" t="inlineStr">
        <is>
          <t>CEFTAZIDIME INJECTION, POWDER, FOR SOLUTION PARENTERAL 1 g</t>
        </is>
      </c>
      <c r="C141" s="25">
        <f>IF(COUNTIF('کدهای پیام‌داروساز'!$A$2:$A$2442,A141)&gt;0,"بله","خیر")</f>
        <v/>
      </c>
    </row>
    <row r="142" ht="15" customHeight="1" s="14">
      <c r="A142" s="24" t="n">
        <v>231</v>
      </c>
      <c r="B142" s="24" t="inlineStr">
        <is>
          <t>CEFTAZIDIME INJECTION, POWDER, FOR SOLUTION PARENTERAL 2 g</t>
        </is>
      </c>
      <c r="C142" s="25">
        <f>IF(COUNTIF('کدهای پیام‌داروساز'!$A$2:$A$2442,A142)&gt;0,"بله","خیر")</f>
        <v/>
      </c>
    </row>
    <row r="143" ht="15" customHeight="1" s="14">
      <c r="A143" s="24" t="n">
        <v>232</v>
      </c>
      <c r="B143" s="24" t="inlineStr">
        <is>
          <t>CEFTAZIDIME INJECTION, POWDER, FOR SOLUTION PARENTERAL 500 mg</t>
        </is>
      </c>
      <c r="C143" s="25">
        <f>IF(COUNTIF('کدهای پیام‌داروساز'!$A$2:$A$2442,A143)&gt;0,"بله","خیر")</f>
        <v/>
      </c>
    </row>
    <row r="144" ht="15" customHeight="1" s="14">
      <c r="A144" s="24" t="n">
        <v>233</v>
      </c>
      <c r="B144" s="24" t="inlineStr">
        <is>
          <t>CEFTIZOXIME INJECTION, POWDER, FOR SOLUTION PARENTERAL 1 g</t>
        </is>
      </c>
      <c r="C144" s="25">
        <f>IF(COUNTIF('کدهای پیام‌داروساز'!$A$2:$A$2442,A144)&gt;0,"بله","خیر")</f>
        <v/>
      </c>
    </row>
    <row r="145" ht="15" customHeight="1" s="14">
      <c r="A145" s="24" t="n">
        <v>234</v>
      </c>
      <c r="B145" s="24" t="inlineStr">
        <is>
          <t>CEFTIZOXIME INJECTION, POWDER, FOR SOLUTION PARENTERAL 500 mg</t>
        </is>
      </c>
      <c r="C145" s="25">
        <f>IF(COUNTIF('کدهای پیام‌داروساز'!$A$2:$A$2442,A145)&gt;0,"بله","خیر")</f>
        <v/>
      </c>
    </row>
    <row r="146" ht="15" customHeight="1" s="14">
      <c r="A146" s="24" t="n">
        <v>237</v>
      </c>
      <c r="B146" s="24" t="inlineStr">
        <is>
          <t>CEFTRIAXONE (AS SODIUM) INJECTION, POWDER, FOR SOLUTION PARENTERAL 1 g</t>
        </is>
      </c>
      <c r="C146" s="25">
        <f>IF(COUNTIF('کدهای پیام‌داروساز'!$A$2:$A$2442,A146)&gt;0,"بله","خیر")</f>
        <v/>
      </c>
    </row>
    <row r="147" ht="15" customHeight="1" s="14">
      <c r="A147" s="24" t="n">
        <v>238</v>
      </c>
      <c r="B147" s="24" t="inlineStr">
        <is>
          <t>CEFTRIAXONE (AS SODIUM) INJECTION, POWDER, FOR SOLUTION PARENTERAL 250 mg</t>
        </is>
      </c>
      <c r="C147" s="25">
        <f>IF(COUNTIF('کدهای پیام‌داروساز'!$A$2:$A$2442,A147)&gt;0,"بله","خیر")</f>
        <v/>
      </c>
    </row>
    <row r="148" ht="15" customHeight="1" s="14">
      <c r="A148" s="24" t="n">
        <v>239</v>
      </c>
      <c r="B148" s="24" t="inlineStr">
        <is>
          <t>CEFTRIAXONE (AS SODIUM) INJECTION, POWDER, FOR SOLUTION PARENTERAL 500 mg</t>
        </is>
      </c>
      <c r="C148" s="25">
        <f>IF(COUNTIF('کدهای پیام‌داروساز'!$A$2:$A$2442,A148)&gt;0,"بله","خیر")</f>
        <v/>
      </c>
    </row>
    <row r="149" ht="15" customHeight="1" s="14">
      <c r="A149" s="24" t="n">
        <v>242</v>
      </c>
      <c r="B149" s="24" t="inlineStr">
        <is>
          <t>CEFALEXIN POWDER, FOR SUSPENSION ORAL 125 mg/5mL 100 mL</t>
        </is>
      </c>
      <c r="C149" s="25">
        <f>IF(COUNTIF('کدهای پیام‌داروساز'!$A$2:$A$2442,A149)&gt;0,"بله","خیر")</f>
        <v/>
      </c>
    </row>
    <row r="150" ht="15" customHeight="1" s="14">
      <c r="A150" s="24" t="n">
        <v>243</v>
      </c>
      <c r="B150" s="24" t="inlineStr">
        <is>
          <t>CEFALEXIN CAPSULE ORAL 250 mg</t>
        </is>
      </c>
      <c r="C150" s="25">
        <f>IF(COUNTIF('کدهای پیام‌داروساز'!$A$2:$A$2442,A150)&gt;0,"بله","خیر")</f>
        <v/>
      </c>
    </row>
    <row r="151" ht="15" customHeight="1" s="14">
      <c r="A151" s="24" t="n">
        <v>245</v>
      </c>
      <c r="B151" s="24" t="inlineStr">
        <is>
          <t>CEFALEXIN CAPSULE ORAL 500 mg</t>
        </is>
      </c>
      <c r="C151" s="25">
        <f>IF(COUNTIF('کدهای پیام‌داروساز'!$A$2:$A$2442,A151)&gt;0,"بله","خیر")</f>
        <v/>
      </c>
    </row>
    <row r="152" ht="15" customHeight="1" s="14">
      <c r="A152" s="24" t="n">
        <v>246</v>
      </c>
      <c r="B152" s="24" t="inlineStr">
        <is>
          <t>CEFALEXIN POWDER, FOR SUSPENSION ORAL 250 mg/5 mL 100 mL</t>
        </is>
      </c>
      <c r="C152" s="25">
        <f>IF(COUNTIF('کدهای پیام‌داروساز'!$A$2:$A$2442,A152)&gt;0,"بله","خیر")</f>
        <v/>
      </c>
    </row>
    <row r="153" ht="15" customHeight="1" s="14">
      <c r="A153" s="24" t="n">
        <v>260</v>
      </c>
      <c r="B153" s="24" t="inlineStr">
        <is>
          <t>CHILDREN COLD TABLET, CHEWABLE ORAL 80 mg/0.5 mg/7.5 mg</t>
        </is>
      </c>
      <c r="C153" s="25">
        <f>IF(COUNTIF('کدهای پیام‌داروساز'!$A$2:$A$2442,A153)&gt;0,"بله","خیر")</f>
        <v/>
      </c>
    </row>
    <row r="154" ht="15" customHeight="1" s="14">
      <c r="A154" s="24" t="n">
        <v>262</v>
      </c>
      <c r="B154" s="24" t="inlineStr">
        <is>
          <t>CHLORAMBUCIL TABLET ORAL 2 mg</t>
        </is>
      </c>
      <c r="C154" s="25">
        <f>IF(COUNTIF('کدهای پیام‌داروساز'!$A$2:$A$2442,A154)&gt;0,"بله","خیر")</f>
        <v/>
      </c>
    </row>
    <row r="155" ht="15" customHeight="1" s="14">
      <c r="A155" s="24" t="n">
        <v>264</v>
      </c>
      <c r="B155" s="24" t="inlineStr">
        <is>
          <t>CHLORAMPHENICOL SOLUTION, DROPS OPHTHALMIC 0.5 % 10 mL</t>
        </is>
      </c>
      <c r="C155" s="25">
        <f>IF(COUNTIF('کدهای پیام‌داروساز'!$A$2:$A$2442,A155)&gt;0,"بله","خیر")</f>
        <v/>
      </c>
    </row>
    <row r="156" ht="15" customHeight="1" s="14">
      <c r="A156" s="24" t="n">
        <v>266</v>
      </c>
      <c r="B156" s="24" t="inlineStr">
        <is>
          <t>CHLORAMPHENICOL INJECTION, POWDER, FOR SOLUTION PARENTERAL 1 g</t>
        </is>
      </c>
      <c r="C156" s="25">
        <f>IF(COUNTIF('کدهای پیام‌داروساز'!$A$2:$A$2442,A156)&gt;0,"بله","خیر")</f>
        <v/>
      </c>
    </row>
    <row r="157" ht="15" customHeight="1" s="14">
      <c r="A157" s="24" t="n">
        <v>267</v>
      </c>
      <c r="B157" s="24" t="inlineStr">
        <is>
          <t>CHLORDIAZEPOXIDE TABLET ORAL 10 mg</t>
        </is>
      </c>
      <c r="C157" s="25">
        <f>IF(COUNTIF('کدهای پیام‌داروساز'!$A$2:$A$2442,A157)&gt;0,"بله","خیر")</f>
        <v/>
      </c>
    </row>
    <row r="158" ht="15" customHeight="1" s="14">
      <c r="A158" s="24" t="n">
        <v>268</v>
      </c>
      <c r="B158" s="24" t="inlineStr">
        <is>
          <t>CHLORDIAZEPOXIDE TABLET ORAL 5 mg</t>
        </is>
      </c>
      <c r="C158" s="25">
        <f>IF(COUNTIF('کدهای پیام‌داروساز'!$A$2:$A$2442,A158)&gt;0,"بله","خیر")</f>
        <v/>
      </c>
    </row>
    <row r="159" ht="15" customHeight="1" s="14">
      <c r="A159" s="24" t="n">
        <v>271</v>
      </c>
      <c r="B159" s="24" t="inlineStr">
        <is>
          <t>CHLOROQUINE (AS PHOSPHATE) TABLET ORAL 150 mg</t>
        </is>
      </c>
      <c r="C159" s="25">
        <f>IF(COUNTIF('کدهای پیام‌داروساز'!$A$2:$A$2442,A159)&gt;0,"بله","خیر")</f>
        <v/>
      </c>
    </row>
    <row r="160" ht="15" customHeight="1" s="14">
      <c r="A160" s="24" t="n">
        <v>275</v>
      </c>
      <c r="B160" s="24" t="inlineStr">
        <is>
          <t>CHLORPHENIRAMINE MALEATE INJECTION PARENTERAL 10 mg/1mL</t>
        </is>
      </c>
      <c r="C160" s="25">
        <f>IF(COUNTIF('کدهای پیام‌داروساز'!$A$2:$A$2442,A160)&gt;0,"بله","خیر")</f>
        <v/>
      </c>
    </row>
    <row r="161" ht="15" customHeight="1" s="14">
      <c r="A161" s="24" t="n">
        <v>276</v>
      </c>
      <c r="B161" s="24" t="inlineStr">
        <is>
          <t>CHLORPHENIRAMINE MALEATE TABLET ORAL 4 mg</t>
        </is>
      </c>
      <c r="C161" s="25">
        <f>IF(COUNTIF('کدهای پیام‌داروساز'!$A$2:$A$2442,A161)&gt;0,"بله","خیر")</f>
        <v/>
      </c>
    </row>
    <row r="162" ht="15" customHeight="1" s="14">
      <c r="A162" s="24" t="n">
        <v>277</v>
      </c>
      <c r="B162" s="24" t="inlineStr">
        <is>
          <t>CHLORPROMAZINE HYDROCHLORIDE INJECTION INTRAMUSCULAR 25 mg/1mL 2 mL</t>
        </is>
      </c>
      <c r="C162" s="25">
        <f>IF(COUNTIF('کدهای پیام‌داروساز'!$A$2:$A$2442,A162)&gt;0,"بله","خیر")</f>
        <v/>
      </c>
    </row>
    <row r="163" ht="15" customHeight="1" s="14">
      <c r="A163" s="24" t="n">
        <v>278</v>
      </c>
      <c r="B163" s="24" t="inlineStr">
        <is>
          <t>CHLORPROMAZINE HYDROCHLORIDE TABLET ORAL 100 mg</t>
        </is>
      </c>
      <c r="C163" s="25">
        <f>IF(COUNTIF('کدهای پیام‌داروساز'!$A$2:$A$2442,A163)&gt;0,"بله","خیر")</f>
        <v/>
      </c>
    </row>
    <row r="164" ht="15" customHeight="1" s="14">
      <c r="A164" s="24" t="n">
        <v>279</v>
      </c>
      <c r="B164" s="24" t="inlineStr">
        <is>
          <t>CHLORPROMAZINE HYDROCHLORIDE TABLET ORAL 25 mg</t>
        </is>
      </c>
      <c r="C164" s="25">
        <f>IF(COUNTIF('کدهای پیام‌داروساز'!$A$2:$A$2442,A164)&gt;0,"بله","خیر")</f>
        <v/>
      </c>
    </row>
    <row r="165" ht="15" customHeight="1" s="14">
      <c r="A165" s="24" t="n">
        <v>280</v>
      </c>
      <c r="B165" s="24" t="inlineStr">
        <is>
          <t>CHLORTHALIDONE TABLET ORAL 100 mg</t>
        </is>
      </c>
      <c r="C165" s="25">
        <f>IF(COUNTIF('کدهای پیام‌داروساز'!$A$2:$A$2442,A165)&gt;0,"بله","خیر")</f>
        <v/>
      </c>
    </row>
    <row r="166" ht="15" customHeight="1" s="14">
      <c r="A166" s="24" t="n">
        <v>283</v>
      </c>
      <c r="B166" s="24" t="inlineStr">
        <is>
          <t>CHOLESTYRAMINE POWDER, FOR SUSPENSION ORAL 4 g</t>
        </is>
      </c>
      <c r="C166" s="25">
        <f>IF(COUNTIF('کدهای پیام‌داروساز'!$A$2:$A$2442,A166)&gt;0,"بله","خیر")</f>
        <v/>
      </c>
    </row>
    <row r="167" ht="15" customHeight="1" s="14">
      <c r="A167" s="24" t="n">
        <v>284</v>
      </c>
      <c r="B167" s="24" t="inlineStr">
        <is>
          <t>CHORIONIC GONADOTROPHIN (HUMAN) INJECTION, POWDER, FOR SOLUTION PARENTERAL 1500 [iU]</t>
        </is>
      </c>
      <c r="C167" s="25">
        <f>IF(COUNTIF('کدهای پیام‌داروساز'!$A$2:$A$2442,A167)&gt;0,"بله","خیر")</f>
        <v/>
      </c>
    </row>
    <row r="168" ht="15" customHeight="1" s="14">
      <c r="A168" s="24" t="n">
        <v>285</v>
      </c>
      <c r="B168" s="24" t="inlineStr">
        <is>
          <t>CHORIONIC GONADOTROPHIN (HUMAN) INJECTION, POWDER, FOR SOLUTION PARENTERAL 500 [iU]</t>
        </is>
      </c>
      <c r="C168" s="25">
        <f>IF(COUNTIF('کدهای پیام‌داروساز'!$A$2:$A$2442,A168)&gt;0,"بله","خیر")</f>
        <v/>
      </c>
    </row>
    <row r="169" ht="15" customHeight="1" s="14">
      <c r="A169" s="24" t="n">
        <v>286</v>
      </c>
      <c r="B169" s="24" t="inlineStr">
        <is>
          <t>CHORIONIC GONADOTROPHIN (HUMAN) INJECTION, POWDER, FOR SOLUTION PARENTERAL 5000 [iU]</t>
        </is>
      </c>
      <c r="C169" s="25">
        <f>IF(COUNTIF('کدهای پیام‌داروساز'!$A$2:$A$2442,A169)&gt;0,"بله","خیر")</f>
        <v/>
      </c>
    </row>
    <row r="170" ht="15" customHeight="1" s="14">
      <c r="A170" s="24" t="n">
        <v>287</v>
      </c>
      <c r="B170" s="24" t="inlineStr">
        <is>
          <t>CICLOSPORIN CAPSULE, LIQUID FILLED ORAL 100 mg</t>
        </is>
      </c>
      <c r="C170" s="25">
        <f>IF(COUNTIF('کدهای پیام‌داروساز'!$A$2:$A$2442,A170)&gt;0,"بله","خیر")</f>
        <v/>
      </c>
    </row>
    <row r="171" ht="15" customHeight="1" s="14">
      <c r="A171" s="24" t="n">
        <v>288</v>
      </c>
      <c r="B171" s="24" t="inlineStr">
        <is>
          <t>CICLOSPORIN CAPSULE, LIQUID FILLED ORAL 25 mg</t>
        </is>
      </c>
      <c r="C171" s="25">
        <f>IF(COUNTIF('کدهای پیام‌داروساز'!$A$2:$A$2442,A171)&gt;0,"بله","خیر")</f>
        <v/>
      </c>
    </row>
    <row r="172" ht="15" customHeight="1" s="14">
      <c r="A172" s="24" t="n">
        <v>289</v>
      </c>
      <c r="B172" s="24" t="inlineStr">
        <is>
          <t>CICLOSPORIN SOLUTION ORAL 100 mg/1mL 50 mL</t>
        </is>
      </c>
      <c r="C172" s="25">
        <f>IF(COUNTIF('کدهای پیام‌داروساز'!$A$2:$A$2442,A172)&gt;0,"بله","خیر")</f>
        <v/>
      </c>
    </row>
    <row r="173" ht="15" customHeight="1" s="14">
      <c r="A173" s="24" t="n">
        <v>290</v>
      </c>
      <c r="B173" s="24" t="inlineStr">
        <is>
          <t>CIMETIDINE TABLET ORAL 200 mg</t>
        </is>
      </c>
      <c r="C173" s="25">
        <f>IF(COUNTIF('کدهای پیام‌داروساز'!$A$2:$A$2442,A173)&gt;0,"بله","خیر")</f>
        <v/>
      </c>
    </row>
    <row r="174" ht="15" customHeight="1" s="14">
      <c r="A174" s="24" t="n">
        <v>291</v>
      </c>
      <c r="B174" s="24" t="inlineStr">
        <is>
          <t>CIMETIDINE INJECTION PARENTERAL 100 mg/1mL 2 mL</t>
        </is>
      </c>
      <c r="C174" s="25">
        <f>IF(COUNTIF('کدهای پیام‌داروساز'!$A$2:$A$2442,A174)&gt;0,"بله","خیر")</f>
        <v/>
      </c>
    </row>
    <row r="175" ht="15" customHeight="1" s="14">
      <c r="A175" s="24" t="n">
        <v>292</v>
      </c>
      <c r="B175" s="24" t="inlineStr">
        <is>
          <t>CINNARIZINE TABLET ORAL 25 mg</t>
        </is>
      </c>
      <c r="C175" s="25">
        <f>IF(COUNTIF('کدهای پیام‌داروساز'!$A$2:$A$2442,A175)&gt;0,"بله","خیر")</f>
        <v/>
      </c>
    </row>
    <row r="176" ht="15" customHeight="1" s="14">
      <c r="A176" s="24" t="n">
        <v>293</v>
      </c>
      <c r="B176" s="24" t="inlineStr">
        <is>
          <t>CINNARIZINE TABLET ORAL 75 mg</t>
        </is>
      </c>
      <c r="C176" s="25">
        <f>IF(COUNTIF('کدهای پیام‌داروساز'!$A$2:$A$2442,A176)&gt;0,"بله","خیر")</f>
        <v/>
      </c>
    </row>
    <row r="177" ht="15" customHeight="1" s="14">
      <c r="A177" s="24" t="n">
        <v>295</v>
      </c>
      <c r="B177" s="24" t="inlineStr">
        <is>
          <t>CIPROFLOXACIN (AS HYDROCHLORIDE) TABLET ORAL 250 mg</t>
        </is>
      </c>
      <c r="C177" s="25">
        <f>IF(COUNTIF('کدهای پیام‌داروساز'!$A$2:$A$2442,A177)&gt;0,"بله","خیر")</f>
        <v/>
      </c>
    </row>
    <row r="178" ht="15" customHeight="1" s="14">
      <c r="A178" s="24" t="n">
        <v>296</v>
      </c>
      <c r="B178" s="24" t="inlineStr">
        <is>
          <t>CIPROFLOXACIN (AS HYDROCHLORIDE) TABLET ORAL 500 mg</t>
        </is>
      </c>
      <c r="C178" s="25">
        <f>IF(COUNTIF('کدهای پیام‌داروساز'!$A$2:$A$2442,A178)&gt;0,"بله","خیر")</f>
        <v/>
      </c>
    </row>
    <row r="179" ht="15" customHeight="1" s="14">
      <c r="A179" s="24" t="n">
        <v>297</v>
      </c>
      <c r="B179" s="24" t="inlineStr">
        <is>
          <t>CIPROFLOXACIN (AS HYDROCHLORIDE) SOLUTION, DROPS OPHTHALMIC 0.3 % 10 mL</t>
        </is>
      </c>
      <c r="C179" s="25">
        <f>IF(COUNTIF('کدهای پیام‌داروساز'!$A$2:$A$2442,A179)&gt;0,"بله","خیر")</f>
        <v/>
      </c>
    </row>
    <row r="180" ht="15" customHeight="1" s="14">
      <c r="A180" s="24" t="n">
        <v>301</v>
      </c>
      <c r="B180" s="24" t="inlineStr">
        <is>
          <t>CISPLATIN INJECTION, SOLUTION, CONCENTRATE INTRAVENOUS 0.5 mg/1mL 20 mL</t>
        </is>
      </c>
      <c r="C180" s="25">
        <f>IF(COUNTIF('کدهای پیام‌داروساز'!$A$2:$A$2442,A180)&gt;0,"بله","خیر")</f>
        <v/>
      </c>
    </row>
    <row r="181" ht="15" customHeight="1" s="14">
      <c r="A181" s="24" t="n">
        <v>302</v>
      </c>
      <c r="B181" s="24" t="inlineStr">
        <is>
          <t>CISPLATIN INJECTION, SOLUTION, CONCENTRATE INTRAVENOUS 0.5 mg/1mL 100 mL</t>
        </is>
      </c>
      <c r="C181" s="25">
        <f>IF(COUNTIF('کدهای پیام‌داروساز'!$A$2:$A$2442,A181)&gt;0,"بله","خیر")</f>
        <v/>
      </c>
    </row>
    <row r="182" ht="15" customHeight="1" s="14">
      <c r="A182" s="24" t="n">
        <v>303</v>
      </c>
      <c r="B182" s="24" t="inlineStr">
        <is>
          <t>CITICOLINE INJECTION PARENTERAL 125 mg/1mL 2 mL</t>
        </is>
      </c>
      <c r="C182" s="25">
        <f>IF(COUNTIF('کدهای پیام‌داروساز'!$A$2:$A$2442,A182)&gt;0,"بله","خیر")</f>
        <v/>
      </c>
    </row>
    <row r="183" ht="15" customHeight="1" s="14">
      <c r="A183" s="24" t="n">
        <v>305</v>
      </c>
      <c r="B183" s="24" t="inlineStr">
        <is>
          <t>CLADRIBINE INJECTION, SOLUTION INTRAVENOUS 1 mg/1mL 10 mL</t>
        </is>
      </c>
      <c r="C183" s="25">
        <f>IF(COUNTIF('کدهای پیام‌داروساز'!$A$2:$A$2442,A183)&gt;0,"بله","خیر")</f>
        <v/>
      </c>
    </row>
    <row r="184" ht="15" customHeight="1" s="14">
      <c r="A184" s="24" t="n">
        <v>306</v>
      </c>
      <c r="B184" s="24" t="inlineStr">
        <is>
          <t>CLEMASTINE TABLET ORAL 1 mg</t>
        </is>
      </c>
      <c r="C184" s="25">
        <f>IF(COUNTIF('کدهای پیام‌داروساز'!$A$2:$A$2442,A184)&gt;0,"بله","خیر")</f>
        <v/>
      </c>
    </row>
    <row r="185" ht="15" customHeight="1" s="14">
      <c r="A185" s="24" t="n">
        <v>307</v>
      </c>
      <c r="B185" s="24" t="inlineStr">
        <is>
          <t>CLEMASTINE INJECTION PARENTERAL 1 mg/1mL 2 mL</t>
        </is>
      </c>
      <c r="C185" s="25">
        <f>IF(COUNTIF('کدهای پیام‌داروساز'!$A$2:$A$2442,A185)&gt;0,"بله","خیر")</f>
        <v/>
      </c>
    </row>
    <row r="186" ht="15" customHeight="1" s="14">
      <c r="A186" s="24" t="n">
        <v>308</v>
      </c>
      <c r="B186" s="24" t="inlineStr">
        <is>
          <t>CLIDINIUM / CHLORDIAZEPOXIDE TABLET ORAL 2.5 mg/5 mg</t>
        </is>
      </c>
      <c r="C186" s="25">
        <f>IF(COUNTIF('کدهای پیام‌داروساز'!$A$2:$A$2442,A186)&gt;0,"بله","خیر")</f>
        <v/>
      </c>
    </row>
    <row r="187" ht="15" customHeight="1" s="14">
      <c r="A187" s="24" t="n">
        <v>309</v>
      </c>
      <c r="B187" s="24" t="inlineStr">
        <is>
          <t>CLINDAMYCIN (AS HYDROCHLORIDE) CAPSULE ORAL 150 mg</t>
        </is>
      </c>
      <c r="C187" s="25">
        <f>IF(COUNTIF('کدهای پیام‌داروساز'!$A$2:$A$2442,A187)&gt;0,"بله","خیر")</f>
        <v/>
      </c>
    </row>
    <row r="188" ht="15" customHeight="1" s="14">
      <c r="A188" s="24" t="n">
        <v>312</v>
      </c>
      <c r="B188" s="24" t="inlineStr">
        <is>
          <t>CLOBAZAM TABLET ORAL 10 mg</t>
        </is>
      </c>
      <c r="C188" s="25">
        <f>IF(COUNTIF('کدهای پیام‌داروساز'!$A$2:$A$2442,A188)&gt;0,"بله","خیر")</f>
        <v/>
      </c>
    </row>
    <row r="189" ht="15" customHeight="1" s="14">
      <c r="A189" s="24" t="n">
        <v>313</v>
      </c>
      <c r="B189" s="24" t="inlineStr">
        <is>
          <t>CLOBETASOL PROPIONATE CREAM TOPICAL 0.05 % 15 g</t>
        </is>
      </c>
      <c r="C189" s="25">
        <f>IF(COUNTIF('کدهای پیام‌داروساز'!$A$2:$A$2442,A189)&gt;0,"بله","خیر")</f>
        <v/>
      </c>
    </row>
    <row r="190" ht="15" customHeight="1" s="14">
      <c r="A190" s="24" t="n">
        <v>314</v>
      </c>
      <c r="B190" s="24" t="inlineStr">
        <is>
          <t>CLOBETASOL PROPIONATE OINTMENT TOPICAL 0.05 % 15 g</t>
        </is>
      </c>
      <c r="C190" s="25">
        <f>IF(COUNTIF('کدهای پیام‌داروساز'!$A$2:$A$2442,A190)&gt;0,"بله","خیر")</f>
        <v/>
      </c>
    </row>
    <row r="191" ht="15" customHeight="1" s="14">
      <c r="A191" s="24" t="n">
        <v>315</v>
      </c>
      <c r="B191" s="24" t="inlineStr">
        <is>
          <t>CLOBUTINOL HYDROCHLORIDE TABLET ORAL 40 mg</t>
        </is>
      </c>
      <c r="C191" s="25">
        <f>IF(COUNTIF('کدهای پیام‌داروساز'!$A$2:$A$2442,A191)&gt;0,"بله","خیر")</f>
        <v/>
      </c>
    </row>
    <row r="192" ht="15" customHeight="1" s="14">
      <c r="A192" s="24" t="n">
        <v>316</v>
      </c>
      <c r="B192" s="24" t="inlineStr">
        <is>
          <t>CLOBUTINOL HYDROCHLORIDE SOLUTION, DROPS ORAL 60 mg/1mL 15 mL</t>
        </is>
      </c>
      <c r="C192" s="25">
        <f>IF(COUNTIF('کدهای پیام‌داروساز'!$A$2:$A$2442,A192)&gt;0,"بله","خیر")</f>
        <v/>
      </c>
    </row>
    <row r="193" ht="15" customHeight="1" s="14">
      <c r="A193" s="24" t="n">
        <v>318</v>
      </c>
      <c r="B193" s="24" t="inlineStr">
        <is>
          <t>CLOFIBRATE CAPSULE ORAL 500 mg</t>
        </is>
      </c>
      <c r="C193" s="25">
        <f>IF(COUNTIF('کدهای پیام‌داروساز'!$A$2:$A$2442,A193)&gt;0,"بله","خیر")</f>
        <v/>
      </c>
    </row>
    <row r="194" ht="15" customHeight="1" s="14">
      <c r="A194" s="24" t="n">
        <v>319</v>
      </c>
      <c r="B194" s="24" t="inlineStr">
        <is>
          <t>CLOMIPHENE CITRATE TABLET ORAL 50 mg</t>
        </is>
      </c>
      <c r="C194" s="25">
        <f>IF(COUNTIF('کدهای پیام‌داروساز'!$A$2:$A$2442,A194)&gt;0,"بله","خیر")</f>
        <v/>
      </c>
    </row>
    <row r="195" ht="15" customHeight="1" s="14">
      <c r="A195" s="24" t="n">
        <v>320</v>
      </c>
      <c r="B195" s="24" t="inlineStr">
        <is>
          <t>CLOMIPRAMINE HYDROCHLORIDE TABLET ORAL 10 mg</t>
        </is>
      </c>
      <c r="C195" s="25">
        <f>IF(COUNTIF('کدهای پیام‌داروساز'!$A$2:$A$2442,A195)&gt;0,"بله","خیر")</f>
        <v/>
      </c>
    </row>
    <row r="196" ht="15" customHeight="1" s="14">
      <c r="A196" s="24" t="n">
        <v>321</v>
      </c>
      <c r="B196" s="24" t="inlineStr">
        <is>
          <t>CLOMIPRAMINE HYDROCHLORIDE TABLET ORAL 25 mg</t>
        </is>
      </c>
      <c r="C196" s="25">
        <f>IF(COUNTIF('کدهای پیام‌داروساز'!$A$2:$A$2442,A196)&gt;0,"بله","خیر")</f>
        <v/>
      </c>
    </row>
    <row r="197" ht="15" customHeight="1" s="14">
      <c r="A197" s="24" t="n">
        <v>322</v>
      </c>
      <c r="B197" s="24" t="inlineStr">
        <is>
          <t>CLONAZEPAM TABLET ORAL 1 mg</t>
        </is>
      </c>
      <c r="C197" s="25">
        <f>IF(COUNTIF('کدهای پیام‌داروساز'!$A$2:$A$2442,A197)&gt;0,"بله","خیر")</f>
        <v/>
      </c>
    </row>
    <row r="198" ht="15" customHeight="1" s="14">
      <c r="A198" s="24" t="n">
        <v>323</v>
      </c>
      <c r="B198" s="24" t="inlineStr">
        <is>
          <t>CLONAZEPAM TABLET ORAL 2 mg</t>
        </is>
      </c>
      <c r="C198" s="25">
        <f>IF(COUNTIF('کدهای پیام‌داروساز'!$A$2:$A$2442,A198)&gt;0,"بله","خیر")</f>
        <v/>
      </c>
    </row>
    <row r="199" ht="15" customHeight="1" s="14">
      <c r="A199" s="24" t="n">
        <v>324</v>
      </c>
      <c r="B199" s="24" t="inlineStr">
        <is>
          <t>CLONIDINE HYDROCHLORIDE TABLET ORAL 0.2 mg</t>
        </is>
      </c>
      <c r="C199" s="25">
        <f>IF(COUNTIF('کدهای پیام‌داروساز'!$A$2:$A$2442,A199)&gt;0,"بله","خیر")</f>
        <v/>
      </c>
    </row>
    <row r="200" ht="15" customHeight="1" s="14">
      <c r="A200" s="24" t="n">
        <v>325</v>
      </c>
      <c r="B200" s="24" t="inlineStr">
        <is>
          <t>CLOTRIMAZOLE CREAM VAGINAL 1 % 50 g</t>
        </is>
      </c>
      <c r="C200" s="25">
        <f>IF(COUNTIF('کدهای پیام‌داروساز'!$A$2:$A$2442,A200)&gt;0,"بله","خیر")</f>
        <v/>
      </c>
    </row>
    <row r="201" ht="15" customHeight="1" s="14">
      <c r="A201" s="24" t="n">
        <v>326</v>
      </c>
      <c r="B201" s="24" t="inlineStr">
        <is>
          <t>CLOTRIMAZOLE CREAM TOPICAL 1 % 15 g</t>
        </is>
      </c>
      <c r="C201" s="25">
        <f>IF(COUNTIF('کدهای پیام‌داروساز'!$A$2:$A$2442,A201)&gt;0,"بله","خیر")</f>
        <v/>
      </c>
    </row>
    <row r="202" ht="15" customHeight="1" s="14">
      <c r="A202" s="24" t="n">
        <v>327</v>
      </c>
      <c r="B202" s="24" t="inlineStr">
        <is>
          <t>CLOTRIMAZOLE SOLUTION TOPICAL 1 % 20 mL</t>
        </is>
      </c>
      <c r="C202" s="25">
        <f>IF(COUNTIF('کدهای پیام‌داروساز'!$A$2:$A$2442,A202)&gt;0,"بله","خیر")</f>
        <v/>
      </c>
    </row>
    <row r="203" ht="15" customHeight="1" s="14">
      <c r="A203" s="24" t="n">
        <v>328</v>
      </c>
      <c r="B203" s="24" t="inlineStr">
        <is>
          <t>CLOTRIMAZOLE TABLET VAGINAL 100 mg</t>
        </is>
      </c>
      <c r="C203" s="25">
        <f>IF(COUNTIF('کدهای پیام‌داروساز'!$A$2:$A$2442,A203)&gt;0,"بله","خیر")</f>
        <v/>
      </c>
    </row>
    <row r="204" ht="15" customHeight="1" s="14">
      <c r="A204" s="24" t="n">
        <v>329</v>
      </c>
      <c r="B204" s="24" t="inlineStr">
        <is>
          <t>CLOXACILLIN (AS SODIUM) CAPSULE ORAL 250 mg</t>
        </is>
      </c>
      <c r="C204" s="25">
        <f>IF(COUNTIF('کدهای پیام‌داروساز'!$A$2:$A$2442,A204)&gt;0,"بله","خیر")</f>
        <v/>
      </c>
    </row>
    <row r="205" ht="15" customHeight="1" s="14">
      <c r="A205" s="24" t="n">
        <v>330</v>
      </c>
      <c r="B205" s="24" t="inlineStr">
        <is>
          <t>CLOXACILLIN (AS SODIUM) INJECTION, POWDER, FOR SOLUTION PARENTERAL 250 mg</t>
        </is>
      </c>
      <c r="C205" s="25">
        <f>IF(COUNTIF('کدهای پیام‌داروساز'!$A$2:$A$2442,A205)&gt;0,"بله","خیر")</f>
        <v/>
      </c>
    </row>
    <row r="206" ht="15" customHeight="1" s="14">
      <c r="A206" s="24" t="n">
        <v>331</v>
      </c>
      <c r="B206" s="24" t="inlineStr">
        <is>
          <t>CLOXACILLIN (AS SODIUM) CAPSULE ORAL 500 mg</t>
        </is>
      </c>
      <c r="C206" s="25">
        <f>IF(COUNTIF('کدهای پیام‌داروساز'!$A$2:$A$2442,A206)&gt;0,"بله","خیر")</f>
        <v/>
      </c>
    </row>
    <row r="207" ht="15" customHeight="1" s="14">
      <c r="A207" s="24" t="n">
        <v>332</v>
      </c>
      <c r="B207" s="24" t="inlineStr">
        <is>
          <t>CLOXACILLIN (AS SODIUM) INJECTION, POWDER, FOR SOLUTION PARENTERAL 500 mg</t>
        </is>
      </c>
      <c r="C207" s="25">
        <f>IF(COUNTIF('کدهای پیام‌داروساز'!$A$2:$A$2442,A207)&gt;0,"بله","خیر")</f>
        <v/>
      </c>
    </row>
    <row r="208" ht="15" customHeight="1" s="14">
      <c r="A208" s="24" t="n">
        <v>334</v>
      </c>
      <c r="B208" s="24" t="inlineStr">
        <is>
          <t>CLOZAPINE TABLET ORAL 100 mg</t>
        </is>
      </c>
      <c r="C208" s="25">
        <f>IF(COUNTIF('کدهای پیام‌داروساز'!$A$2:$A$2442,A208)&gt;0,"بله","خیر")</f>
        <v/>
      </c>
    </row>
    <row r="209" ht="15" customHeight="1" s="14">
      <c r="A209" s="24" t="n">
        <v>335</v>
      </c>
      <c r="B209" s="24" t="inlineStr">
        <is>
          <t>CO-AMOXICLAV POWDER, FOR SUSPENSION ORAL 125 mg/31.25 mg/5mL 100 mL</t>
        </is>
      </c>
      <c r="C209" s="25">
        <f>IF(COUNTIF('کدهای پیام‌داروساز'!$A$2:$A$2442,A209)&gt;0,"بله","خیر")</f>
        <v/>
      </c>
    </row>
    <row r="210" ht="15" customHeight="1" s="14">
      <c r="A210" s="24" t="n">
        <v>337</v>
      </c>
      <c r="B210" s="24" t="inlineStr">
        <is>
          <t>CO-AMOXICLAV TABLET ORAL 250 mg/125 mg</t>
        </is>
      </c>
      <c r="C210" s="25">
        <f>IF(COUNTIF('کدهای پیام‌داروساز'!$A$2:$A$2442,A210)&gt;0,"بله","خیر")</f>
        <v/>
      </c>
    </row>
    <row r="211" ht="15" customHeight="1" s="14">
      <c r="A211" s="24" t="n">
        <v>338</v>
      </c>
      <c r="B211" s="24" t="inlineStr">
        <is>
          <t>CO-AMOXICLAV TABLET ORAL 500 mg/125 mg</t>
        </is>
      </c>
      <c r="C211" s="25">
        <f>IF(COUNTIF('کدهای پیام‌داروساز'!$A$2:$A$2442,A211)&gt;0,"بله","خیر")</f>
        <v/>
      </c>
    </row>
    <row r="212" ht="15" customHeight="1" s="14">
      <c r="A212" s="24" t="n">
        <v>339</v>
      </c>
      <c r="B212" s="24" t="inlineStr">
        <is>
          <t>CO-TRIMOXAZOLE TABLET ORAL 400 mg/80 mg</t>
        </is>
      </c>
      <c r="C212" s="25">
        <f>IF(COUNTIF('کدهای پیام‌داروساز'!$A$2:$A$2442,A212)&gt;0,"بله","خیر")</f>
        <v/>
      </c>
    </row>
    <row r="213" ht="15" customHeight="1" s="14">
      <c r="A213" s="24" t="n">
        <v>340</v>
      </c>
      <c r="B213" s="24" t="inlineStr">
        <is>
          <t>CO-TRIMOXAZOLE SUSPENSION ORAL 200 mg/40 mg/5mL 100 mL</t>
        </is>
      </c>
      <c r="C213" s="25">
        <f>IF(COUNTIF('کدهای پیام‌داروساز'!$A$2:$A$2442,A213)&gt;0,"بله","خیر")</f>
        <v/>
      </c>
    </row>
    <row r="214" ht="15" customHeight="1" s="14">
      <c r="A214" s="24" t="n">
        <v>341</v>
      </c>
      <c r="B214" s="24" t="inlineStr">
        <is>
          <t>CO-TRIMOXAZOLE INJECTION, SOLUTION INTRAVENOUS 80 mg/16 mg/1mL 5 mL</t>
        </is>
      </c>
      <c r="C214" s="25">
        <f>IF(COUNTIF('کدهای پیام‌داروساز'!$A$2:$A$2442,A214)&gt;0,"بله","خیر")</f>
        <v/>
      </c>
    </row>
    <row r="215" ht="15" customHeight="1" s="14">
      <c r="A215" s="24" t="n">
        <v>342</v>
      </c>
      <c r="B215" s="24" t="inlineStr">
        <is>
          <t>CO-TRIMOXAZOLE TABLET ORAL 100 mg/20 mg</t>
        </is>
      </c>
      <c r="C215" s="25">
        <f>IF(COUNTIF('کدهای پیام‌داروساز'!$A$2:$A$2442,A215)&gt;0,"بله","خیر")</f>
        <v/>
      </c>
    </row>
    <row r="216" ht="15" customHeight="1" s="14">
      <c r="A216" s="24" t="n">
        <v>346</v>
      </c>
      <c r="B216" s="24" t="inlineStr">
        <is>
          <t>COAL TAR LOTION TOPICAL 5 % 60 mL</t>
        </is>
      </c>
      <c r="C216" s="25">
        <f>IF(COUNTIF('کدهای پیام‌داروساز'!$A$2:$A$2442,A216)&gt;0,"بله","خیر")</f>
        <v/>
      </c>
    </row>
    <row r="217" ht="15" customHeight="1" s="14">
      <c r="A217" s="24" t="n">
        <v>348</v>
      </c>
      <c r="B217" s="24" t="inlineStr">
        <is>
          <t>COLCHICINE TABLET ORAL 1 mg</t>
        </is>
      </c>
      <c r="C217" s="25">
        <f>IF(COUNTIF('کدهای پیام‌داروساز'!$A$2:$A$2442,A217)&gt;0,"بله","خیر")</f>
        <v/>
      </c>
    </row>
    <row r="218" ht="15" customHeight="1" s="14">
      <c r="A218" s="24" t="n">
        <v>352</v>
      </c>
      <c r="B218" s="24" t="inlineStr">
        <is>
          <t>CONJUGATED ESTROGENS TABLET ORAL 0.625 mg</t>
        </is>
      </c>
      <c r="C218" s="25">
        <f>IF(COUNTIF('کدهای پیام‌داروساز'!$A$2:$A$2442,A218)&gt;0,"بله","خیر")</f>
        <v/>
      </c>
    </row>
    <row r="219" ht="15" customHeight="1" s="14">
      <c r="A219" s="24" t="n">
        <v>353</v>
      </c>
      <c r="B219" s="24" t="inlineStr">
        <is>
          <t>CONJUGATED ESTROGENS CREAM VAGINAL 0.625 mg/1g 42.5 g</t>
        </is>
      </c>
      <c r="C219" s="25">
        <f>IF(COUNTIF('کدهای پیام‌داروساز'!$A$2:$A$2442,A219)&gt;0,"بله","خیر")</f>
        <v/>
      </c>
    </row>
    <row r="220" ht="15" customHeight="1" s="14">
      <c r="A220" s="24" t="n">
        <v>354</v>
      </c>
      <c r="B220" s="24" t="inlineStr">
        <is>
          <t>CONJUGATED ESTROGENS TABLET ORAL 1.25 mg</t>
        </is>
      </c>
      <c r="C220" s="25">
        <f>IF(COUNTIF('کدهای پیام‌داروساز'!$A$2:$A$2442,A220)&gt;0,"بله","خیر")</f>
        <v/>
      </c>
    </row>
    <row r="221" ht="15" customHeight="1" s="14">
      <c r="A221" s="24" t="n">
        <v>356</v>
      </c>
      <c r="B221" s="24" t="inlineStr">
        <is>
          <t>CONTRACEPTIVE HD TABLET ORAL 0.25 mg/50 ug</t>
        </is>
      </c>
      <c r="C221" s="25">
        <f>IF(COUNTIF('کدهای پیام‌داروساز'!$A$2:$A$2442,A221)&gt;0,"بله","خیر")</f>
        <v/>
      </c>
    </row>
    <row r="222" ht="15" customHeight="1" s="14">
      <c r="A222" s="24" t="n">
        <v>357</v>
      </c>
      <c r="B222" s="24" t="inlineStr">
        <is>
          <t>CONTRACEPTIVE LD TABLET ORAL 30 ug/0.15 mg</t>
        </is>
      </c>
      <c r="C222" s="25">
        <f>IF(COUNTIF('کدهای پیام‌داروساز'!$A$2:$A$2442,A222)&gt;0,"بله","خیر")</f>
        <v/>
      </c>
    </row>
    <row r="223" ht="15" customHeight="1" s="14">
      <c r="A223" s="24" t="n">
        <v>358</v>
      </c>
      <c r="B223" s="24" t="inlineStr">
        <is>
          <t>CONTRACEPTIVE TRIPHASIC TABLET ORAL</t>
        </is>
      </c>
      <c r="C223" s="25">
        <f>IF(COUNTIF('کدهای پیام‌داروساز'!$A$2:$A$2442,A223)&gt;0,"بله","خیر")</f>
        <v/>
      </c>
    </row>
    <row r="224" ht="15" customHeight="1" s="14">
      <c r="A224" s="24" t="n">
        <v>364</v>
      </c>
      <c r="B224" s="24" t="inlineStr">
        <is>
          <t>CROMOLYN SODIUM CAPSULE RESPIRATORY 20 mg</t>
        </is>
      </c>
      <c r="C224" s="25">
        <f>IF(COUNTIF('کدهای پیام‌داروساز'!$A$2:$A$2442,A224)&gt;0,"بله","خیر")</f>
        <v/>
      </c>
    </row>
    <row r="225" ht="15" customHeight="1" s="14">
      <c r="A225" s="24" t="n">
        <v>366</v>
      </c>
      <c r="B225" s="24" t="inlineStr">
        <is>
          <t>CROTAMITON CREAM TOPICAL 10 % 30 g</t>
        </is>
      </c>
      <c r="C225" s="25">
        <f>IF(COUNTIF('کدهای پیام‌داروساز'!$A$2:$A$2442,A225)&gt;0,"بله","خیر")</f>
        <v/>
      </c>
    </row>
    <row r="226" ht="15" customHeight="1" s="14">
      <c r="A226" s="24" t="n">
        <v>368</v>
      </c>
      <c r="B226" s="24" t="inlineStr">
        <is>
          <t>CYCLOPHOSPHAMIDE INJECTION, POWDER, FOR SOLUTION PARENTERAL 200 mg</t>
        </is>
      </c>
      <c r="C226" s="25">
        <f>IF(COUNTIF('کدهای پیام‌داروساز'!$A$2:$A$2442,A226)&gt;0,"بله","خیر")</f>
        <v/>
      </c>
    </row>
    <row r="227" ht="15" customHeight="1" s="14">
      <c r="A227" s="24" t="n">
        <v>369</v>
      </c>
      <c r="B227" s="24" t="inlineStr">
        <is>
          <t>CYCLOPHOSPHAMIDE TABLET ORAL 50 mg</t>
        </is>
      </c>
      <c r="C227" s="25">
        <f>IF(COUNTIF('کدهای پیام‌داروساز'!$A$2:$A$2442,A227)&gt;0,"بله","خیر")</f>
        <v/>
      </c>
    </row>
    <row r="228" ht="15" customHeight="1" s="14">
      <c r="A228" s="24" t="n">
        <v>370</v>
      </c>
      <c r="B228" s="24" t="inlineStr">
        <is>
          <t>CYCLOPHOSPHAMIDE INJECTION, POWDER, FOR SOLUTION PARENTERAL 500 mg</t>
        </is>
      </c>
      <c r="C228" s="25">
        <f>IF(COUNTIF('کدهای پیام‌داروساز'!$A$2:$A$2442,A228)&gt;0,"بله","خیر")</f>
        <v/>
      </c>
    </row>
    <row r="229" ht="15" customHeight="1" s="14">
      <c r="A229" s="24" t="n">
        <v>371</v>
      </c>
      <c r="B229" s="24" t="inlineStr">
        <is>
          <t>CYCLOSERINE CAPSULE ORAL 250 mg</t>
        </is>
      </c>
      <c r="C229" s="25">
        <f>IF(COUNTIF('کدهای پیام‌داروساز'!$A$2:$A$2442,A229)&gt;0,"بله","خیر")</f>
        <v/>
      </c>
    </row>
    <row r="230" ht="15" customHeight="1" s="14">
      <c r="A230" s="24" t="n">
        <v>372</v>
      </c>
      <c r="B230" s="24" t="inlineStr">
        <is>
          <t>CYPROHEPTADINE HYDROCHLORIDE TABLET ORAL 4 mg</t>
        </is>
      </c>
      <c r="C230" s="25">
        <f>IF(COUNTIF('کدهای پیام‌داروساز'!$A$2:$A$2442,A230)&gt;0,"بله","خیر")</f>
        <v/>
      </c>
    </row>
    <row r="231" ht="15" customHeight="1" s="14">
      <c r="A231" s="24" t="n">
        <v>373</v>
      </c>
      <c r="B231" s="24" t="inlineStr">
        <is>
          <t>CYPROTERONE ACETATE TABLET ORAL 50 mg</t>
        </is>
      </c>
      <c r="C231" s="25">
        <f>IF(COUNTIF('کدهای پیام‌داروساز'!$A$2:$A$2442,A231)&gt;0,"بله","خیر")</f>
        <v/>
      </c>
    </row>
    <row r="232" ht="15" customHeight="1" s="14">
      <c r="A232" s="24" t="n">
        <v>374</v>
      </c>
      <c r="B232" s="24" t="inlineStr">
        <is>
          <t>CYPROTERONE COMPOUND TABLET ORAL 2 mg/0.035 mg</t>
        </is>
      </c>
      <c r="C232" s="25">
        <f>IF(COUNTIF('کدهای پیام‌داروساز'!$A$2:$A$2442,A232)&gt;0,"بله","خیر")</f>
        <v/>
      </c>
    </row>
    <row r="233" ht="15" customHeight="1" s="14">
      <c r="A233" s="24" t="n">
        <v>375</v>
      </c>
      <c r="B233" s="24" t="inlineStr">
        <is>
          <t>CYTARABINE INJECTION, SOLUTION PARENTERAL 20 mg/1mL 5 mL</t>
        </is>
      </c>
      <c r="C233" s="25">
        <f>IF(COUNTIF('کدهای پیام‌داروساز'!$A$2:$A$2442,A233)&gt;0,"بله","خیر")</f>
        <v/>
      </c>
    </row>
    <row r="234" ht="15" customHeight="1" s="14">
      <c r="A234" s="24" t="n">
        <v>376</v>
      </c>
      <c r="B234" s="24" t="inlineStr">
        <is>
          <t>DACARBAZINE INJECTION, POWDER, FOR SOLUTION PARENTERAL 100 mg</t>
        </is>
      </c>
      <c r="C234" s="25">
        <f>IF(COUNTIF('کدهای پیام‌داروساز'!$A$2:$A$2442,A234)&gt;0,"بله","خیر")</f>
        <v/>
      </c>
    </row>
    <row r="235" ht="15" customHeight="1" s="14">
      <c r="A235" s="24" t="n">
        <v>377</v>
      </c>
      <c r="B235" s="24" t="inlineStr">
        <is>
          <t>DACARBAZINE INJECTION, POWDER, FOR SOLUTION PARENTERAL 200 mg</t>
        </is>
      </c>
      <c r="C235" s="25">
        <f>IF(COUNTIF('کدهای پیام‌داروساز'!$A$2:$A$2442,A235)&gt;0,"بله","خیر")</f>
        <v/>
      </c>
    </row>
    <row r="236" ht="15" customHeight="1" s="14">
      <c r="A236" s="24" t="n">
        <v>378</v>
      </c>
      <c r="B236" s="24" t="inlineStr">
        <is>
          <t>DACTINOMYCIN INJECTION, POWDER, FOR SOLUTION PARENTERAL 0.5 mg</t>
        </is>
      </c>
      <c r="C236" s="25">
        <f>IF(COUNTIF('کدهای پیام‌داروساز'!$A$2:$A$2442,A236)&gt;0,"بله","خیر")</f>
        <v/>
      </c>
    </row>
    <row r="237" ht="15" customHeight="1" s="14">
      <c r="A237" s="24" t="n">
        <v>379</v>
      </c>
      <c r="B237" s="24" t="inlineStr">
        <is>
          <t>DANAZOL CAPSULE ORAL 100 mg</t>
        </is>
      </c>
      <c r="C237" s="25">
        <f>IF(COUNTIF('کدهای پیام‌داروساز'!$A$2:$A$2442,A237)&gt;0,"بله","خیر")</f>
        <v/>
      </c>
    </row>
    <row r="238" ht="15" customHeight="1" s="14">
      <c r="A238" s="24" t="n">
        <v>380</v>
      </c>
      <c r="B238" s="24" t="inlineStr">
        <is>
          <t>DANAZOL CAPSULE ORAL 200 mg</t>
        </is>
      </c>
      <c r="C238" s="25">
        <f>IF(COUNTIF('کدهای پیام‌داروساز'!$A$2:$A$2442,A238)&gt;0,"بله","خیر")</f>
        <v/>
      </c>
    </row>
    <row r="239" ht="15" customHeight="1" s="14">
      <c r="A239" s="24" t="n">
        <v>382</v>
      </c>
      <c r="B239" s="24" t="inlineStr">
        <is>
          <t>DANTROLENE SODIUM INJECTION, POWDER, FOR SOLUTION PARENTERAL 20 mg</t>
        </is>
      </c>
      <c r="C239" s="25">
        <f>IF(COUNTIF('کدهای پیام‌داروساز'!$A$2:$A$2442,A239)&gt;0,"بله","خیر")</f>
        <v/>
      </c>
    </row>
    <row r="240" ht="15" customHeight="1" s="14">
      <c r="A240" s="24" t="n">
        <v>383</v>
      </c>
      <c r="B240" s="24" t="inlineStr">
        <is>
          <t>DAPSONE TABLET ORAL 100 mg</t>
        </is>
      </c>
      <c r="C240" s="25">
        <f>IF(COUNTIF('کدهای پیام‌داروساز'!$A$2:$A$2442,A240)&gt;0,"بله","خیر")</f>
        <v/>
      </c>
    </row>
    <row r="241" ht="15" customHeight="1" s="14">
      <c r="A241" s="24" t="n">
        <v>384</v>
      </c>
      <c r="B241" s="24" t="inlineStr">
        <is>
          <t>DAUNORUBICIN (AS HYDROCHLORIDE) INJECTION, POWDER, FOR SOLUTION PARENTERAL 20 mg</t>
        </is>
      </c>
      <c r="C241" s="25">
        <f>IF(COUNTIF('کدهای پیام‌داروساز'!$A$2:$A$2442,A241)&gt;0,"بله","خیر")</f>
        <v/>
      </c>
    </row>
    <row r="242" ht="15" customHeight="1" s="14">
      <c r="A242" s="24" t="n">
        <v>386</v>
      </c>
      <c r="B242" s="24" t="inlineStr">
        <is>
          <t>DEFEROXAMINE MESYLATE INJECTION, POWDER, FOR SOLUTION PARENTERAL 500 mg</t>
        </is>
      </c>
      <c r="C242" s="25">
        <f>IF(COUNTIF('کدهای پیام‌داروساز'!$A$2:$A$2442,A242)&gt;0,"بله","خیر")</f>
        <v/>
      </c>
    </row>
    <row r="243" ht="15" customHeight="1" s="14">
      <c r="A243" s="24" t="n">
        <v>388</v>
      </c>
      <c r="B243" s="24" t="inlineStr">
        <is>
          <t>DESIPRAMINE HYDROCHLORIDE TABLET ORAL 25 mg</t>
        </is>
      </c>
      <c r="C243" s="25">
        <f>IF(COUNTIF('کدهای پیام‌داروساز'!$A$2:$A$2442,A243)&gt;0,"بله","خیر")</f>
        <v/>
      </c>
    </row>
    <row r="244" ht="15" customHeight="1" s="14">
      <c r="A244" s="24" t="n">
        <v>392</v>
      </c>
      <c r="B244" s="24" t="inlineStr">
        <is>
          <t>DEXTROSE / SODIUM CHLORIDE INJECTION, SOLUTION INTRAVENOUS 5 %/0.9 % 1000 mL</t>
        </is>
      </c>
      <c r="C244" s="25">
        <f>IF(COUNTIF('کدهای پیام‌داروساز'!$A$2:$A$2442,A244)&gt;0,"بله","خیر")</f>
        <v/>
      </c>
    </row>
    <row r="245" ht="15" customHeight="1" s="14">
      <c r="A245" s="24" t="n">
        <v>393</v>
      </c>
      <c r="B245" s="24" t="inlineStr">
        <is>
          <t>DEXTROSE / SODIUM CHLORIDE INJECTION, SOLUTION INTRAVENOUS 5 %/0.9 % 500 mL</t>
        </is>
      </c>
      <c r="C245" s="25">
        <f>IF(COUNTIF('کدهای پیام‌داروساز'!$A$2:$A$2442,A245)&gt;0,"بله","خیر")</f>
        <v/>
      </c>
    </row>
    <row r="246" ht="15" customHeight="1" s="14">
      <c r="A246" s="24" t="n">
        <v>394</v>
      </c>
      <c r="B246" s="24" t="inlineStr">
        <is>
          <t>DEXTROSE / ETHANOL INJECTION, SOLUTION INTRAVENOUS 5 %/5 % 1000 mL</t>
        </is>
      </c>
      <c r="C246" s="25">
        <f>IF(COUNTIF('کدهای پیام‌داروساز'!$A$2:$A$2442,A246)&gt;0,"بله","خیر")</f>
        <v/>
      </c>
    </row>
    <row r="247" ht="15" customHeight="1" s="14">
      <c r="A247" s="24" t="n">
        <v>395</v>
      </c>
      <c r="B247" s="24" t="inlineStr">
        <is>
          <t>DEXTROSE / SODIUM CHLORIDE INJECTION, SOLUTION INTRAVENOUS 3.33 %/0.3 % 1000 mL</t>
        </is>
      </c>
      <c r="C247" s="25">
        <f>IF(COUNTIF('کدهای پیام‌داروساز'!$A$2:$A$2442,A247)&gt;0,"بله","خیر")</f>
        <v/>
      </c>
    </row>
    <row r="248" ht="15" customHeight="1" s="14">
      <c r="A248" s="24" t="n">
        <v>398</v>
      </c>
      <c r="B248" s="24" t="inlineStr">
        <is>
          <t>DEXAMETHASONE TABLET ORAL 0.5 mg</t>
        </is>
      </c>
      <c r="C248" s="25">
        <f>IF(COUNTIF('کدهای پیام‌داروساز'!$A$2:$A$2442,A248)&gt;0,"بله","خیر")</f>
        <v/>
      </c>
    </row>
    <row r="249" ht="15" customHeight="1" s="14">
      <c r="A249" s="24" t="n">
        <v>399</v>
      </c>
      <c r="B249" s="24" t="inlineStr">
        <is>
          <t>DEXAMETHASONE (AS DISODIUM PHOSPHATE) SOLUTION, DROPS OPHTHALMIC 0.1 % 5 mL</t>
        </is>
      </c>
      <c r="C249" s="25">
        <f>IF(COUNTIF('کدهای پیام‌داروساز'!$A$2:$A$2442,A249)&gt;0,"بله","خیر")</f>
        <v/>
      </c>
    </row>
    <row r="250" ht="15" customHeight="1" s="14">
      <c r="A250" s="24" t="n">
        <v>400</v>
      </c>
      <c r="B250" s="24" t="inlineStr">
        <is>
          <t>DEXAMETHASONE (AS DISODIUM PHOSPHATE) INJECTION PARENTERAL 4 mg/1mL 2 mL</t>
        </is>
      </c>
      <c r="C250" s="25">
        <f>IF(COUNTIF('کدهای پیام‌داروساز'!$A$2:$A$2442,A250)&gt;0,"بله","خیر")</f>
        <v/>
      </c>
    </row>
    <row r="251" ht="15" customHeight="1" s="14">
      <c r="A251" s="24" t="n">
        <v>403</v>
      </c>
      <c r="B251" s="24" t="inlineStr">
        <is>
          <t>DEXPANTHENOL CREAM TOPICAL 5 % 30 g</t>
        </is>
      </c>
      <c r="C251" s="25">
        <f>IF(COUNTIF('کدهای پیام‌داروساز'!$A$2:$A$2442,A251)&gt;0,"بله","خیر")</f>
        <v/>
      </c>
    </row>
    <row r="252" ht="15" customHeight="1" s="14">
      <c r="A252" s="24" t="n">
        <v>405</v>
      </c>
      <c r="B252" s="24" t="inlineStr">
        <is>
          <t>DEXTROMETHORPHAN HYDROBROMIDE SYRUP ORAL 15 mg/5mL 60 mL</t>
        </is>
      </c>
      <c r="C252" s="25">
        <f>IF(COUNTIF('کدهای پیام‌داروساز'!$A$2:$A$2442,A252)&gt;0,"بله","خیر")</f>
        <v/>
      </c>
    </row>
    <row r="253" ht="15" customHeight="1" s="14">
      <c r="A253" s="24" t="n">
        <v>406</v>
      </c>
      <c r="B253" s="24" t="inlineStr">
        <is>
          <t>DEXTROMETHORPHAN HYDROBROMIDE SOLUTION, DROPS ORAL 4 mg/1mL 15 mL</t>
        </is>
      </c>
      <c r="C253" s="25">
        <f>IF(COUNTIF('کدهای پیام‌داروساز'!$A$2:$A$2442,A253)&gt;0,"بله","خیر")</f>
        <v/>
      </c>
    </row>
    <row r="254" ht="15" customHeight="1" s="14">
      <c r="A254" s="24" t="n">
        <v>407</v>
      </c>
      <c r="B254" s="24" t="inlineStr">
        <is>
          <t>DEXTROMETHORPHAN HYDROBROMIDE TABLET ORAL 15 mg</t>
        </is>
      </c>
      <c r="C254" s="25">
        <f>IF(COUNTIF('کدهای پیام‌داروساز'!$A$2:$A$2442,A254)&gt;0,"بله","خیر")</f>
        <v/>
      </c>
    </row>
    <row r="255" ht="15" customHeight="1" s="14">
      <c r="A255" s="24" t="n">
        <v>408</v>
      </c>
      <c r="B255" s="24" t="inlineStr">
        <is>
          <t>DEXTROMETHORPHAN / PSEUDOEPHEDRINE SYRUP ORAL 15 mg/30 mg/5mL 60 mL</t>
        </is>
      </c>
      <c r="C255" s="25">
        <f>IF(COUNTIF('کدهای پیام‌داروساز'!$A$2:$A$2442,A255)&gt;0,"بله","خیر")</f>
        <v/>
      </c>
    </row>
    <row r="256" ht="15" customHeight="1" s="14">
      <c r="A256" s="24" t="n">
        <v>410</v>
      </c>
      <c r="B256" s="24" t="inlineStr">
        <is>
          <t>DEXTROSE INJECTION, SOLUTION INTRAVENOUS 10 % 1000 mL</t>
        </is>
      </c>
      <c r="C256" s="25">
        <f>IF(COUNTIF('کدهای پیام‌داروساز'!$A$2:$A$2442,A256)&gt;0,"بله","خیر")</f>
        <v/>
      </c>
    </row>
    <row r="257" ht="15" customHeight="1" s="14">
      <c r="A257" s="24" t="n">
        <v>411</v>
      </c>
      <c r="B257" s="24" t="inlineStr">
        <is>
          <t>DEXTROSE INJECTION, SOLUTION INTRAVENOUS 10 % 500 mL</t>
        </is>
      </c>
      <c r="C257" s="25">
        <f>IF(COUNTIF('کدهای پیام‌داروساز'!$A$2:$A$2442,A257)&gt;0,"بله","خیر")</f>
        <v/>
      </c>
    </row>
    <row r="258" ht="15" customHeight="1" s="14">
      <c r="A258" s="24" t="n">
        <v>413</v>
      </c>
      <c r="B258" s="24" t="inlineStr">
        <is>
          <t>DEXTROSE INJECTION, SOLUTION INTRAVENOUS 5 % 1000 mL</t>
        </is>
      </c>
      <c r="C258" s="25">
        <f>IF(COUNTIF('کدهای پیام‌داروساز'!$A$2:$A$2442,A258)&gt;0,"بله","خیر")</f>
        <v/>
      </c>
    </row>
    <row r="259" ht="15" customHeight="1" s="14">
      <c r="A259" s="24" t="n">
        <v>416</v>
      </c>
      <c r="B259" s="24" t="inlineStr">
        <is>
          <t>IODOQUINOL TABLET ORAL 210 mg</t>
        </is>
      </c>
      <c r="C259" s="25">
        <f>IF(COUNTIF('کدهای پیام‌داروساز'!$A$2:$A$2442,A259)&gt;0,"بله","خیر")</f>
        <v/>
      </c>
    </row>
    <row r="260" ht="15" customHeight="1" s="14">
      <c r="A260" s="24" t="n">
        <v>417</v>
      </c>
      <c r="B260" s="24" t="inlineStr">
        <is>
          <t>DIAZEPAM TABLET ORAL 10 mg</t>
        </is>
      </c>
      <c r="C260" s="25">
        <f>IF(COUNTIF('کدهای پیام‌داروساز'!$A$2:$A$2442,A260)&gt;0,"بله","خیر")</f>
        <v/>
      </c>
    </row>
    <row r="261" ht="15" customHeight="1" s="14">
      <c r="A261" s="24" t="n">
        <v>418</v>
      </c>
      <c r="B261" s="24" t="inlineStr">
        <is>
          <t>DIAZEPAM INJECTION PARENTERAL 5 mg/1mL 2 mL</t>
        </is>
      </c>
      <c r="C261" s="25">
        <f>IF(COUNTIF('کدهای پیام‌داروساز'!$A$2:$A$2442,A261)&gt;0,"بله","خیر")</f>
        <v/>
      </c>
    </row>
    <row r="262" ht="15" customHeight="1" s="14">
      <c r="A262" s="24" t="n">
        <v>419</v>
      </c>
      <c r="B262" s="24" t="inlineStr">
        <is>
          <t>DIAZEPAM TABLET ORAL 2 mg</t>
        </is>
      </c>
      <c r="C262" s="25">
        <f>IF(COUNTIF('کدهای پیام‌داروساز'!$A$2:$A$2442,A262)&gt;0,"بله","خیر")</f>
        <v/>
      </c>
    </row>
    <row r="263" ht="15" customHeight="1" s="14">
      <c r="A263" s="24" t="n">
        <v>420</v>
      </c>
      <c r="B263" s="24" t="inlineStr">
        <is>
          <t>DIAZEPAM TABLET ORAL 5 mg</t>
        </is>
      </c>
      <c r="C263" s="25">
        <f>IF(COUNTIF('کدهای پیام‌داروساز'!$A$2:$A$2442,A263)&gt;0,"بله","خیر")</f>
        <v/>
      </c>
    </row>
    <row r="264" ht="15" customHeight="1" s="14">
      <c r="A264" s="24" t="n">
        <v>421</v>
      </c>
      <c r="B264" s="24" t="inlineStr">
        <is>
          <t>DIAZOXIDE CAPSULE ORAL 100 mg</t>
        </is>
      </c>
      <c r="C264" s="25">
        <f>IF(COUNTIF('کدهای پیام‌داروساز'!$A$2:$A$2442,A264)&gt;0,"بله","خیر")</f>
        <v/>
      </c>
    </row>
    <row r="265" ht="15" customHeight="1" s="14">
      <c r="A265" s="24" t="n">
        <v>424</v>
      </c>
      <c r="B265" s="24" t="inlineStr">
        <is>
          <t>DICLOFENAC SODIUM TABLET, DELAYED RELEASE ORAL 25 mg</t>
        </is>
      </c>
      <c r="C265" s="25">
        <f>IF(COUNTIF('کدهای پیام‌داروساز'!$A$2:$A$2442,A265)&gt;0,"بله","خیر")</f>
        <v/>
      </c>
    </row>
    <row r="266" ht="15" customHeight="1" s="14">
      <c r="A266" s="24" t="n">
        <v>425</v>
      </c>
      <c r="B266" s="24" t="inlineStr">
        <is>
          <t>DICLOFENAC SODIUM INJECTION PARENTERAL 25 mg/1mL 3 mL</t>
        </is>
      </c>
      <c r="C266" s="25">
        <f>IF(COUNTIF('کدهای پیام‌داروساز'!$A$2:$A$2442,A266)&gt;0,"بله","خیر")</f>
        <v/>
      </c>
    </row>
    <row r="267" ht="15" customHeight="1" s="14">
      <c r="A267" s="24" t="n">
        <v>426</v>
      </c>
      <c r="B267" s="24" t="inlineStr">
        <is>
          <t>DICLOFENAC DIETHYLAMMONIUM GEL TOPICAL 1 % 60 g</t>
        </is>
      </c>
      <c r="C267" s="25">
        <f>IF(COUNTIF('کدهای پیام‌داروساز'!$A$2:$A$2442,A267)&gt;0,"بله","خیر")</f>
        <v/>
      </c>
    </row>
    <row r="268" ht="15" customHeight="1" s="14">
      <c r="A268" s="24" t="n">
        <v>427</v>
      </c>
      <c r="B268" s="24" t="inlineStr">
        <is>
          <t>DICLOFENAC SODIUM SUPPOSITORY RECTAL 100 mg</t>
        </is>
      </c>
      <c r="C268" s="25">
        <f>IF(COUNTIF('کدهای پیام‌داروساز'!$A$2:$A$2442,A268)&gt;0,"بله","خیر")</f>
        <v/>
      </c>
    </row>
    <row r="269" ht="15" customHeight="1" s="14">
      <c r="A269" s="24" t="n">
        <v>428</v>
      </c>
      <c r="B269" s="24" t="inlineStr">
        <is>
          <t>DICLOFENAC SODIUM SUPPOSITORY RECTAL 50 mg</t>
        </is>
      </c>
      <c r="C269" s="25">
        <f>IF(COUNTIF('کدهای پیام‌داروساز'!$A$2:$A$2442,A269)&gt;0,"بله","خیر")</f>
        <v/>
      </c>
    </row>
    <row r="270" ht="15" customHeight="1" s="14">
      <c r="A270" s="24" t="n">
        <v>429</v>
      </c>
      <c r="B270" s="24" t="inlineStr">
        <is>
          <t>DICYCLOMINE HYDROCHLORIDE TABLET ORAL 10 mg</t>
        </is>
      </c>
      <c r="C270" s="25">
        <f>IF(COUNTIF('کدهای پیام‌داروساز'!$A$2:$A$2442,A270)&gt;0,"بله","خیر")</f>
        <v/>
      </c>
    </row>
    <row r="271" ht="15" customHeight="1" s="14">
      <c r="A271" s="24" t="n">
        <v>430</v>
      </c>
      <c r="B271" s="24" t="inlineStr">
        <is>
          <t>DICYCLOMINE HYDROCHLORIDE ELIXIR ORAL 10 mg/5mL 60 mL</t>
        </is>
      </c>
      <c r="C271" s="25">
        <f>IF(COUNTIF('کدهای پیام‌داروساز'!$A$2:$A$2442,A271)&gt;0,"بله","خیر")</f>
        <v/>
      </c>
    </row>
    <row r="272" ht="15" customHeight="1" s="14">
      <c r="A272" s="24" t="n">
        <v>431</v>
      </c>
      <c r="B272" s="24" t="inlineStr">
        <is>
          <t>DICYCLOMINE HYDROCHLORIDE INJECTION PARENTERAL 10 mg/1mL 2 mL</t>
        </is>
      </c>
      <c r="C272" s="25">
        <f>IF(COUNTIF('کدهای پیام‌داروساز'!$A$2:$A$2442,A272)&gt;0,"بله","خیر")</f>
        <v/>
      </c>
    </row>
    <row r="273" ht="15" customHeight="1" s="14">
      <c r="A273" s="24" t="n">
        <v>435</v>
      </c>
      <c r="B273" s="24" t="inlineStr">
        <is>
          <t>DIGESTIVE TABLET, DELAYED RELEASE ORAL 40 mg/6000 [iU]/10500 [iU]/600 [iU]</t>
        </is>
      </c>
      <c r="C273" s="25">
        <f>IF(COUNTIF('کدهای پیام‌داروساز'!$A$2:$A$2442,A273)&gt;0,"بله","خیر")</f>
        <v/>
      </c>
    </row>
    <row r="274" ht="15" customHeight="1" s="14">
      <c r="A274" s="24" t="n">
        <v>436</v>
      </c>
      <c r="B274" s="24" t="inlineStr">
        <is>
          <t>DIGOXIN TABLET ORAL 0.25 mg</t>
        </is>
      </c>
      <c r="C274" s="25">
        <f>IF(COUNTIF('کدهای پیام‌داروساز'!$A$2:$A$2442,A274)&gt;0,"بله","خیر")</f>
        <v/>
      </c>
    </row>
    <row r="275" ht="15" customHeight="1" s="14">
      <c r="A275" s="24" t="n">
        <v>438</v>
      </c>
      <c r="B275" s="24" t="inlineStr">
        <is>
          <t>DIGOXIN INJECTION PARENTERAL 0.25 mg/1mL 2 mL</t>
        </is>
      </c>
      <c r="C275" s="25">
        <f>IF(COUNTIF('کدهای پیام‌داروساز'!$A$2:$A$2442,A275)&gt;0,"بله","خیر")</f>
        <v/>
      </c>
    </row>
    <row r="276" ht="15" customHeight="1" s="14">
      <c r="A276" s="24" t="n">
        <v>439</v>
      </c>
      <c r="B276" s="24" t="inlineStr">
        <is>
          <t>DIGOXIN ELIXIR ORAL 0.05 mg/1mL 60 mL</t>
        </is>
      </c>
      <c r="C276" s="25">
        <f>IF(COUNTIF('کدهای پیام‌داروساز'!$A$2:$A$2442,A276)&gt;0,"بله","خیر")</f>
        <v/>
      </c>
    </row>
    <row r="277" ht="15" customHeight="1" s="14">
      <c r="A277" s="24" t="n">
        <v>440</v>
      </c>
      <c r="B277" s="24" t="inlineStr">
        <is>
          <t>DIHYDROERGOTAMINE MESYLATE INJECTION PARENTERAL 1 mg/1mL</t>
        </is>
      </c>
      <c r="C277" s="25">
        <f>IF(COUNTIF('کدهای پیام‌داروساز'!$A$2:$A$2442,A277)&gt;0,"بله","خیر")</f>
        <v/>
      </c>
    </row>
    <row r="278" ht="15" customHeight="1" s="14">
      <c r="A278" s="24" t="n">
        <v>442</v>
      </c>
      <c r="B278" s="24" t="inlineStr">
        <is>
          <t>DIHYDROERGOTAMINE MESYLATE TABLET ORAL 2.5 mg</t>
        </is>
      </c>
      <c r="C278" s="25">
        <f>IF(COUNTIF('کدهای پیام‌داروساز'!$A$2:$A$2442,A278)&gt;0,"بله","خیر")</f>
        <v/>
      </c>
    </row>
    <row r="279" ht="15" customHeight="1" s="14">
      <c r="A279" s="24" t="n">
        <v>447</v>
      </c>
      <c r="B279" s="24" t="inlineStr">
        <is>
          <t>DILTIAZEM HYDROCHLORIDE TABLET ORAL 60 mg</t>
        </is>
      </c>
      <c r="C279" s="25">
        <f>IF(COUNTIF('کدهای پیام‌داروساز'!$A$2:$A$2442,A279)&gt;0,"بله","خیر")</f>
        <v/>
      </c>
    </row>
    <row r="280" ht="15" customHeight="1" s="14">
      <c r="A280" s="24" t="n">
        <v>448</v>
      </c>
      <c r="B280" s="24" t="inlineStr">
        <is>
          <t>DIMENHYDRINATE TABLET ORAL 50 mg</t>
        </is>
      </c>
      <c r="C280" s="25">
        <f>IF(COUNTIF('کدهای پیام‌داروساز'!$A$2:$A$2442,A280)&gt;0,"بله","خیر")</f>
        <v/>
      </c>
    </row>
    <row r="281" ht="15" customHeight="1" s="14">
      <c r="A281" s="24" t="n">
        <v>450</v>
      </c>
      <c r="B281" s="24" t="inlineStr">
        <is>
          <t>DIMETHYL SULFOXIDE SOLUTION PARENTERAL 50 % 50 mL</t>
        </is>
      </c>
      <c r="C281" s="25">
        <f>IF(COUNTIF('کدهای پیام‌داروساز'!$A$2:$A$2442,A281)&gt;0,"بله","خیر")</f>
        <v/>
      </c>
    </row>
    <row r="282" ht="15" customHeight="1" s="14">
      <c r="A282" s="24" t="n">
        <v>451</v>
      </c>
      <c r="B282" s="24" t="inlineStr">
        <is>
          <t>PROSTAGLANDIN E2 TABLET VAGINAL 3 mg</t>
        </is>
      </c>
      <c r="C282" s="25">
        <f>IF(COUNTIF('کدهای پیام‌داروساز'!$A$2:$A$2442,A282)&gt;0,"بله","خیر")</f>
        <v/>
      </c>
    </row>
    <row r="283" ht="15" customHeight="1" s="14">
      <c r="A283" s="24" t="n">
        <v>452</v>
      </c>
      <c r="B283" s="24" t="inlineStr">
        <is>
          <t>PROSTAGLANDIN E2 INJECTION PARENTERAL 10 mg/1mL 0.5 mL</t>
        </is>
      </c>
      <c r="C283" s="25">
        <f>IF(COUNTIF('کدهای پیام‌داروساز'!$A$2:$A$2442,A283)&gt;0,"بله","خیر")</f>
        <v/>
      </c>
    </row>
    <row r="284" ht="15" customHeight="1" s="14">
      <c r="A284" s="24" t="n">
        <v>453</v>
      </c>
      <c r="B284" s="24" t="inlineStr">
        <is>
          <t>DIPHENHYDRAMINE HYDROCHLORIDE INJECTION PARENTERAL 50 mg/1mL</t>
        </is>
      </c>
      <c r="C284" s="25">
        <f>IF(COUNTIF('کدهای پیام‌داروساز'!$A$2:$A$2442,A284)&gt;0,"بله","خیر")</f>
        <v/>
      </c>
    </row>
    <row r="285" ht="15" customHeight="1" s="14">
      <c r="A285" s="24" t="n">
        <v>454</v>
      </c>
      <c r="B285" s="24" t="inlineStr">
        <is>
          <t>DIPHENHYDRAMINE HYDROCHLORIDE SOLUTION ORAL 12.5 mg/5mL 60 mL</t>
        </is>
      </c>
      <c r="C285" s="25">
        <f>IF(COUNTIF('کدهای پیام‌داروساز'!$A$2:$A$2442,A285)&gt;0,"بله","خیر")</f>
        <v/>
      </c>
    </row>
    <row r="286" ht="15" customHeight="1" s="14">
      <c r="A286" s="24" t="n">
        <v>456</v>
      </c>
      <c r="B286" s="24" t="inlineStr">
        <is>
          <t>DIPHENHYDRAMINE / AMMONIUM CHLORIDE SYRUP ORAL 12.5 mg/125 mg/5mL 60 mL</t>
        </is>
      </c>
      <c r="C286" s="25">
        <f>IF(COUNTIF('کدهای پیام‌داروساز'!$A$2:$A$2442,A286)&gt;0,"بله","خیر")</f>
        <v/>
      </c>
    </row>
    <row r="287" ht="15" customHeight="1" s="14">
      <c r="A287" s="24" t="n">
        <v>457</v>
      </c>
      <c r="B287" s="24" t="inlineStr">
        <is>
          <t>DIPHENOXYLATE TABLET ORAL 2.5 mg</t>
        </is>
      </c>
      <c r="C287" s="25">
        <f>IF(COUNTIF('کدهای پیام‌داروساز'!$A$2:$A$2442,A287)&gt;0,"بله","خیر")</f>
        <v/>
      </c>
    </row>
    <row r="288" ht="15" customHeight="1" s="14">
      <c r="A288" s="24" t="n">
        <v>459</v>
      </c>
      <c r="B288" s="24" t="inlineStr">
        <is>
          <t>DIPYRIDAMOLE INJECTION PARENTERAL 5 mg/1mL 2 mL</t>
        </is>
      </c>
      <c r="C288" s="25">
        <f>IF(COUNTIF('کدهای پیام‌داروساز'!$A$2:$A$2442,A288)&gt;0,"بله","خیر")</f>
        <v/>
      </c>
    </row>
    <row r="289" ht="15" customHeight="1" s="14">
      <c r="A289" s="24" t="n">
        <v>460</v>
      </c>
      <c r="B289" s="24" t="inlineStr">
        <is>
          <t>DIPYRIDAMOLE TABLET ORAL 25 mg</t>
        </is>
      </c>
      <c r="C289" s="25">
        <f>IF(COUNTIF('کدهای پیام‌داروساز'!$A$2:$A$2442,A289)&gt;0,"بله","خیر")</f>
        <v/>
      </c>
    </row>
    <row r="290" ht="15" customHeight="1" s="14">
      <c r="A290" s="24" t="n">
        <v>461</v>
      </c>
      <c r="B290" s="24" t="inlineStr">
        <is>
          <t>DIPYRIDAMOLE TABLET ORAL 75 mg</t>
        </is>
      </c>
      <c r="C290" s="25">
        <f>IF(COUNTIF('کدهای پیام‌داروساز'!$A$2:$A$2442,A290)&gt;0,"بله","خیر")</f>
        <v/>
      </c>
    </row>
    <row r="291" ht="15" customHeight="1" s="14">
      <c r="A291" s="24" t="n">
        <v>466</v>
      </c>
      <c r="B291" s="24" t="inlineStr">
        <is>
          <t>DOBUTAMINE (AS HYDROCHLORIDE) INJECTION, POWDER, LYOPHILIZED, FOR SOLUTION INTRAVENOUS 250 mg</t>
        </is>
      </c>
      <c r="C291" s="25">
        <f>IF(COUNTIF('کدهای پیام‌داروساز'!$A$2:$A$2442,A291)&gt;0,"بله","خیر")</f>
        <v/>
      </c>
    </row>
    <row r="292" ht="15" customHeight="1" s="14">
      <c r="A292" s="24" t="n">
        <v>468</v>
      </c>
      <c r="B292" s="24" t="inlineStr">
        <is>
          <t>DOPAMINE HYDROCHLORIDE INJECTION PARENTERAL 40 mg/1mL 5 mL</t>
        </is>
      </c>
      <c r="C292" s="25">
        <f>IF(COUNTIF('کدهای پیام‌داروساز'!$A$2:$A$2442,A292)&gt;0,"بله","خیر")</f>
        <v/>
      </c>
    </row>
    <row r="293" ht="15" customHeight="1" s="14">
      <c r="A293" s="24" t="n">
        <v>469</v>
      </c>
      <c r="B293" s="24" t="inlineStr">
        <is>
          <t>DORZOLAMIDE (AS HYDROCHLORIDE) SOLUTION, DROPS OPHTHALMIC 2 % 5 mL</t>
        </is>
      </c>
      <c r="C293" s="25">
        <f>IF(COUNTIF('کدهای پیام‌داروساز'!$A$2:$A$2442,A293)&gt;0,"بله","خیر")</f>
        <v/>
      </c>
    </row>
    <row r="294" ht="15" customHeight="1" s="14">
      <c r="A294" s="24" t="n">
        <v>470</v>
      </c>
      <c r="B294" s="24" t="inlineStr">
        <is>
          <t>DOXEPIN (AS HYDROCHLORIDE) CAPSULE ORAL 10 mg</t>
        </is>
      </c>
      <c r="C294" s="25">
        <f>IF(COUNTIF('کدهای پیام‌داروساز'!$A$2:$A$2442,A294)&gt;0,"بله","خیر")</f>
        <v/>
      </c>
    </row>
    <row r="295" ht="15" customHeight="1" s="14">
      <c r="A295" s="24" t="n">
        <v>471</v>
      </c>
      <c r="B295" s="24" t="inlineStr">
        <is>
          <t>DOXEPIN (AS HYDROCHLORIDE) CAPSULE ORAL 25 mg</t>
        </is>
      </c>
      <c r="C295" s="25">
        <f>IF(COUNTIF('کدهای پیام‌داروساز'!$A$2:$A$2442,A295)&gt;0,"بله","خیر")</f>
        <v/>
      </c>
    </row>
    <row r="296" ht="15" customHeight="1" s="14">
      <c r="A296" s="24" t="n">
        <v>474</v>
      </c>
      <c r="B296" s="24" t="inlineStr">
        <is>
          <t>DOXYCYCLINE (AS MONOHYDRATE) CAPSULE ORAL 100 mg</t>
        </is>
      </c>
      <c r="C296" s="25">
        <f>IF(COUNTIF('کدهای پیام‌داروساز'!$A$2:$A$2442,A296)&gt;0,"بله","خیر")</f>
        <v/>
      </c>
    </row>
    <row r="297" ht="15" customHeight="1" s="14">
      <c r="A297" s="24" t="n">
        <v>478</v>
      </c>
      <c r="B297" s="24" t="inlineStr">
        <is>
          <t>ECHOTHIOPHATE IODIDE SOLUTION, DROPS OPHTHALMIC 0.25 %</t>
        </is>
      </c>
      <c r="C297" s="25">
        <f>IF(COUNTIF('کدهای پیام‌داروساز'!$A$2:$A$2442,A297)&gt;0,"بله","خیر")</f>
        <v/>
      </c>
    </row>
    <row r="298" ht="15" customHeight="1" s="14">
      <c r="A298" s="24" t="n">
        <v>482</v>
      </c>
      <c r="B298" s="24" t="inlineStr">
        <is>
          <t>ENALAPRIL MALEATE TABLET ORAL 20 mg</t>
        </is>
      </c>
      <c r="C298" s="25">
        <f>IF(COUNTIF('کدهای پیام‌داروساز'!$A$2:$A$2442,A298)&gt;0,"بله","خیر")</f>
        <v/>
      </c>
    </row>
    <row r="299" ht="15" customHeight="1" s="14">
      <c r="A299" s="24" t="n">
        <v>483</v>
      </c>
      <c r="B299" s="24" t="inlineStr">
        <is>
          <t>ENALAPRIL MALEATE TABLET ORAL 5 mg</t>
        </is>
      </c>
      <c r="C299" s="25">
        <f>IF(COUNTIF('کدهای پیام‌داروساز'!$A$2:$A$2442,A299)&gt;0,"بله","خیر")</f>
        <v/>
      </c>
    </row>
    <row r="300" ht="15" customHeight="1" s="14">
      <c r="A300" s="24" t="n">
        <v>486</v>
      </c>
      <c r="B300" s="24" t="inlineStr">
        <is>
          <t>EPHEDRINE SULFATE INJECTION PARENTERAL 50 mg/1mL 1 mL</t>
        </is>
      </c>
      <c r="C300" s="25">
        <f>IF(COUNTIF('کدهای پیام‌داروساز'!$A$2:$A$2442,A300)&gt;0,"بله","خیر")</f>
        <v/>
      </c>
    </row>
    <row r="301" ht="15" customHeight="1" s="14">
      <c r="A301" s="24" t="n">
        <v>487</v>
      </c>
      <c r="B301" s="24" t="inlineStr">
        <is>
          <t>EPHEDRINE HYDROCHLORIDE TABLET ORAL 20 mg</t>
        </is>
      </c>
      <c r="C301" s="25">
        <f>IF(COUNTIF('کدهای پیام‌داروساز'!$A$2:$A$2442,A301)&gt;0,"بله","خیر")</f>
        <v/>
      </c>
    </row>
    <row r="302" ht="15" customHeight="1" s="14">
      <c r="A302" s="24" t="n">
        <v>491</v>
      </c>
      <c r="B302" s="24" t="inlineStr">
        <is>
          <t>EPIRUBICIN HYDROCHLORIDE INJECTION, POWDER, FOR SOLUTION PARENTERAL 10 mg</t>
        </is>
      </c>
      <c r="C302" s="25">
        <f>IF(COUNTIF('کدهای پیام‌داروساز'!$A$2:$A$2442,A302)&gt;0,"بله","خیر")</f>
        <v/>
      </c>
    </row>
    <row r="303" ht="15" customHeight="1" s="14">
      <c r="A303" s="24" t="n">
        <v>492</v>
      </c>
      <c r="B303" s="24" t="inlineStr">
        <is>
          <t>EPIRUBICIN HYDROCHLORIDE INJECTION, POWDER, FOR SOLUTION PARENTERAL 50 mg</t>
        </is>
      </c>
      <c r="C303" s="25">
        <f>IF(COUNTIF('کدهای پیام‌داروساز'!$A$2:$A$2442,A303)&gt;0,"بله","خیر")</f>
        <v/>
      </c>
    </row>
    <row r="304" ht="15" customHeight="1" s="14">
      <c r="A304" s="24" t="n">
        <v>493</v>
      </c>
      <c r="B304" s="24" t="inlineStr">
        <is>
          <t>ERGOTAMINE TARTRATE / CAFFEINE TABLET ORAL 1 mg/100 mg</t>
        </is>
      </c>
      <c r="C304" s="25">
        <f>IF(COUNTIF('کدهای پیام‌داروساز'!$A$2:$A$2442,A304)&gt;0,"بله","خیر")</f>
        <v/>
      </c>
    </row>
    <row r="305" ht="15" customHeight="1" s="14">
      <c r="A305" s="24" t="n">
        <v>495</v>
      </c>
      <c r="B305" s="24" t="inlineStr">
        <is>
          <t>ERYTHROMYCIN TABLET ORAL 200 mg</t>
        </is>
      </c>
      <c r="C305" s="25">
        <f>IF(COUNTIF('کدهای پیام‌داروساز'!$A$2:$A$2442,A305)&gt;0,"بله","خیر")</f>
        <v/>
      </c>
    </row>
    <row r="306" ht="15" customHeight="1" s="14">
      <c r="A306" s="24" t="n">
        <v>496</v>
      </c>
      <c r="B306" s="24" t="inlineStr">
        <is>
          <t>ERYTHROMYCIN TABLET ORAL 400 mg</t>
        </is>
      </c>
      <c r="C306" s="25">
        <f>IF(COUNTIF('کدهای پیام‌داروساز'!$A$2:$A$2442,A306)&gt;0,"بله","خیر")</f>
        <v/>
      </c>
    </row>
    <row r="307" ht="15" customHeight="1" s="14">
      <c r="A307" s="24" t="n">
        <v>497</v>
      </c>
      <c r="B307" s="24" t="inlineStr">
        <is>
          <t>ERYTHROMYCIN POWDER, FOR SUSPENSION ORAL 200 mg/5mL 100 mL</t>
        </is>
      </c>
      <c r="C307" s="25">
        <f>IF(COUNTIF('کدهای پیام‌داروساز'!$A$2:$A$2442,A307)&gt;0,"بله","خیر")</f>
        <v/>
      </c>
    </row>
    <row r="308" ht="15" customHeight="1" s="14">
      <c r="A308" s="24" t="n">
        <v>499</v>
      </c>
      <c r="B308" s="24" t="inlineStr">
        <is>
          <t>ERYTHROMYCIN OINTMENT OPHTHALMIC 0.5 % 3 g</t>
        </is>
      </c>
      <c r="C308" s="25">
        <f>IF(COUNTIF('کدهای پیام‌داروساز'!$A$2:$A$2442,A308)&gt;0,"بله","خیر")</f>
        <v/>
      </c>
    </row>
    <row r="309" ht="15" customHeight="1" s="14">
      <c r="A309" s="24" t="n">
        <v>500</v>
      </c>
      <c r="B309" s="24" t="inlineStr">
        <is>
          <t>ERYTHROMYCIN INJECTION, POWDER, FOR SOLUTION PARENTERAL 1 g</t>
        </is>
      </c>
      <c r="C309" s="25">
        <f>IF(COUNTIF('کدهای پیام‌داروساز'!$A$2:$A$2442,A309)&gt;0,"بله","خیر")</f>
        <v/>
      </c>
    </row>
    <row r="310" ht="15" customHeight="1" s="14">
      <c r="A310" s="24" t="n">
        <v>501</v>
      </c>
      <c r="B310" s="24" t="inlineStr">
        <is>
          <t>EPOETIN INJECTION PARENTERAL 2000 [iU]/1mL</t>
        </is>
      </c>
      <c r="C310" s="25">
        <f>IF(COUNTIF('کدهای پیام‌داروساز'!$A$2:$A$2442,A310)&gt;0,"بله","خیر")</f>
        <v/>
      </c>
    </row>
    <row r="311" ht="15" customHeight="1" s="14">
      <c r="A311" s="24" t="n">
        <v>502</v>
      </c>
      <c r="B311" s="24" t="inlineStr">
        <is>
          <t>ESTRADIOL VALERATE INJECTION PARENTERAL 10 mg/1mL</t>
        </is>
      </c>
      <c r="C311" s="25">
        <f>IF(COUNTIF('کدهای پیام‌داروساز'!$A$2:$A$2442,A311)&gt;0,"بله","خیر")</f>
        <v/>
      </c>
    </row>
    <row r="312" ht="15" customHeight="1" s="14">
      <c r="A312" s="24" t="n">
        <v>503</v>
      </c>
      <c r="B312" s="24" t="inlineStr">
        <is>
          <t>ESTRADIOL VALERATE TABLET ORAL 1 mg</t>
        </is>
      </c>
      <c r="C312" s="25">
        <f>IF(COUNTIF('کدهای پیام‌داروساز'!$A$2:$A$2442,A312)&gt;0,"بله","خیر")</f>
        <v/>
      </c>
    </row>
    <row r="313" ht="15" customHeight="1" s="14">
      <c r="A313" s="24" t="n">
        <v>504</v>
      </c>
      <c r="B313" s="24" t="inlineStr">
        <is>
          <t>ESTRADIOL VALERATE TABLET ORAL 2 mg</t>
        </is>
      </c>
      <c r="C313" s="25">
        <f>IF(COUNTIF('کدهای پیام‌داروساز'!$A$2:$A$2442,A313)&gt;0,"بله","خیر")</f>
        <v/>
      </c>
    </row>
    <row r="314" ht="15" customHeight="1" s="14">
      <c r="A314" s="24" t="n">
        <v>505</v>
      </c>
      <c r="B314" s="24" t="inlineStr">
        <is>
          <t>ESTRAMUSTINE SODIUM PHOSPHATE CAPSULE ORAL 140 mg</t>
        </is>
      </c>
      <c r="C314" s="25">
        <f>IF(COUNTIF('کدهای پیام‌داروساز'!$A$2:$A$2442,A314)&gt;0,"بله","خیر")</f>
        <v/>
      </c>
    </row>
    <row r="315" ht="15" customHeight="1" s="14">
      <c r="A315" s="24" t="n">
        <v>508</v>
      </c>
      <c r="B315" s="24" t="inlineStr">
        <is>
          <t>ETHAMBUTOL HYDROCHLORIDE TABLET ORAL 400 mg</t>
        </is>
      </c>
      <c r="C315" s="25">
        <f>IF(COUNTIF('کدهای پیام‌داروساز'!$A$2:$A$2442,A315)&gt;0,"بله","خیر")</f>
        <v/>
      </c>
    </row>
    <row r="316" ht="15" customHeight="1" s="14">
      <c r="A316" s="24" t="n">
        <v>511</v>
      </c>
      <c r="B316" s="24" t="inlineStr">
        <is>
          <t>ETHINYLESTRADIOL TABLET ORAL 0.05 mg</t>
        </is>
      </c>
      <c r="C316" s="25">
        <f>IF(COUNTIF('کدهای پیام‌داروساز'!$A$2:$A$2442,A316)&gt;0,"بله","خیر")</f>
        <v/>
      </c>
    </row>
    <row r="317" ht="15" customHeight="1" s="14">
      <c r="A317" s="24" t="n">
        <v>512</v>
      </c>
      <c r="B317" s="24" t="inlineStr">
        <is>
          <t>ETHINYLESTRADIOL TABLET ORAL 0.5 mg</t>
        </is>
      </c>
      <c r="C317" s="25">
        <f>IF(COUNTIF('کدهای پیام‌داروساز'!$A$2:$A$2442,A317)&gt;0,"بله","خیر")</f>
        <v/>
      </c>
    </row>
    <row r="318" ht="15" customHeight="1" s="14">
      <c r="A318" s="24" t="n">
        <v>513</v>
      </c>
      <c r="B318" s="24" t="inlineStr">
        <is>
          <t>ETHOSUXIMIDE SYRUP ORAL 250 mg/5mL 240 mL</t>
        </is>
      </c>
      <c r="C318" s="25">
        <f>IF(COUNTIF('کدهای پیام‌داروساز'!$A$2:$A$2442,A318)&gt;0,"بله","خیر")</f>
        <v/>
      </c>
    </row>
    <row r="319" ht="15" customHeight="1" s="14">
      <c r="A319" s="24" t="n">
        <v>514</v>
      </c>
      <c r="B319" s="24" t="inlineStr">
        <is>
          <t>ETHOSUXIMIDE CAPSULE ORAL 250 mg</t>
        </is>
      </c>
      <c r="C319" s="25">
        <f>IF(COUNTIF('کدهای پیام‌داروساز'!$A$2:$A$2442,A319)&gt;0,"بله","خیر")</f>
        <v/>
      </c>
    </row>
    <row r="320" ht="15" customHeight="1" s="14">
      <c r="A320" s="24" t="n">
        <v>517</v>
      </c>
      <c r="B320" s="24" t="inlineStr">
        <is>
          <t>ETOPOSIDE CAPSULE ORAL 100 mg</t>
        </is>
      </c>
      <c r="C320" s="25">
        <f>IF(COUNTIF('کدهای پیام‌داروساز'!$A$2:$A$2442,A320)&gt;0,"بله","خیر")</f>
        <v/>
      </c>
    </row>
    <row r="321" ht="15" customHeight="1" s="14">
      <c r="A321" s="24" t="n">
        <v>518</v>
      </c>
      <c r="B321" s="24" t="inlineStr">
        <is>
          <t>ETOPOSIDE INJECTION, SOLUTION INTRAVENOUS 20 mg/1mL 5 mL</t>
        </is>
      </c>
      <c r="C321" s="25">
        <f>IF(COUNTIF('کدهای پیام‌داروساز'!$A$2:$A$2442,A321)&gt;0,"بله","خیر")</f>
        <v/>
      </c>
    </row>
    <row r="322" ht="15" customHeight="1" s="14">
      <c r="A322" s="24" t="n">
        <v>520</v>
      </c>
      <c r="B322" s="24" t="inlineStr">
        <is>
          <t>ETOPOSIDE CAPSULE ORAL 50 mg</t>
        </is>
      </c>
      <c r="C322" s="25">
        <f>IF(COUNTIF('کدهای پیام‌داروساز'!$A$2:$A$2442,A322)&gt;0,"بله","خیر")</f>
        <v/>
      </c>
    </row>
    <row r="323" ht="15" customHeight="1" s="14">
      <c r="A323" s="24" t="n">
        <v>523</v>
      </c>
      <c r="B323" s="24" t="inlineStr">
        <is>
          <t>EXPECTORANT SYRUP ORAL 100 mg/2 mg/30 mg/5mL 60 mL</t>
        </is>
      </c>
      <c r="C323" s="25">
        <f>IF(COUNTIF('کدهای پیام‌داروساز'!$A$2:$A$2442,A323)&gt;0,"بله","خیر")</f>
        <v/>
      </c>
    </row>
    <row r="324" ht="15" customHeight="1" s="14">
      <c r="A324" s="24" t="n">
        <v>524</v>
      </c>
      <c r="B324" s="24" t="inlineStr">
        <is>
          <t>EXPECTORANT CODEINE SYRUP ORAL 100 mg/30 mg/10 mg/5 mL 60 mL</t>
        </is>
      </c>
      <c r="C324" s="25">
        <f>IF(COUNTIF('کدهای پیام‌داروساز'!$A$2:$A$2442,A324)&gt;0,"بله","خیر")</f>
        <v/>
      </c>
    </row>
    <row r="325" ht="15" customHeight="1" s="14">
      <c r="A325" s="24" t="n">
        <v>527</v>
      </c>
      <c r="B325" s="24" t="inlineStr">
        <is>
          <t>FAMOTIDINE TABLET ORAL 20 mg</t>
        </is>
      </c>
      <c r="C325" s="25">
        <f>IF(COUNTIF('کدهای پیام‌داروساز'!$A$2:$A$2442,A325)&gt;0,"بله","خیر")</f>
        <v/>
      </c>
    </row>
    <row r="326" ht="15" customHeight="1" s="14">
      <c r="A326" s="24" t="n">
        <v>528</v>
      </c>
      <c r="B326" s="24" t="inlineStr">
        <is>
          <t>FAMOTIDINE TABLET ORAL 40 mg</t>
        </is>
      </c>
      <c r="C326" s="25">
        <f>IF(COUNTIF('کدهای پیام‌داروساز'!$A$2:$A$2442,A326)&gt;0,"بله","خیر")</f>
        <v/>
      </c>
    </row>
    <row r="327" ht="15" customHeight="1" s="14">
      <c r="A327" s="24" t="n">
        <v>532</v>
      </c>
      <c r="B327" s="24" t="inlineStr">
        <is>
          <t>FIBRINOGEN INJECTION, POWDER, FOR SOLUTION PARENTERAL 1 g</t>
        </is>
      </c>
      <c r="C327" s="25">
        <f>IF(COUNTIF('کدهای پیام‌داروساز'!$A$2:$A$2442,A327)&gt;0,"بله","خیر")</f>
        <v/>
      </c>
    </row>
    <row r="328" ht="15" customHeight="1" s="14">
      <c r="A328" s="24" t="n">
        <v>533</v>
      </c>
      <c r="B328" s="24" t="inlineStr">
        <is>
          <t>FIBRINOLYSIN / DESOXYRIBONUCLEASE OINTMENT TOPICAL 1 [iU]/666 [iU]</t>
        </is>
      </c>
      <c r="C328" s="25">
        <f>IF(COUNTIF('کدهای پیام‌داروساز'!$A$2:$A$2442,A328)&gt;0,"بله","خیر")</f>
        <v/>
      </c>
    </row>
    <row r="329" ht="15" customHeight="1" s="14">
      <c r="A329" s="24" t="n">
        <v>534</v>
      </c>
      <c r="B329" s="24" t="inlineStr">
        <is>
          <t>FILGRASTIM INJECTION PARENTERAL 300 ug/1mL</t>
        </is>
      </c>
      <c r="C329" s="25">
        <f>IF(COUNTIF('کدهای پیام‌داروساز'!$A$2:$A$2442,A329)&gt;0,"بله","خیر")</f>
        <v/>
      </c>
    </row>
    <row r="330" ht="15" customHeight="1" s="14">
      <c r="A330" s="24" t="n">
        <v>535</v>
      </c>
      <c r="B330" s="24" t="inlineStr">
        <is>
          <t>FINASTERIDE TABLET ORAL 5 mg</t>
        </is>
      </c>
      <c r="C330" s="25">
        <f>IF(COUNTIF('کدهای پیام‌داروساز'!$A$2:$A$2442,A330)&gt;0,"بله","خیر")</f>
        <v/>
      </c>
    </row>
    <row r="331" ht="15" customHeight="1" s="14">
      <c r="A331" s="24" t="n">
        <v>536</v>
      </c>
      <c r="B331" s="24" t="inlineStr">
        <is>
          <t>FLECAINIDE ACETATE TABLET ORAL 100 mg</t>
        </is>
      </c>
      <c r="C331" s="25">
        <f>IF(COUNTIF('کدهای پیام‌داروساز'!$A$2:$A$2442,A331)&gt;0,"بله","خیر")</f>
        <v/>
      </c>
    </row>
    <row r="332" ht="15" customHeight="1" s="14">
      <c r="A332" s="24" t="n">
        <v>537</v>
      </c>
      <c r="B332" s="24" t="inlineStr">
        <is>
          <t>FLUCONAZOLE CAPSULE ORAL 100 mg</t>
        </is>
      </c>
      <c r="C332" s="25">
        <f>IF(COUNTIF('کدهای پیام‌داروساز'!$A$2:$A$2442,A332)&gt;0,"بله","خیر")</f>
        <v/>
      </c>
    </row>
    <row r="333" ht="15" customHeight="1" s="14">
      <c r="A333" s="24" t="n">
        <v>538</v>
      </c>
      <c r="B333" s="24" t="inlineStr">
        <is>
          <t>FLUCONAZOLE CAPSULE ORAL 150 mg</t>
        </is>
      </c>
      <c r="C333" s="25">
        <f>IF(COUNTIF('کدهای پیام‌داروساز'!$A$2:$A$2442,A333)&gt;0,"بله","خیر")</f>
        <v/>
      </c>
    </row>
    <row r="334" ht="15" customHeight="1" s="14">
      <c r="A334" s="24" t="n">
        <v>540</v>
      </c>
      <c r="B334" s="24" t="inlineStr">
        <is>
          <t>FLUCONAZOLE CAPSULE ORAL 50 mg</t>
        </is>
      </c>
      <c r="C334" s="25">
        <f>IF(COUNTIF('کدهای پیام‌داروساز'!$A$2:$A$2442,A334)&gt;0,"بله","خیر")</f>
        <v/>
      </c>
    </row>
    <row r="335" ht="15" customHeight="1" s="14">
      <c r="A335" s="24" t="n">
        <v>541</v>
      </c>
      <c r="B335" s="24" t="inlineStr">
        <is>
          <t>FLUCYTOSINE TABLET ORAL 500 mg</t>
        </is>
      </c>
      <c r="C335" s="25">
        <f>IF(COUNTIF('کدهای پیام‌داروساز'!$A$2:$A$2442,A335)&gt;0,"بله","خیر")</f>
        <v/>
      </c>
    </row>
    <row r="336" ht="15" customHeight="1" s="14">
      <c r="A336" s="24" t="n">
        <v>542</v>
      </c>
      <c r="B336" s="24" t="inlineStr">
        <is>
          <t>FLUDARABINE PHOSPHATE INJECTION, POWDER, FOR SOLUTION INTRAVENOUS 50 mg</t>
        </is>
      </c>
      <c r="C336" s="25">
        <f>IF(COUNTIF('کدهای پیام‌داروساز'!$A$2:$A$2442,A336)&gt;0,"بله","خیر")</f>
        <v/>
      </c>
    </row>
    <row r="337" ht="15" customHeight="1" s="14">
      <c r="A337" s="24" t="n">
        <v>543</v>
      </c>
      <c r="B337" s="24" t="inlineStr">
        <is>
          <t>FLUDROCORTISONE ACETATE TABLET ORAL 0.1 mg</t>
        </is>
      </c>
      <c r="C337" s="25">
        <f>IF(COUNTIF('کدهای پیام‌داروساز'!$A$2:$A$2442,A337)&gt;0,"بله","خیر")</f>
        <v/>
      </c>
    </row>
    <row r="338" ht="15" customHeight="1" s="14">
      <c r="A338" s="24" t="n">
        <v>544</v>
      </c>
      <c r="B338" s="24" t="inlineStr">
        <is>
          <t>FLUMAZENIL INJECTION PARENTERAL 0.1 mg/1mL 5 mL</t>
        </is>
      </c>
      <c r="C338" s="25">
        <f>IF(COUNTIF('کدهای پیام‌داروساز'!$A$2:$A$2442,A338)&gt;0,"بله","خیر")</f>
        <v/>
      </c>
    </row>
    <row r="339" ht="15" customHeight="1" s="14">
      <c r="A339" s="24" t="n">
        <v>545</v>
      </c>
      <c r="B339" s="24" t="inlineStr">
        <is>
          <t>FLUOCINOLONE ACETONIDE OINTMENT TOPICAL 0.025 % 15 g</t>
        </is>
      </c>
      <c r="C339" s="25">
        <f>IF(COUNTIF('کدهای پیام‌داروساز'!$A$2:$A$2442,A339)&gt;0,"بله","خیر")</f>
        <v/>
      </c>
    </row>
    <row r="340" ht="15" customHeight="1" s="14">
      <c r="A340" s="24" t="n">
        <v>546</v>
      </c>
      <c r="B340" s="24" t="inlineStr">
        <is>
          <t>FLUOCINOLONE ACETONIDE CREAM TOPICAL 0.025 % 15 g</t>
        </is>
      </c>
      <c r="C340" s="25">
        <f>IF(COUNTIF('کدهای پیام‌داروساز'!$A$2:$A$2442,A340)&gt;0,"بله","خیر")</f>
        <v/>
      </c>
    </row>
    <row r="341" ht="15" customHeight="1" s="14">
      <c r="A341" s="24" t="n">
        <v>547</v>
      </c>
      <c r="B341" s="24" t="inlineStr">
        <is>
          <t>FLUORESCEIN SODIUM INJECTION PARENTERAL 10 % 5 mL</t>
        </is>
      </c>
      <c r="C341" s="25">
        <f>IF(COUNTIF('کدهای پیام‌داروساز'!$A$2:$A$2442,A341)&gt;0,"بله","خیر")</f>
        <v/>
      </c>
    </row>
    <row r="342" ht="15" customHeight="1" s="14">
      <c r="A342" s="24" t="n">
        <v>548</v>
      </c>
      <c r="B342" s="24" t="inlineStr">
        <is>
          <t>FLUOROMETHOLONE SUSPENSION, DROPS OPHTHALMIC 0.1 % 5 mL</t>
        </is>
      </c>
      <c r="C342" s="25">
        <f>IF(COUNTIF('کدهای پیام‌داروساز'!$A$2:$A$2442,A342)&gt;0,"بله","خیر")</f>
        <v/>
      </c>
    </row>
    <row r="343" ht="15" customHeight="1" s="14">
      <c r="A343" s="24" t="n">
        <v>549</v>
      </c>
      <c r="B343" s="24" t="inlineStr">
        <is>
          <t>FLUOROURACIL CREAM TOPICAL 5 % 20 g</t>
        </is>
      </c>
      <c r="C343" s="25">
        <f>IF(COUNTIF('کدهای پیام‌داروساز'!$A$2:$A$2442,A343)&gt;0,"بله","خیر")</f>
        <v/>
      </c>
    </row>
    <row r="344" ht="15" customHeight="1" s="14">
      <c r="A344" s="24" t="n">
        <v>550</v>
      </c>
      <c r="B344" s="24" t="inlineStr">
        <is>
          <t>FLUOROURACIL INJECTION PARENTERAL 50 mg/1mL 5 mL</t>
        </is>
      </c>
      <c r="C344" s="25">
        <f>IF(COUNTIF('کدهای پیام‌داروساز'!$A$2:$A$2442,A344)&gt;0,"بله","خیر")</f>
        <v/>
      </c>
    </row>
    <row r="345" ht="15" customHeight="1" s="14">
      <c r="A345" s="24" t="n">
        <v>551</v>
      </c>
      <c r="B345" s="24" t="inlineStr">
        <is>
          <t>FLUOXETINE (AS HYDROCHLORIDE) CAPSULE ORAL 20 mg</t>
        </is>
      </c>
      <c r="C345" s="25">
        <f>IF(COUNTIF('کدهای پیام‌داروساز'!$A$2:$A$2442,A345)&gt;0,"بله","خیر")</f>
        <v/>
      </c>
    </row>
    <row r="346" ht="15" customHeight="1" s="14">
      <c r="A346" s="24" t="n">
        <v>553</v>
      </c>
      <c r="B346" s="24" t="inlineStr">
        <is>
          <t>FLUPHENAZINE TABLET ORAL 1 mg 1 mL</t>
        </is>
      </c>
      <c r="C346" s="25">
        <f>IF(COUNTIF('کدهای پیام‌داروساز'!$A$2:$A$2442,A346)&gt;0,"بله","خیر")</f>
        <v/>
      </c>
    </row>
    <row r="347" ht="15" customHeight="1" s="14">
      <c r="A347" s="24" t="n">
        <v>554</v>
      </c>
      <c r="B347" s="24" t="inlineStr">
        <is>
          <t>FLUPHENAZINE TABLET ORAL 2.5 mg</t>
        </is>
      </c>
      <c r="C347" s="25">
        <f>IF(COUNTIF('کدهای پیام‌داروساز'!$A$2:$A$2442,A347)&gt;0,"بله","خیر")</f>
        <v/>
      </c>
    </row>
    <row r="348" ht="15" customHeight="1" s="14">
      <c r="A348" s="24" t="n">
        <v>555</v>
      </c>
      <c r="B348" s="24" t="inlineStr">
        <is>
          <t>FLUPHENAZINE DECANOATE INJECTION PARENTERAL 25 mg/1mL</t>
        </is>
      </c>
      <c r="C348" s="25">
        <f>IF(COUNTIF('کدهای پیام‌داروساز'!$A$2:$A$2442,A348)&gt;0,"بله","خیر")</f>
        <v/>
      </c>
    </row>
    <row r="349" ht="15" customHeight="1" s="14">
      <c r="A349" s="24" t="n">
        <v>558</v>
      </c>
      <c r="B349" s="24" t="inlineStr">
        <is>
          <t>FLURAZEPAM CAPSULE ORAL 15 mg</t>
        </is>
      </c>
      <c r="C349" s="25">
        <f>IF(COUNTIF('کدهای پیام‌داروساز'!$A$2:$A$2442,A349)&gt;0,"بله","خیر")</f>
        <v/>
      </c>
    </row>
    <row r="350" ht="15" customHeight="1" s="14">
      <c r="A350" s="24" t="n">
        <v>560</v>
      </c>
      <c r="B350" s="24" t="inlineStr">
        <is>
          <t>FLUTAMIDE TABLET ORAL 250 mg</t>
        </is>
      </c>
      <c r="C350" s="25">
        <f>IF(COUNTIF('کدهای پیام‌داروساز'!$A$2:$A$2442,A350)&gt;0,"بله","خیر")</f>
        <v/>
      </c>
    </row>
    <row r="351" ht="15" customHeight="1" s="14">
      <c r="A351" s="24" t="n">
        <v>562</v>
      </c>
      <c r="B351" s="24" t="inlineStr">
        <is>
          <t>FOLIC ACID TABLET ORAL 1 mg</t>
        </is>
      </c>
      <c r="C351" s="25">
        <f>IF(COUNTIF('کدهای پیام‌داروساز'!$A$2:$A$2442,A351)&gt;0,"بله","خیر")</f>
        <v/>
      </c>
    </row>
    <row r="352" ht="15" customHeight="1" s="14">
      <c r="A352" s="24" t="n">
        <v>568</v>
      </c>
      <c r="B352" s="24" t="inlineStr">
        <is>
          <t>FURAZOLIDONE TABLET ORAL 100 mg</t>
        </is>
      </c>
      <c r="C352" s="25">
        <f>IF(COUNTIF('کدهای پیام‌داروساز'!$A$2:$A$2442,A352)&gt;0,"بله","خیر")</f>
        <v/>
      </c>
    </row>
    <row r="353" ht="15" customHeight="1" s="14">
      <c r="A353" s="24" t="n">
        <v>569</v>
      </c>
      <c r="B353" s="24" t="inlineStr">
        <is>
          <t>FURAZOLIDONE SUSPENSION ORAL 50 mg/15mL 120 mL</t>
        </is>
      </c>
      <c r="C353" s="25">
        <f>IF(COUNTIF('کدهای پیام‌داروساز'!$A$2:$A$2442,A353)&gt;0,"بله","خیر")</f>
        <v/>
      </c>
    </row>
    <row r="354" ht="15" customHeight="1" s="14">
      <c r="A354" s="24" t="n">
        <v>571</v>
      </c>
      <c r="B354" s="24" t="inlineStr">
        <is>
          <t>FUROSEMIDE TABLET ORAL 40 mg</t>
        </is>
      </c>
      <c r="C354" s="25">
        <f>IF(COUNTIF('کدهای پیام‌داروساز'!$A$2:$A$2442,A354)&gt;0,"بله","خیر")</f>
        <v/>
      </c>
    </row>
    <row r="355" ht="15" customHeight="1" s="14">
      <c r="A355" s="24" t="n">
        <v>572</v>
      </c>
      <c r="B355" s="24" t="inlineStr">
        <is>
          <t>GABAPENTIN CAPSULE ORAL 100 mg</t>
        </is>
      </c>
      <c r="C355" s="25">
        <f>IF(COUNTIF('کدهای پیام‌داروساز'!$A$2:$A$2442,A355)&gt;0,"بله","خیر")</f>
        <v/>
      </c>
    </row>
    <row r="356" ht="15" customHeight="1" s="14">
      <c r="A356" s="24" t="n">
        <v>573</v>
      </c>
      <c r="B356" s="24" t="inlineStr">
        <is>
          <t>GABAPENTIN CAPSULE ORAL 300 mg</t>
        </is>
      </c>
      <c r="C356" s="25">
        <f>IF(COUNTIF('کدهای پیام‌داروساز'!$A$2:$A$2442,A356)&gt;0,"بله","خیر")</f>
        <v/>
      </c>
    </row>
    <row r="357" ht="15" customHeight="1" s="14">
      <c r="A357" s="24" t="n">
        <v>574</v>
      </c>
      <c r="B357" s="24" t="inlineStr">
        <is>
          <t>GABAPENTIN CAPSULE ORAL 400 mg</t>
        </is>
      </c>
      <c r="C357" s="25">
        <f>IF(COUNTIF('کدهای پیام‌داروساز'!$A$2:$A$2442,A357)&gt;0,"بله","خیر")</f>
        <v/>
      </c>
    </row>
    <row r="358" ht="15" customHeight="1" s="14">
      <c r="A358" s="24" t="n">
        <v>575</v>
      </c>
      <c r="B358" s="24" t="inlineStr">
        <is>
          <t>GADOPENTETATE DIMEGLUMINE INJECTION PARENTERAL 469 mg/1mL 15 mL</t>
        </is>
      </c>
      <c r="C358" s="25">
        <f>IF(COUNTIF('کدهای پیام‌داروساز'!$A$2:$A$2442,A358)&gt;0,"بله","خیر")</f>
        <v/>
      </c>
    </row>
    <row r="359" ht="15" customHeight="1" s="14">
      <c r="A359" s="24" t="n">
        <v>577</v>
      </c>
      <c r="B359" s="24" t="inlineStr">
        <is>
          <t>LINDANE LOTION TOPICAL 1 % 60 mL</t>
        </is>
      </c>
      <c r="C359" s="25">
        <f>IF(COUNTIF('کدهای پیام‌داروساز'!$A$2:$A$2442,A359)&gt;0,"بله","خیر")</f>
        <v/>
      </c>
    </row>
    <row r="360" ht="15" customHeight="1" s="14">
      <c r="A360" s="24" t="n">
        <v>578</v>
      </c>
      <c r="B360" s="24" t="inlineStr">
        <is>
          <t>LINDANE SHAMPOO TOPICAL 1 % 60 mL</t>
        </is>
      </c>
      <c r="C360" s="25">
        <f>IF(COUNTIF('کدهای پیام‌داروساز'!$A$2:$A$2442,A360)&gt;0,"بله","خیر")</f>
        <v/>
      </c>
    </row>
    <row r="361" ht="15" customHeight="1" s="14">
      <c r="A361" s="24" t="n">
        <v>581</v>
      </c>
      <c r="B361" s="24" t="inlineStr">
        <is>
          <t>GANCICLOVIR INJECTION, POWDER, LYOPHILIZED, FOR SOLUTION PARENTERAL 500 mg</t>
        </is>
      </c>
      <c r="C361" s="25">
        <f>IF(COUNTIF('کدهای پیام‌داروساز'!$A$2:$A$2442,A361)&gt;0,"بله","خیر")</f>
        <v/>
      </c>
    </row>
    <row r="362" ht="15" customHeight="1" s="14">
      <c r="A362" s="24" t="n">
        <v>583</v>
      </c>
      <c r="B362" s="24" t="inlineStr">
        <is>
          <t>GELATIN MODIFIED INJECTION, SOLUTION INTRAVENOUS 3 % 500 mL</t>
        </is>
      </c>
      <c r="C362" s="25">
        <f>IF(COUNTIF('کدهای پیام‌داروساز'!$A$2:$A$2442,A362)&gt;0,"بله","خیر")</f>
        <v/>
      </c>
    </row>
    <row r="363" ht="15" customHeight="1" s="14">
      <c r="A363" s="24" t="n">
        <v>584</v>
      </c>
      <c r="B363" s="24" t="inlineStr">
        <is>
          <t>GEMFIBROZIL CAPSULE ORAL 300 mg</t>
        </is>
      </c>
      <c r="C363" s="25">
        <f>IF(COUNTIF('کدهای پیام‌داروساز'!$A$2:$A$2442,A363)&gt;0,"بله","خیر")</f>
        <v/>
      </c>
    </row>
    <row r="364" ht="15" customHeight="1" s="14">
      <c r="A364" s="24" t="n">
        <v>587</v>
      </c>
      <c r="B364" s="24" t="inlineStr">
        <is>
          <t>GENTAMICIN INJECTION PARENTERAL 10 mg/1mL 2 mL</t>
        </is>
      </c>
      <c r="C364" s="25">
        <f>IF(COUNTIF('کدهای پیام‌داروساز'!$A$2:$A$2442,A364)&gt;0,"بله","خیر")</f>
        <v/>
      </c>
    </row>
    <row r="365" ht="15" customHeight="1" s="14">
      <c r="A365" s="24" t="n">
        <v>588</v>
      </c>
      <c r="B365" s="24" t="inlineStr">
        <is>
          <t>GENTAMICIN OINTMENT OPHTHALMIC 3 mg/1g 3 g</t>
        </is>
      </c>
      <c r="C365" s="25">
        <f>IF(COUNTIF('کدهای پیام‌داروساز'!$A$2:$A$2442,A365)&gt;0,"بله","خیر")</f>
        <v/>
      </c>
    </row>
    <row r="366" ht="15" customHeight="1" s="14">
      <c r="A366" s="24" t="n">
        <v>589</v>
      </c>
      <c r="B366" s="24" t="inlineStr">
        <is>
          <t>GENTAMICIN SOLUTION, DROPS OPHTHALMIC 3 mg/1mL 5 mL</t>
        </is>
      </c>
      <c r="C366" s="25">
        <f>IF(COUNTIF('کدهای پیام‌داروساز'!$A$2:$A$2442,A366)&gt;0,"بله","خیر")</f>
        <v/>
      </c>
    </row>
    <row r="367" ht="15" customHeight="1" s="14">
      <c r="A367" s="24" t="n">
        <v>590</v>
      </c>
      <c r="B367" s="24" t="inlineStr">
        <is>
          <t>GENTAMICIN INJECTION PARENTERAL 40 mg/1mL 1 mL</t>
        </is>
      </c>
      <c r="C367" s="25">
        <f>IF(COUNTIF('کدهای پیام‌داروساز'!$A$2:$A$2442,A367)&gt;0,"بله","خیر")</f>
        <v/>
      </c>
    </row>
    <row r="368" ht="15" customHeight="1" s="14">
      <c r="A368" s="24" t="n">
        <v>592</v>
      </c>
      <c r="B368" s="24" t="inlineStr">
        <is>
          <t>GENTAMICIN INJECTION PARENTERAL 40 mg/1mL 2 mL</t>
        </is>
      </c>
      <c r="C368" s="25">
        <f>IF(COUNTIF('کدهای پیام‌داروساز'!$A$2:$A$2442,A368)&gt;0,"بله","خیر")</f>
        <v/>
      </c>
    </row>
    <row r="369" ht="15" customHeight="1" s="14">
      <c r="A369" s="24" t="n">
        <v>595</v>
      </c>
      <c r="B369" s="24" t="inlineStr">
        <is>
          <t>GLIBENCLAMIDE TABLET ORAL 5 mg</t>
        </is>
      </c>
      <c r="C369" s="25">
        <f>IF(COUNTIF('کدهای پیام‌داروساز'!$A$2:$A$2442,A369)&gt;0,"بله","خیر")</f>
        <v/>
      </c>
    </row>
    <row r="370" ht="15" customHeight="1" s="14">
      <c r="A370" s="24" t="n">
        <v>597</v>
      </c>
      <c r="B370" s="24" t="inlineStr">
        <is>
          <t>GLUCAGON INJECTION, POWDER, FOR SOLUTION PARENTERAL 1 mg</t>
        </is>
      </c>
      <c r="C370" s="25">
        <f>IF(COUNTIF('کدهای پیام‌داروساز'!$A$2:$A$2442,A370)&gt;0,"بله","خیر")</f>
        <v/>
      </c>
    </row>
    <row r="371" ht="15" customHeight="1" s="14">
      <c r="A371" s="24" t="n">
        <v>601</v>
      </c>
      <c r="B371" s="24" t="inlineStr">
        <is>
          <t>GLYCINE SOLUTION IRRIGATION 1.5 % 3000 mL</t>
        </is>
      </c>
      <c r="C371" s="25">
        <f>IF(COUNTIF('کدهای پیام‌داروساز'!$A$2:$A$2442,A371)&gt;0,"بله","خیر")</f>
        <v/>
      </c>
    </row>
    <row r="372" ht="15" customHeight="1" s="14">
      <c r="A372" s="24" t="n">
        <v>604</v>
      </c>
      <c r="B372" s="24" t="inlineStr">
        <is>
          <t>GONADORELIN INJECTION, POWDER, FOR SOLUTION PARENTERAL 100 ug</t>
        </is>
      </c>
      <c r="C372" s="25">
        <f>IF(COUNTIF('کدهای پیام‌داروساز'!$A$2:$A$2442,A372)&gt;0,"بله","خیر")</f>
        <v/>
      </c>
    </row>
    <row r="373" ht="15" customHeight="1" s="14">
      <c r="A373" s="24" t="n">
        <v>609</v>
      </c>
      <c r="B373" s="24" t="inlineStr">
        <is>
          <t>GRANISETRON TABLET ORAL 1 mg</t>
        </is>
      </c>
      <c r="C373" s="25">
        <f>IF(COUNTIF('کدهای پیام‌داروساز'!$A$2:$A$2442,A373)&gt;0,"بله","خیر")</f>
        <v/>
      </c>
    </row>
    <row r="374" ht="15" customHeight="1" s="14">
      <c r="A374" s="24" t="n">
        <v>610</v>
      </c>
      <c r="B374" s="24" t="inlineStr">
        <is>
          <t>GRANISETRON INJECTION, SOLUTION INTRAVENOUS 1 mg/1mL 3 mL</t>
        </is>
      </c>
      <c r="C374" s="25">
        <f>IF(COUNTIF('کدهای پیام‌داروساز'!$A$2:$A$2442,A374)&gt;0,"بله","خیر")</f>
        <v/>
      </c>
    </row>
    <row r="375" ht="15" customHeight="1" s="14">
      <c r="A375" s="24" t="n">
        <v>613</v>
      </c>
      <c r="B375" s="24" t="inlineStr">
        <is>
          <t>GRISEOFULVIN TABLET ORAL 125 mg</t>
        </is>
      </c>
      <c r="C375" s="25">
        <f>IF(COUNTIF('کدهای پیام‌داروساز'!$A$2:$A$2442,A375)&gt;0,"بله","خیر")</f>
        <v/>
      </c>
    </row>
    <row r="376" ht="15" customHeight="1" s="14">
      <c r="A376" s="24" t="n">
        <v>614</v>
      </c>
      <c r="B376" s="24" t="inlineStr">
        <is>
          <t>GUAIFENESIN SYRUP ORAL 100 mg/5mL 60 mL</t>
        </is>
      </c>
      <c r="C376" s="25">
        <f>IF(COUNTIF('کدهای پیام‌داروساز'!$A$2:$A$2442,A376)&gt;0,"بله","خیر")</f>
        <v/>
      </c>
    </row>
    <row r="377" ht="15" customHeight="1" s="14">
      <c r="A377" s="24" t="n">
        <v>616</v>
      </c>
      <c r="B377" s="24" t="inlineStr">
        <is>
          <t>HALOPERIDOL (AS DECANOATE) INJECTION PARENTERAL 50 mg/1mL 1 mL</t>
        </is>
      </c>
      <c r="C377" s="25">
        <f>IF(COUNTIF('کدهای پیام‌داروساز'!$A$2:$A$2442,A377)&gt;0,"بله","خیر")</f>
        <v/>
      </c>
    </row>
    <row r="378" ht="15" customHeight="1" s="14">
      <c r="A378" s="24" t="n">
        <v>617</v>
      </c>
      <c r="B378" s="24" t="inlineStr">
        <is>
          <t>HALOPERIDOL TABLET ORAL 0.5 mg</t>
        </is>
      </c>
      <c r="C378" s="25">
        <f>IF(COUNTIF('کدهای پیام‌داروساز'!$A$2:$A$2442,A378)&gt;0,"بله","خیر")</f>
        <v/>
      </c>
    </row>
    <row r="379" ht="15" customHeight="1" s="14">
      <c r="A379" s="24" t="n">
        <v>618</v>
      </c>
      <c r="B379" s="24" t="inlineStr">
        <is>
          <t>HALOPERIDOL (AS LACTATE) SOLUTION ORAL 2 mg/1mL 15 mL</t>
        </is>
      </c>
      <c r="C379" s="25">
        <f>IF(COUNTIF('کدهای پیام‌داروساز'!$A$2:$A$2442,A379)&gt;0,"بله","خیر")</f>
        <v/>
      </c>
    </row>
    <row r="380" ht="15" customHeight="1" s="14">
      <c r="A380" s="24" t="n">
        <v>619</v>
      </c>
      <c r="B380" s="24" t="inlineStr">
        <is>
          <t>HALOPERIDOL TABLET ORAL 5 mg</t>
        </is>
      </c>
      <c r="C380" s="25">
        <f>IF(COUNTIF('کدهای پیام‌داروساز'!$A$2:$A$2442,A380)&gt;0,"بله","خیر")</f>
        <v/>
      </c>
    </row>
    <row r="381" ht="15" customHeight="1" s="14">
      <c r="A381" s="24" t="n">
        <v>620</v>
      </c>
      <c r="B381" s="24" t="inlineStr">
        <is>
          <t>HALOPERIDOL (AS LACTATE) INJECTION PARENTERAL 5 mg/1mL</t>
        </is>
      </c>
      <c r="C381" s="25">
        <f>IF(COUNTIF('کدهای پیام‌داروساز'!$A$2:$A$2442,A381)&gt;0,"بله","خیر")</f>
        <v/>
      </c>
    </row>
    <row r="382" ht="15" customHeight="1" s="14">
      <c r="A382" s="24" t="n">
        <v>622</v>
      </c>
      <c r="B382" s="24" t="inlineStr">
        <is>
          <t>HEMATINIC CAPSULE ORAL 15 ug/350 mg/150 mg/1 mg</t>
        </is>
      </c>
      <c r="C382" s="25">
        <f>IF(COUNTIF('کدهای پیام‌داروساز'!$A$2:$A$2442,A382)&gt;0,"بله","خیر")</f>
        <v/>
      </c>
    </row>
    <row r="383" ht="15" customHeight="1" s="14">
      <c r="A383" s="24" t="n">
        <v>624</v>
      </c>
      <c r="B383" s="24" t="inlineStr">
        <is>
          <t>HEPARIN SODIUM INJECTION PARENTERAL 5000 [iU]/1mL 1 mL</t>
        </is>
      </c>
      <c r="C383" s="25">
        <f>IF(COUNTIF('کدهای پیام‌داروساز'!$A$2:$A$2442,A383)&gt;0,"بله","خیر")</f>
        <v/>
      </c>
    </row>
    <row r="384" ht="15" customHeight="1" s="14">
      <c r="A384" s="24" t="n">
        <v>625</v>
      </c>
      <c r="B384" s="24" t="inlineStr">
        <is>
          <t>HEPARIN SODIUM INJECTION PARENTERAL 10000 [iU]/1mL 1 mL</t>
        </is>
      </c>
      <c r="C384" s="25">
        <f>IF(COUNTIF('کدهای پیام‌داروساز'!$A$2:$A$2442,A384)&gt;0,"بله","خیر")</f>
        <v/>
      </c>
    </row>
    <row r="385" ht="15" customHeight="1" s="14">
      <c r="A385" s="24" t="n">
        <v>630</v>
      </c>
      <c r="B385" s="24" t="inlineStr">
        <is>
          <t>HOMATROPINE SOLUTION, DROPS OPHTHALMIC 2 % 10 mL</t>
        </is>
      </c>
      <c r="C385" s="25">
        <f>IF(COUNTIF('کدهای پیام‌داروساز'!$A$2:$A$2442,A385)&gt;0,"بله","خیر")</f>
        <v/>
      </c>
    </row>
    <row r="386" ht="15" customHeight="1" s="14">
      <c r="A386" s="24" t="n">
        <v>631</v>
      </c>
      <c r="B386" s="24" t="inlineStr">
        <is>
          <t>HYDRALAZINE HYDROCHLORIDE TABLET ORAL 10 mg</t>
        </is>
      </c>
      <c r="C386" s="25">
        <f>IF(COUNTIF('کدهای پیام‌داروساز'!$A$2:$A$2442,A386)&gt;0,"بله","خیر")</f>
        <v/>
      </c>
    </row>
    <row r="387" ht="15" customHeight="1" s="14">
      <c r="A387" s="24" t="n">
        <v>632</v>
      </c>
      <c r="B387" s="24" t="inlineStr">
        <is>
          <t>HYDRALAZINE HYDROCHLORIDE INJECTION, POWDER, FOR SOLUTION PARENTERAL 20 mg</t>
        </is>
      </c>
      <c r="C387" s="25">
        <f>IF(COUNTIF('کدهای پیام‌داروساز'!$A$2:$A$2442,A387)&gt;0,"بله","خیر")</f>
        <v/>
      </c>
    </row>
    <row r="388" ht="15" customHeight="1" s="14">
      <c r="A388" s="24" t="n">
        <v>633</v>
      </c>
      <c r="B388" s="24" t="inlineStr">
        <is>
          <t>HYDRALAZINE HYDROCHLORIDE TABLET ORAL 25 mg</t>
        </is>
      </c>
      <c r="C388" s="25">
        <f>IF(COUNTIF('کدهای پیام‌داروساز'!$A$2:$A$2442,A388)&gt;0,"بله","خیر")</f>
        <v/>
      </c>
    </row>
    <row r="389" ht="15" customHeight="1" s="14">
      <c r="A389" s="24" t="n">
        <v>634</v>
      </c>
      <c r="B389" s="24" t="inlineStr">
        <is>
          <t>HYDRALAZINE HYDROCHLORIDE TABLET ORAL 50 mg</t>
        </is>
      </c>
      <c r="C389" s="25">
        <f>IF(COUNTIF('کدهای پیام‌داروساز'!$A$2:$A$2442,A389)&gt;0,"بله","خیر")</f>
        <v/>
      </c>
    </row>
    <row r="390" ht="15" customHeight="1" s="14">
      <c r="A390" s="24" t="n">
        <v>636</v>
      </c>
      <c r="B390" s="24" t="inlineStr">
        <is>
          <t>HYDROCHLOROTHIAZIDE TABLET ORAL 50 mg</t>
        </is>
      </c>
      <c r="C390" s="25">
        <f>IF(COUNTIF('کدهای پیام‌داروساز'!$A$2:$A$2442,A390)&gt;0,"بله","خیر")</f>
        <v/>
      </c>
    </row>
    <row r="391" ht="15" customHeight="1" s="14">
      <c r="A391" s="24" t="n">
        <v>637</v>
      </c>
      <c r="B391" s="24" t="inlineStr">
        <is>
          <t>HYDROCORTISONE (AS SODIUM SUCCINATE) INJECTION, POWDER, FOR SOLUTION PARENTERAL 100 mg</t>
        </is>
      </c>
      <c r="C391" s="25">
        <f>IF(COUNTIF('کدهای پیام‌داروساز'!$A$2:$A$2442,A391)&gt;0,"بله","خیر")</f>
        <v/>
      </c>
    </row>
    <row r="392" ht="15" customHeight="1" s="14">
      <c r="A392" s="24" t="n">
        <v>638</v>
      </c>
      <c r="B392" s="24" t="inlineStr">
        <is>
          <t>HYDROCORTISONE TABLET ORAL 10 mg</t>
        </is>
      </c>
      <c r="C392" s="25">
        <f>IF(COUNTIF('کدهای پیام‌داروساز'!$A$2:$A$2442,A392)&gt;0,"بله","خیر")</f>
        <v/>
      </c>
    </row>
    <row r="393" ht="15" customHeight="1" s="14">
      <c r="A393" s="24" t="n">
        <v>639</v>
      </c>
      <c r="B393" s="24" t="inlineStr">
        <is>
          <t>HYDROCORTISONE ACETATE OINTMENT OPHTHALMIC 1 % 3 g</t>
        </is>
      </c>
      <c r="C393" s="25">
        <f>IF(COUNTIF('کدهای پیام‌داروساز'!$A$2:$A$2442,A393)&gt;0,"بله","خیر")</f>
        <v/>
      </c>
    </row>
    <row r="394" ht="15" customHeight="1" s="14">
      <c r="A394" s="24" t="n">
        <v>640</v>
      </c>
      <c r="B394" s="24" t="inlineStr">
        <is>
          <t>HYDROCORTISONE ACETATE OINTMENT TOPICAL 1 % 15 g</t>
        </is>
      </c>
      <c r="C394" s="25">
        <f>IF(COUNTIF('کدهای پیام‌داروساز'!$A$2:$A$2442,A394)&gt;0,"بله","خیر")</f>
        <v/>
      </c>
    </row>
    <row r="395" ht="15" customHeight="1" s="14">
      <c r="A395" s="24" t="n">
        <v>641</v>
      </c>
      <c r="B395" s="24" t="inlineStr">
        <is>
          <t>HYDROCORTISONE ENEMA RECTAL 100 mg/60mL</t>
        </is>
      </c>
      <c r="C395" s="25">
        <f>IF(COUNTIF('کدهای پیام‌داروساز'!$A$2:$A$2442,A395)&gt;0,"بله","خیر")</f>
        <v/>
      </c>
    </row>
    <row r="396" ht="15" customHeight="1" s="14">
      <c r="A396" s="24" t="n">
        <v>648</v>
      </c>
      <c r="B396" s="24" t="inlineStr">
        <is>
          <t>HYDROXYUREA CAPSULE ORAL 500 mg</t>
        </is>
      </c>
      <c r="C396" s="25">
        <f>IF(COUNTIF('کدهای پیام‌داروساز'!$A$2:$A$2442,A396)&gt;0,"بله","خیر")</f>
        <v/>
      </c>
    </row>
    <row r="397" ht="15" customHeight="1" s="14">
      <c r="A397" s="24" t="n">
        <v>650</v>
      </c>
      <c r="B397" s="24" t="inlineStr">
        <is>
          <t>HYDROXYZINE HYDROCHLORIDE SYRUP ORAL 10 mg/5mL 120 mL</t>
        </is>
      </c>
      <c r="C397" s="25">
        <f>IF(COUNTIF('کدهای پیام‌داروساز'!$A$2:$A$2442,A397)&gt;0,"بله","خیر")</f>
        <v/>
      </c>
    </row>
    <row r="398" ht="15" customHeight="1" s="14">
      <c r="A398" s="24" t="n">
        <v>651</v>
      </c>
      <c r="B398" s="24" t="inlineStr">
        <is>
          <t>HYDROXYZINE HYDROCHLORIDE TABLET ORAL 10 mg</t>
        </is>
      </c>
      <c r="C398" s="25">
        <f>IF(COUNTIF('کدهای پیام‌داروساز'!$A$2:$A$2442,A398)&gt;0,"بله","خیر")</f>
        <v/>
      </c>
    </row>
    <row r="399" ht="15" customHeight="1" s="14">
      <c r="A399" s="24" t="n">
        <v>652</v>
      </c>
      <c r="B399" s="24" t="inlineStr">
        <is>
          <t>HYDROXYZINE HYDROCHLORIDE TABLET ORAL 25 mg</t>
        </is>
      </c>
      <c r="C399" s="25">
        <f>IF(COUNTIF('کدهای پیام‌داروساز'!$A$2:$A$2442,A399)&gt;0,"بله","خیر")</f>
        <v/>
      </c>
    </row>
    <row r="400" ht="15" customHeight="1" s="14">
      <c r="A400" s="24" t="n">
        <v>653</v>
      </c>
      <c r="B400" s="24" t="inlineStr">
        <is>
          <t>HYOSCINE-N-BUTYL BROMIDE SUPPOSITORY RECTAL 10 mg</t>
        </is>
      </c>
      <c r="C400" s="25">
        <f>IF(COUNTIF('کدهای پیام‌داروساز'!$A$2:$A$2442,A400)&gt;0,"بله","خیر")</f>
        <v/>
      </c>
    </row>
    <row r="401" ht="15" customHeight="1" s="14">
      <c r="A401" s="24" t="n">
        <v>654</v>
      </c>
      <c r="B401" s="24" t="inlineStr">
        <is>
          <t>HYOSCINE-N-BUTYL BROMIDE TABLET ORAL 10 mg</t>
        </is>
      </c>
      <c r="C401" s="25">
        <f>IF(COUNTIF('کدهای پیام‌داروساز'!$A$2:$A$2442,A401)&gt;0,"بله","خیر")</f>
        <v/>
      </c>
    </row>
    <row r="402" ht="15" customHeight="1" s="14">
      <c r="A402" s="24" t="n">
        <v>655</v>
      </c>
      <c r="B402" s="24" t="inlineStr">
        <is>
          <t>HYOSCINE-N-BUTYL BROMIDE INJECTION PARENTERAL 20 mg/1mL</t>
        </is>
      </c>
      <c r="C402" s="25">
        <f>IF(COUNTIF('کدهای پیام‌داروساز'!$A$2:$A$2442,A402)&gt;0,"بله","خیر")</f>
        <v/>
      </c>
    </row>
    <row r="403" ht="15" customHeight="1" s="14">
      <c r="A403" s="24" t="n">
        <v>656</v>
      </c>
      <c r="B403" s="24" t="inlineStr">
        <is>
          <t>HYOSCINE-N-BUTYL BROMIDE SUPPOSITORY RECTAL 7.5 mg</t>
        </is>
      </c>
      <c r="C403" s="25">
        <f>IF(COUNTIF('کدهای پیام‌داروساز'!$A$2:$A$2442,A403)&gt;0,"بله","خیر")</f>
        <v/>
      </c>
    </row>
    <row r="404" ht="15" customHeight="1" s="14">
      <c r="A404" s="24" t="n">
        <v>657</v>
      </c>
      <c r="B404" s="24" t="inlineStr">
        <is>
          <t>IBUPROFEN SUSPENSION ORAL 100 mg/5mL 120 mL</t>
        </is>
      </c>
      <c r="C404" s="25">
        <f>IF(COUNTIF('کدهای پیام‌داروساز'!$A$2:$A$2442,A404)&gt;0,"بله","خیر")</f>
        <v/>
      </c>
    </row>
    <row r="405" ht="15" customHeight="1" s="14">
      <c r="A405" s="24" t="n">
        <v>658</v>
      </c>
      <c r="B405" s="24" t="inlineStr">
        <is>
          <t>IBUPROFEN TABLET ORAL 200 mg</t>
        </is>
      </c>
      <c r="C405" s="25">
        <f>IF(COUNTIF('کدهای پیام‌داروساز'!$A$2:$A$2442,A405)&gt;0,"بله","خیر")</f>
        <v/>
      </c>
    </row>
    <row r="406" ht="15" customHeight="1" s="14">
      <c r="A406" s="24" t="n">
        <v>659</v>
      </c>
      <c r="B406" s="24" t="inlineStr">
        <is>
          <t>IBUPROFEN TABLET ORAL 400 mg</t>
        </is>
      </c>
      <c r="C406" s="25">
        <f>IF(COUNTIF('کدهای پیام‌داروساز'!$A$2:$A$2442,A406)&gt;0,"بله","خیر")</f>
        <v/>
      </c>
    </row>
    <row r="407" ht="15" customHeight="1" s="14">
      <c r="A407" s="24" t="n">
        <v>661</v>
      </c>
      <c r="B407" s="24" t="inlineStr">
        <is>
          <t>IDOXURIDINE SOLUTION, DROPS OPHTHALMIC 0.1 % 10 mL</t>
        </is>
      </c>
      <c r="C407" s="25">
        <f>IF(COUNTIF('کدهای پیام‌داروساز'!$A$2:$A$2442,A407)&gt;0,"بله","خیر")</f>
        <v/>
      </c>
    </row>
    <row r="408" ht="15" customHeight="1" s="14">
      <c r="A408" s="24" t="n">
        <v>662</v>
      </c>
      <c r="B408" s="24" t="inlineStr">
        <is>
          <t>IFOSFAMIDE INJECTION, POWDER, FOR SOLUTION PARENTERAL 1 g</t>
        </is>
      </c>
      <c r="C408" s="25">
        <f>IF(COUNTIF('کدهای پیام‌داروساز'!$A$2:$A$2442,A408)&gt;0,"بله","خیر")</f>
        <v/>
      </c>
    </row>
    <row r="409" ht="15" customHeight="1" s="14">
      <c r="A409" s="24" t="n">
        <v>664</v>
      </c>
      <c r="B409" s="24" t="inlineStr">
        <is>
          <t>IMIPRAMINE HYDROCHLORIDE TABLET ORAL 10 mg</t>
        </is>
      </c>
      <c r="C409" s="25">
        <f>IF(COUNTIF('کدهای پیام‌داروساز'!$A$2:$A$2442,A409)&gt;0,"بله","خیر")</f>
        <v/>
      </c>
    </row>
    <row r="410" ht="15" customHeight="1" s="14">
      <c r="A410" s="24" t="n">
        <v>665</v>
      </c>
      <c r="B410" s="24" t="inlineStr">
        <is>
          <t>IMIPRAMINE HYDROCHLORIDE TABLET ORAL 25 mg</t>
        </is>
      </c>
      <c r="C410" s="25">
        <f>IF(COUNTIF('کدهای پیام‌داروساز'!$A$2:$A$2442,A410)&gt;0,"بله","خیر")</f>
        <v/>
      </c>
    </row>
    <row r="411" ht="15" customHeight="1" s="14">
      <c r="A411" s="24" t="n">
        <v>666</v>
      </c>
      <c r="B411" s="24" t="inlineStr">
        <is>
          <t>IMIPRAMINE HYDROCHLORIDE TABLET ORAL 50 mg</t>
        </is>
      </c>
      <c r="C411" s="25">
        <f>IF(COUNTIF('کدهای پیام‌داروساز'!$A$2:$A$2442,A411)&gt;0,"بله","خیر")</f>
        <v/>
      </c>
    </row>
    <row r="412" ht="15" customHeight="1" s="14">
      <c r="A412" s="24" t="n">
        <v>668</v>
      </c>
      <c r="B412" s="24" t="inlineStr">
        <is>
          <t>INDOMETHACIN SUPPOSITORY RECTAL 100 mg</t>
        </is>
      </c>
      <c r="C412" s="25">
        <f>IF(COUNTIF('کدهای پیام‌داروساز'!$A$2:$A$2442,A412)&gt;0,"بله","خیر")</f>
        <v/>
      </c>
    </row>
    <row r="413" ht="15" customHeight="1" s="14">
      <c r="A413" s="24" t="n">
        <v>669</v>
      </c>
      <c r="B413" s="24" t="inlineStr">
        <is>
          <t>INDOMETHACIN CAPSULE ORAL 25 mg</t>
        </is>
      </c>
      <c r="C413" s="25">
        <f>IF(COUNTIF('کدهای پیام‌داروساز'!$A$2:$A$2442,A413)&gt;0,"بله","خیر")</f>
        <v/>
      </c>
    </row>
    <row r="414" ht="15" customHeight="1" s="14">
      <c r="A414" s="24" t="n">
        <v>670</v>
      </c>
      <c r="B414" s="24" t="inlineStr">
        <is>
          <t>INDOMETHACIN SUPPOSITORY RECTAL 50 mg</t>
        </is>
      </c>
      <c r="C414" s="25">
        <f>IF(COUNTIF('کدهای پیام‌داروساز'!$A$2:$A$2442,A414)&gt;0,"بله","خیر")</f>
        <v/>
      </c>
    </row>
    <row r="415" ht="15" customHeight="1" s="14">
      <c r="A415" s="24" t="n">
        <v>671</v>
      </c>
      <c r="B415" s="24" t="inlineStr">
        <is>
          <t>INDOMETHACIN TABLET, EXTENDED RELEASE ORAL 75 mg</t>
        </is>
      </c>
      <c r="C415" s="25">
        <f>IF(COUNTIF('کدهای پیام‌داروساز'!$A$2:$A$2442,A415)&gt;0,"بله","خیر")</f>
        <v/>
      </c>
    </row>
    <row r="416" ht="15" customHeight="1" s="14">
      <c r="A416" s="24" t="n">
        <v>674</v>
      </c>
      <c r="B416" s="24" t="inlineStr">
        <is>
          <t>INSULIN REGULAR INJECTION PARENTERAL 100 [iU]/1mL 10 mL</t>
        </is>
      </c>
      <c r="C416" s="25">
        <f>IF(COUNTIF('کدهای پیام‌داروساز'!$A$2:$A$2442,A416)&gt;0,"بله","خیر")</f>
        <v/>
      </c>
    </row>
    <row r="417" ht="15" customHeight="1" s="14">
      <c r="A417" s="24" t="n">
        <v>676</v>
      </c>
      <c r="B417" s="24" t="inlineStr">
        <is>
          <t>INSULIN ISOPHANE INJECTION PARENTERAL 100 [iU]/1mL 10 mL</t>
        </is>
      </c>
      <c r="C417" s="25">
        <f>IF(COUNTIF('کدهای پیام‌داروساز'!$A$2:$A$2442,A417)&gt;0,"بله","خیر")</f>
        <v/>
      </c>
    </row>
    <row r="418" ht="15" customHeight="1" s="14">
      <c r="A418" s="24" t="n">
        <v>682</v>
      </c>
      <c r="B418" s="24" t="inlineStr">
        <is>
          <t>INTERFERON ALFA-2B INJECTION PARENTERAL 5000000 U</t>
        </is>
      </c>
      <c r="C418" s="25">
        <f>IF(COUNTIF('کدهای پیام‌داروساز'!$A$2:$A$2442,A418)&gt;0,"بله","خیر")</f>
        <v/>
      </c>
    </row>
    <row r="419" ht="15" customHeight="1" s="14">
      <c r="A419" s="24" t="n">
        <v>686</v>
      </c>
      <c r="B419" s="24" t="inlineStr">
        <is>
          <t>INTERFERON GAMMA-1B INJECTION, SOLUTION PARENTERAL 100 ug/0.5mL</t>
        </is>
      </c>
      <c r="C419" s="25">
        <f>IF(COUNTIF('کدهای پیام‌داروساز'!$A$2:$A$2442,A419)&gt;0,"بله","خیر")</f>
        <v/>
      </c>
    </row>
    <row r="420" ht="15" customHeight="1" s="14">
      <c r="A420" s="24" t="n">
        <v>690</v>
      </c>
      <c r="B420" s="24" t="inlineStr">
        <is>
          <t>PERITONEAL DIALYSIS I SOLUTION INTRAPERITONEAL 13.62 g/132 meq/3.5 meq/1.5 meq/35 meq/102 meq/1000 mL 2 L</t>
        </is>
      </c>
      <c r="C420" s="25">
        <f>IF(COUNTIF('کدهای پیام‌داروساز'!$A$2:$A$2442,A420)&gt;0,"بله","خیر")</f>
        <v/>
      </c>
    </row>
    <row r="421" ht="15" customHeight="1" s="14">
      <c r="A421" s="24" t="n">
        <v>693</v>
      </c>
      <c r="B421" s="24" t="inlineStr">
        <is>
          <t>PERITONEAL DIALYSIS II SOLUTION INTRAPERITONEAL 22.7 g/1025.67 meq/3.5 meq/1.5 meq/35 meq/132 meq/1000 mL 2 L</t>
        </is>
      </c>
      <c r="C421" s="25">
        <f>IF(COUNTIF('کدهای پیام‌داروساز'!$A$2:$A$2442,A421)&gt;0,"بله","خیر")</f>
        <v/>
      </c>
    </row>
    <row r="422" ht="15" customHeight="1" s="14">
      <c r="A422" s="24" t="n">
        <v>694</v>
      </c>
      <c r="B422" s="24" t="inlineStr">
        <is>
          <t>PERITONEAL DIALYSIS III SOLUTION INTRAPERITONEAL 38.6 g/5.67 g/0.257 g/0.152 g/3.922 g/1000 mL 2 L</t>
        </is>
      </c>
      <c r="C422" s="25">
        <f>IF(COUNTIF('کدهای پیام‌داروساز'!$A$2:$A$2442,A422)&gt;0,"بله","خیر")</f>
        <v/>
      </c>
    </row>
    <row r="423" ht="15" customHeight="1" s="14">
      <c r="A423" s="24" t="n">
        <v>698</v>
      </c>
      <c r="B423" s="24" t="inlineStr">
        <is>
          <t>IOHEXOL INJECTION PARENTERAL 240 mg/1mL 20 mL</t>
        </is>
      </c>
      <c r="C423" s="25">
        <f>IF(COUNTIF('کدهای پیام‌داروساز'!$A$2:$A$2442,A423)&gt;0,"بله","خیر")</f>
        <v/>
      </c>
    </row>
    <row r="424" ht="15" customHeight="1" s="14">
      <c r="A424" s="24" t="n">
        <v>699</v>
      </c>
      <c r="B424" s="24" t="inlineStr">
        <is>
          <t>IOHEXOL INJECTION PARENTERAL 240 mg/1mL 50 mL</t>
        </is>
      </c>
      <c r="C424" s="25">
        <f>IF(COUNTIF('کدهای پیام‌داروساز'!$A$2:$A$2442,A424)&gt;0,"بله","خیر")</f>
        <v/>
      </c>
    </row>
    <row r="425" ht="15" customHeight="1" s="14">
      <c r="A425" s="24" t="n">
        <v>700</v>
      </c>
      <c r="B425" s="24" t="inlineStr">
        <is>
          <t>IOHEXOL INJECTION PARENTERAL 300 mg/1mL 10 mL</t>
        </is>
      </c>
      <c r="C425" s="25">
        <f>IF(COUNTIF('کدهای پیام‌داروساز'!$A$2:$A$2442,A425)&gt;0,"بله","خیر")</f>
        <v/>
      </c>
    </row>
    <row r="426" ht="15" customHeight="1" s="14">
      <c r="A426" s="24" t="n">
        <v>701</v>
      </c>
      <c r="B426" s="24" t="inlineStr">
        <is>
          <t>IOHEXOL INJECTION PARENTERAL 300 mg/1mL 20 mL</t>
        </is>
      </c>
      <c r="C426" s="25">
        <f>IF(COUNTIF('کدهای پیام‌داروساز'!$A$2:$A$2442,A426)&gt;0,"بله","خیر")</f>
        <v/>
      </c>
    </row>
    <row r="427" ht="15" customHeight="1" s="14">
      <c r="A427" s="24" t="n">
        <v>703</v>
      </c>
      <c r="B427" s="24" t="inlineStr">
        <is>
          <t>IOPROMIDE INJECTION PARENTERAL 300 mg/1mL 20 mL</t>
        </is>
      </c>
      <c r="C427" s="25">
        <f>IF(COUNTIF('کدهای پیام‌داروساز'!$A$2:$A$2442,A427)&gt;0,"بله","خیر")</f>
        <v/>
      </c>
    </row>
    <row r="428" ht="15" customHeight="1" s="14">
      <c r="A428" s="24" t="n">
        <v>704</v>
      </c>
      <c r="B428" s="24" t="inlineStr">
        <is>
          <t>IOPROMIDE INJECTION PARENTERAL 300 mg/1mL 50 mL</t>
        </is>
      </c>
      <c r="C428" s="25">
        <f>IF(COUNTIF('کدهای پیام‌داروساز'!$A$2:$A$2442,A428)&gt;0,"بله","خیر")</f>
        <v/>
      </c>
    </row>
    <row r="429" ht="15" customHeight="1" s="14">
      <c r="A429" s="24" t="n">
        <v>708</v>
      </c>
      <c r="B429" s="24" t="inlineStr">
        <is>
          <t>IPRATROPIUM BROMIDE SPRAY RESPIRATORY 20 ug/1{dose} 200 {dose}</t>
        </is>
      </c>
      <c r="C429" s="25">
        <f>IF(COUNTIF('کدهای پیام‌داروساز'!$A$2:$A$2442,A429)&gt;0,"بله","خیر")</f>
        <v/>
      </c>
    </row>
    <row r="430" ht="15" customHeight="1" s="14">
      <c r="A430" s="24" t="n">
        <v>711</v>
      </c>
      <c r="B430" s="24" t="inlineStr">
        <is>
          <t>ISOCARBOXAZID TABLET ORAL 10 mg</t>
        </is>
      </c>
      <c r="C430" s="25">
        <f>IF(COUNTIF('کدهای پیام‌داروساز'!$A$2:$A$2442,A430)&gt;0,"بله","خیر")</f>
        <v/>
      </c>
    </row>
    <row r="431" ht="15" customHeight="1" s="14">
      <c r="A431" s="24" t="n">
        <v>712</v>
      </c>
      <c r="B431" s="24" t="inlineStr">
        <is>
          <t>ISONIAZID TABLET ORAL 100 mg</t>
        </is>
      </c>
      <c r="C431" s="25">
        <f>IF(COUNTIF('کدهای پیام‌داروساز'!$A$2:$A$2442,A431)&gt;0,"بله","خیر")</f>
        <v/>
      </c>
    </row>
    <row r="432" ht="15" customHeight="1" s="14">
      <c r="A432" s="24" t="n">
        <v>713</v>
      </c>
      <c r="B432" s="24" t="inlineStr">
        <is>
          <t>ISONIAZID TABLET ORAL 300 mg</t>
        </is>
      </c>
      <c r="C432" s="25">
        <f>IF(COUNTIF('کدهای پیام‌داروساز'!$A$2:$A$2442,A432)&gt;0,"بله","خیر")</f>
        <v/>
      </c>
    </row>
    <row r="433" ht="15" customHeight="1" s="14">
      <c r="A433" s="24" t="n">
        <v>717</v>
      </c>
      <c r="B433" s="24" t="inlineStr">
        <is>
          <t>ISOSORBIDE DINITRATE TABLET ORAL 10 mg</t>
        </is>
      </c>
      <c r="C433" s="25">
        <f>IF(COUNTIF('کدهای پیام‌داروساز'!$A$2:$A$2442,A433)&gt;0,"بله","خیر")</f>
        <v/>
      </c>
    </row>
    <row r="434" ht="15" customHeight="1" s="14">
      <c r="A434" s="24" t="n">
        <v>718</v>
      </c>
      <c r="B434" s="24" t="inlineStr">
        <is>
          <t>ISOSORBIDE DINITRATE TABLET, EXTENDED RELEASE ORAL 40 mg</t>
        </is>
      </c>
      <c r="C434" s="25">
        <f>IF(COUNTIF('کدهای پیام‌داروساز'!$A$2:$A$2442,A434)&gt;0,"بله","خیر")</f>
        <v/>
      </c>
    </row>
    <row r="435" ht="15" customHeight="1" s="14">
      <c r="A435" s="24" t="n">
        <v>719</v>
      </c>
      <c r="B435" s="24" t="inlineStr">
        <is>
          <t>ISOSORBIDE DINITRATE TABLET ORAL 5 mg</t>
        </is>
      </c>
      <c r="C435" s="25">
        <f>IF(COUNTIF('کدهای پیام‌داروساز'!$A$2:$A$2442,A435)&gt;0,"بله","خیر")</f>
        <v/>
      </c>
    </row>
    <row r="436" ht="15" customHeight="1" s="14">
      <c r="A436" s="24" t="n">
        <v>720</v>
      </c>
      <c r="B436" s="24" t="inlineStr">
        <is>
          <t>ISOTRETINOIN CAPSULE, LIQUID FILLED ORAL 20 mg</t>
        </is>
      </c>
      <c r="C436" s="25">
        <f>IF(COUNTIF('کدهای پیام‌داروساز'!$A$2:$A$2442,A436)&gt;0,"بله","خیر")</f>
        <v/>
      </c>
    </row>
    <row r="437" ht="15" customHeight="1" s="14">
      <c r="A437" s="24" t="n">
        <v>721</v>
      </c>
      <c r="B437" s="24" t="inlineStr">
        <is>
          <t>ISOXSUPRINE HYDROCHLORIDE TABLET ORAL 10 mg</t>
        </is>
      </c>
      <c r="C437" s="25">
        <f>IF(COUNTIF('کدهای پیام‌داروساز'!$A$2:$A$2442,A437)&gt;0,"بله","خیر")</f>
        <v/>
      </c>
    </row>
    <row r="438" ht="15" customHeight="1" s="14">
      <c r="A438" s="24" t="n">
        <v>722</v>
      </c>
      <c r="B438" s="24" t="inlineStr">
        <is>
          <t>ITRACONAZOLE CAPSULE ORAL 100 mg</t>
        </is>
      </c>
      <c r="C438" s="25">
        <f>IF(COUNTIF('کدهای پیام‌داروساز'!$A$2:$A$2442,A438)&gt;0,"بله","خیر")</f>
        <v/>
      </c>
    </row>
    <row r="439" ht="15" customHeight="1" s="14">
      <c r="A439" s="24" t="n">
        <v>723</v>
      </c>
      <c r="B439" s="24" t="inlineStr">
        <is>
          <t>KETAMINE (AS HYDROCHLORIDE) INJECTION PARENTERAL 50 mg/1mL 10 mL</t>
        </is>
      </c>
      <c r="C439" s="25">
        <f>IF(COUNTIF('کدهای پیام‌داروساز'!$A$2:$A$2442,A439)&gt;0,"بله","خیر")</f>
        <v/>
      </c>
    </row>
    <row r="440" ht="15" customHeight="1" s="14">
      <c r="A440" s="24" t="n">
        <v>725</v>
      </c>
      <c r="B440" s="24" t="inlineStr">
        <is>
          <t>KETOCONAZOLE CREAM TOPICAL 2 % 30 g</t>
        </is>
      </c>
      <c r="C440" s="25">
        <f>IF(COUNTIF('کدهای پیام‌داروساز'!$A$2:$A$2442,A440)&gt;0,"بله","خیر")</f>
        <v/>
      </c>
    </row>
    <row r="441" ht="15" customHeight="1" s="14">
      <c r="A441" s="24" t="n">
        <v>726</v>
      </c>
      <c r="B441" s="24" t="inlineStr">
        <is>
          <t>KETOCONAZOLE TABLET ORAL 200 mg</t>
        </is>
      </c>
      <c r="C441" s="25">
        <f>IF(COUNTIF('کدهای پیام‌داروساز'!$A$2:$A$2442,A441)&gt;0,"بله","خیر")</f>
        <v/>
      </c>
    </row>
    <row r="442" ht="15" customHeight="1" s="14">
      <c r="A442" s="24" t="n">
        <v>727</v>
      </c>
      <c r="B442" s="24" t="inlineStr">
        <is>
          <t>KETOTIFEN (AS FUMARATE) TABLET ORAL 1 mg</t>
        </is>
      </c>
      <c r="C442" s="25">
        <f>IF(COUNTIF('کدهای پیام‌داروساز'!$A$2:$A$2442,A442)&gt;0,"بله","خیر")</f>
        <v/>
      </c>
    </row>
    <row r="443" ht="15" customHeight="1" s="14">
      <c r="A443" s="24" t="n">
        <v>728</v>
      </c>
      <c r="B443" s="24" t="inlineStr">
        <is>
          <t>KETOTIFEN (AS FUMARATE) SYRUP ORAL 1 mg/5mL 120 mL</t>
        </is>
      </c>
      <c r="C443" s="25">
        <f>IF(COUNTIF('کدهای پیام‌داروساز'!$A$2:$A$2442,A443)&gt;0,"بله","خیر")</f>
        <v/>
      </c>
    </row>
    <row r="444" ht="15" customHeight="1" s="14">
      <c r="A444" s="24" t="n">
        <v>731</v>
      </c>
      <c r="B444" s="24" t="inlineStr">
        <is>
          <t>LACTULOSE SYRUP ORAL 10 g/15mL 240 mL</t>
        </is>
      </c>
      <c r="C444" s="25">
        <f>IF(COUNTIF('کدهای پیام‌داروساز'!$A$2:$A$2442,A444)&gt;0,"بله","خیر")</f>
        <v/>
      </c>
    </row>
    <row r="445" ht="15" customHeight="1" s="14">
      <c r="A445" s="24" t="n">
        <v>732</v>
      </c>
      <c r="B445" s="24" t="inlineStr">
        <is>
          <t>LAMOTRIGINE TABLET ORAL 100 mg</t>
        </is>
      </c>
      <c r="C445" s="25">
        <f>IF(COUNTIF('کدهای پیام‌داروساز'!$A$2:$A$2442,A445)&gt;0,"بله","خیر")</f>
        <v/>
      </c>
    </row>
    <row r="446" ht="15" customHeight="1" s="14">
      <c r="A446" s="24" t="n">
        <v>733</v>
      </c>
      <c r="B446" s="24" t="inlineStr">
        <is>
          <t>LAMOTRIGINE TABLET ORAL 50 mg</t>
        </is>
      </c>
      <c r="C446" s="25">
        <f>IF(COUNTIF('کدهای پیام‌داروساز'!$A$2:$A$2442,A446)&gt;0,"بله","خیر")</f>
        <v/>
      </c>
    </row>
    <row r="447" ht="15" customHeight="1" s="14">
      <c r="A447" s="24" t="n">
        <v>736</v>
      </c>
      <c r="B447" s="24" t="inlineStr">
        <is>
          <t>CALCIUM FOLINATE INJECTION PARENTERAL 10 mg/1mL 3 mL</t>
        </is>
      </c>
      <c r="C447" s="25">
        <f>IF(COUNTIF('کدهای پیام‌داروساز'!$A$2:$A$2442,A447)&gt;0,"بله","خیر")</f>
        <v/>
      </c>
    </row>
    <row r="448" ht="15" customHeight="1" s="14">
      <c r="A448" s="24" t="n">
        <v>738</v>
      </c>
      <c r="B448" s="24" t="inlineStr">
        <is>
          <t>CALCIUM FOLINATE TABLET ORAL 15 mg</t>
        </is>
      </c>
      <c r="C448" s="25">
        <f>IF(COUNTIF('کدهای پیام‌داروساز'!$A$2:$A$2442,A448)&gt;0,"بله","خیر")</f>
        <v/>
      </c>
    </row>
    <row r="449" ht="15" customHeight="1" s="14">
      <c r="A449" s="24" t="n">
        <v>739</v>
      </c>
      <c r="B449" s="24" t="inlineStr">
        <is>
          <t>CALCIUM FOLINATE TABLET ORAL 25 mg</t>
        </is>
      </c>
      <c r="C449" s="25">
        <f>IF(COUNTIF('کدهای پیام‌داروساز'!$A$2:$A$2442,A449)&gt;0,"بله","خیر")</f>
        <v/>
      </c>
    </row>
    <row r="450" ht="15" customHeight="1" s="14">
      <c r="A450" s="24" t="n">
        <v>740</v>
      </c>
      <c r="B450" s="24" t="inlineStr">
        <is>
          <t>CALCIUM FOLINATE TABLET ORAL 5 mg</t>
        </is>
      </c>
      <c r="C450" s="25">
        <f>IF(COUNTIF('کدهای پیام‌داروساز'!$A$2:$A$2442,A450)&gt;0,"بله","خیر")</f>
        <v/>
      </c>
    </row>
    <row r="451" ht="15" customHeight="1" s="14">
      <c r="A451" s="24" t="n">
        <v>741</v>
      </c>
      <c r="B451" s="24" t="inlineStr">
        <is>
          <t>LEVAMISOLE TABLET ORAL 50 mg</t>
        </is>
      </c>
      <c r="C451" s="25">
        <f>IF(COUNTIF('کدهای پیام‌داروساز'!$A$2:$A$2442,A451)&gt;0,"بله","خیر")</f>
        <v/>
      </c>
    </row>
    <row r="452" ht="15" customHeight="1" s="14">
      <c r="A452" s="24" t="n">
        <v>743</v>
      </c>
      <c r="B452" s="24" t="inlineStr">
        <is>
          <t>L-CARNITINE INJECTION PARENTERAL 200 mg/1mL 5 mL</t>
        </is>
      </c>
      <c r="C452" s="25">
        <f>IF(COUNTIF('کدهای پیام‌داروساز'!$A$2:$A$2442,A452)&gt;0,"بله","خیر")</f>
        <v/>
      </c>
    </row>
    <row r="453" ht="15" customHeight="1" s="14">
      <c r="A453" s="24" t="n">
        <v>744</v>
      </c>
      <c r="B453" s="24" t="inlineStr">
        <is>
          <t>L-CARNITINE TABLET, CHEWABLE ORAL 1 g</t>
        </is>
      </c>
      <c r="C453" s="25">
        <f>IF(COUNTIF('کدهای پیام‌داروساز'!$A$2:$A$2442,A453)&gt;0,"بله","خیر")</f>
        <v/>
      </c>
    </row>
    <row r="454" ht="15" customHeight="1" s="14">
      <c r="A454" s="24" t="n">
        <v>745</v>
      </c>
      <c r="B454" s="24" t="inlineStr">
        <is>
          <t>LEVODOPA / BENSERAZIDE TABLET ORAL 100 mg/25 mg</t>
        </is>
      </c>
      <c r="C454" s="25">
        <f>IF(COUNTIF('کدهای پیام‌داروساز'!$A$2:$A$2442,A454)&gt;0,"بله","خیر")</f>
        <v/>
      </c>
    </row>
    <row r="455" ht="15" customHeight="1" s="14">
      <c r="A455" s="24" t="n">
        <v>746</v>
      </c>
      <c r="B455" s="24" t="inlineStr">
        <is>
          <t>LEVODOPA / BENSERAZIDE TABLET ORAL 200 mg/50 mg</t>
        </is>
      </c>
      <c r="C455" s="25">
        <f>IF(COUNTIF('کدهای پیام‌داروساز'!$A$2:$A$2442,A455)&gt;0,"بله","خیر")</f>
        <v/>
      </c>
    </row>
    <row r="456" ht="15" customHeight="1" s="14">
      <c r="A456" s="24" t="n">
        <v>747</v>
      </c>
      <c r="B456" s="24" t="inlineStr">
        <is>
          <t>LEVODOPA / CARBIDOPA TABLET ORAL 100 mg/10 mg</t>
        </is>
      </c>
      <c r="C456" s="25">
        <f>IF(COUNTIF('کدهای پیام‌داروساز'!$A$2:$A$2442,A456)&gt;0,"بله","خیر")</f>
        <v/>
      </c>
    </row>
    <row r="457" ht="15" customHeight="1" s="14">
      <c r="A457" s="24" t="n">
        <v>748</v>
      </c>
      <c r="B457" s="24" t="inlineStr">
        <is>
          <t>LEVODOPA / CARBIDOPA FORTE TABLET ORAL 250 mg/25 mg</t>
        </is>
      </c>
      <c r="C457" s="25">
        <f>IF(COUNTIF('کدهای پیام‌داروساز'!$A$2:$A$2442,A457)&gt;0,"بله","خیر")</f>
        <v/>
      </c>
    </row>
    <row r="458" ht="15" customHeight="1" s="14">
      <c r="A458" s="24" t="n">
        <v>751</v>
      </c>
      <c r="B458" s="24" t="inlineStr">
        <is>
          <t>LEVOTHYROXINE SODIUM TABLET ORAL 100 ug</t>
        </is>
      </c>
      <c r="C458" s="25">
        <f>IF(COUNTIF('کدهای پیام‌داروساز'!$A$2:$A$2442,A458)&gt;0,"بله","خیر")</f>
        <v/>
      </c>
    </row>
    <row r="459" ht="15" customHeight="1" s="14">
      <c r="A459" s="24" t="n">
        <v>753</v>
      </c>
      <c r="B459" s="24" t="inlineStr">
        <is>
          <t>LIDOCAINE HYDROCHLORIDE INJECTION PARENTERAL 2 % 5 mL</t>
        </is>
      </c>
      <c r="C459" s="25">
        <f>IF(COUNTIF('کدهای پیام‌داروساز'!$A$2:$A$2442,A459)&gt;0,"بله","خیر")</f>
        <v/>
      </c>
    </row>
    <row r="460" ht="15" customHeight="1" s="14">
      <c r="A460" s="24" t="n">
        <v>755</v>
      </c>
      <c r="B460" s="24" t="inlineStr">
        <is>
          <t>LIDOCAINE HYDROCHLORIDE INJECTION PARENTERAL 1 % 50 mL</t>
        </is>
      </c>
      <c r="C460" s="25">
        <f>IF(COUNTIF('کدهای پیام‌داروساز'!$A$2:$A$2442,A460)&gt;0,"بله","خیر")</f>
        <v/>
      </c>
    </row>
    <row r="461" ht="15" customHeight="1" s="14">
      <c r="A461" s="24" t="n">
        <v>756</v>
      </c>
      <c r="B461" s="24" t="inlineStr">
        <is>
          <t>LIDOCAINE HYDROCHLORIDE GEL TOPICAL 2 % 15 g</t>
        </is>
      </c>
      <c r="C461" s="25">
        <f>IF(COUNTIF('کدهای پیام‌داروساز'!$A$2:$A$2442,A461)&gt;0,"بله","خیر")</f>
        <v/>
      </c>
    </row>
    <row r="462" ht="15" customHeight="1" s="14">
      <c r="A462" s="24" t="n">
        <v>757</v>
      </c>
      <c r="B462" s="24" t="inlineStr">
        <is>
          <t>LIDOCAINE HYDROCHLORIDE INJECTION, SOLUTION PARENTERAL 2 % 50 mL</t>
        </is>
      </c>
      <c r="C462" s="25">
        <f>IF(COUNTIF('کدهای پیام‌داروساز'!$A$2:$A$2442,A462)&gt;0,"بله","خیر")</f>
        <v/>
      </c>
    </row>
    <row r="463" ht="15" customHeight="1" s="14">
      <c r="A463" s="24" t="n">
        <v>762</v>
      </c>
      <c r="B463" s="24" t="inlineStr">
        <is>
          <t>LIDOCAINE / HYDROCORTISONE ACETATE OINTMENT RECTAL 5 %/0.5 % 15 g</t>
        </is>
      </c>
      <c r="C463" s="25">
        <f>IF(COUNTIF('کدهای پیام‌داروساز'!$A$2:$A$2442,A463)&gt;0,"بله","خیر")</f>
        <v/>
      </c>
    </row>
    <row r="464" ht="15" customHeight="1" s="14">
      <c r="A464" s="24" t="n">
        <v>763</v>
      </c>
      <c r="B464" s="24" t="inlineStr">
        <is>
          <t>LIOTHYRONINE SODIUM TABLET ORAL 25 ug</t>
        </is>
      </c>
      <c r="C464" s="25">
        <f>IF(COUNTIF('کدهای پیام‌داروساز'!$A$2:$A$2442,A464)&gt;0,"بله","خیر")</f>
        <v/>
      </c>
    </row>
    <row r="465" ht="15" customHeight="1" s="14">
      <c r="A465" s="24" t="n">
        <v>764</v>
      </c>
      <c r="B465" s="24" t="inlineStr">
        <is>
          <t>LISINOPRIL TABLET ORAL 10 mg</t>
        </is>
      </c>
      <c r="C465" s="25">
        <f>IF(COUNTIF('کدهای پیام‌داروساز'!$A$2:$A$2442,A465)&gt;0,"بله","خیر")</f>
        <v/>
      </c>
    </row>
    <row r="466" ht="15" customHeight="1" s="14">
      <c r="A466" s="24" t="n">
        <v>765</v>
      </c>
      <c r="B466" s="24" t="inlineStr">
        <is>
          <t>LISINOPRIL TABLET ORAL 20 mg</t>
        </is>
      </c>
      <c r="C466" s="25">
        <f>IF(COUNTIF('کدهای پیام‌داروساز'!$A$2:$A$2442,A466)&gt;0,"بله","خیر")</f>
        <v/>
      </c>
    </row>
    <row r="467" ht="15" customHeight="1" s="14">
      <c r="A467" s="24" t="n">
        <v>766</v>
      </c>
      <c r="B467" s="24" t="inlineStr">
        <is>
          <t>LISINOPRIL TABLET ORAL 5 mg</t>
        </is>
      </c>
      <c r="C467" s="25">
        <f>IF(COUNTIF('کدهای پیام‌داروساز'!$A$2:$A$2442,A467)&gt;0,"بله","خیر")</f>
        <v/>
      </c>
    </row>
    <row r="468" ht="15" customHeight="1" s="14">
      <c r="A468" s="24" t="n">
        <v>767</v>
      </c>
      <c r="B468" s="24" t="inlineStr">
        <is>
          <t>LITHIUM CARBONATE TABLET ORAL 300 mg</t>
        </is>
      </c>
      <c r="C468" s="25">
        <f>IF(COUNTIF('کدهای پیام‌داروساز'!$A$2:$A$2442,A468)&gt;0,"بله","خیر")</f>
        <v/>
      </c>
    </row>
    <row r="469" ht="15" customHeight="1" s="14">
      <c r="A469" s="24" t="n">
        <v>768</v>
      </c>
      <c r="B469" s="24" t="inlineStr">
        <is>
          <t>LITHIUM CARBONATE TABLET, EXTENDED RELEASE ORAL 400 mg</t>
        </is>
      </c>
      <c r="C469" s="25">
        <f>IF(COUNTIF('کدهای پیام‌داروساز'!$A$2:$A$2442,A469)&gt;0,"بله","خیر")</f>
        <v/>
      </c>
    </row>
    <row r="470" ht="15" customHeight="1" s="14">
      <c r="A470" s="24" t="n">
        <v>769</v>
      </c>
      <c r="B470" s="24" t="inlineStr">
        <is>
          <t>LOMUSTINE CAPSULE ORAL 40 mg</t>
        </is>
      </c>
      <c r="C470" s="25">
        <f>IF(COUNTIF('کدهای پیام‌داروساز'!$A$2:$A$2442,A470)&gt;0,"بله","خیر")</f>
        <v/>
      </c>
    </row>
    <row r="471" ht="15" customHeight="1" s="14">
      <c r="A471" s="24" t="n">
        <v>771</v>
      </c>
      <c r="B471" s="24" t="inlineStr">
        <is>
          <t>LORAZEPAM TABLET ORAL 1 mg</t>
        </is>
      </c>
      <c r="C471" s="25">
        <f>IF(COUNTIF('کدهای پیام‌داروساز'!$A$2:$A$2442,A471)&gt;0,"بله","خیر")</f>
        <v/>
      </c>
    </row>
    <row r="472" ht="15" customHeight="1" s="14">
      <c r="A472" s="24" t="n">
        <v>772</v>
      </c>
      <c r="B472" s="24" t="inlineStr">
        <is>
          <t>LORAZEPAM TABLET ORAL 2 mg</t>
        </is>
      </c>
      <c r="C472" s="25">
        <f>IF(COUNTIF('کدهای پیام‌داروساز'!$A$2:$A$2442,A472)&gt;0,"بله","خیر")</f>
        <v/>
      </c>
    </row>
    <row r="473" ht="15" customHeight="1" s="14">
      <c r="A473" s="24" t="n">
        <v>773</v>
      </c>
      <c r="B473" s="24" t="inlineStr">
        <is>
          <t>LOVASTATIN TABLET ORAL 20 mg</t>
        </is>
      </c>
      <c r="C473" s="25">
        <f>IF(COUNTIF('کدهای پیام‌داروساز'!$A$2:$A$2442,A473)&gt;0,"بله","خیر")</f>
        <v/>
      </c>
    </row>
    <row r="474" ht="15" customHeight="1" s="14">
      <c r="A474" s="24" t="n">
        <v>775</v>
      </c>
      <c r="B474" s="24" t="inlineStr">
        <is>
          <t>LYNESTRENOL TABLET ORAL 0.5 mg</t>
        </is>
      </c>
      <c r="C474" s="25">
        <f>IF(COUNTIF('کدهای پیام‌داروساز'!$A$2:$A$2442,A474)&gt;0,"بله","خیر")</f>
        <v/>
      </c>
    </row>
    <row r="475" ht="15" customHeight="1" s="14">
      <c r="A475" s="24" t="n">
        <v>777</v>
      </c>
      <c r="B475" s="24" t="inlineStr">
        <is>
          <t>MAGNESIUM HYDROXIDE SUSPENSION ORAL 8 % 240 mL</t>
        </is>
      </c>
      <c r="C475" s="25">
        <f>IF(COUNTIF('کدهای پیام‌داروساز'!$A$2:$A$2442,A475)&gt;0,"بله","خیر")</f>
        <v/>
      </c>
    </row>
    <row r="476" ht="15" customHeight="1" s="14">
      <c r="A476" s="24" t="n">
        <v>781</v>
      </c>
      <c r="B476" s="24" t="inlineStr">
        <is>
          <t>MANNITOL INJECTION, SOLUTION INTRAVENOUS 10 % 500 mL</t>
        </is>
      </c>
      <c r="C476" s="25">
        <f>IF(COUNTIF('کدهای پیام‌داروساز'!$A$2:$A$2442,A476)&gt;0,"بله","خیر")</f>
        <v/>
      </c>
    </row>
    <row r="477" ht="15" customHeight="1" s="14">
      <c r="A477" s="24" t="n">
        <v>782</v>
      </c>
      <c r="B477" s="24" t="inlineStr">
        <is>
          <t>MANNITOL INJECTION, SOLUTION INTRAVENOUS 20 % 500 mL</t>
        </is>
      </c>
      <c r="C477" s="25">
        <f>IF(COUNTIF('کدهای پیام‌داروساز'!$A$2:$A$2442,A477)&gt;0,"بله","خیر")</f>
        <v/>
      </c>
    </row>
    <row r="478" ht="15" customHeight="1" s="14">
      <c r="A478" s="24" t="n">
        <v>783</v>
      </c>
      <c r="B478" s="24" t="inlineStr">
        <is>
          <t>MAPROTILINE HYDROCHLORIDE TABLET ORAL 25 mg</t>
        </is>
      </c>
      <c r="C478" s="25">
        <f>IF(COUNTIF('کدهای پیام‌داروساز'!$A$2:$A$2442,A478)&gt;0,"بله","خیر")</f>
        <v/>
      </c>
    </row>
    <row r="479" ht="15" customHeight="1" s="14">
      <c r="A479" s="24" t="n">
        <v>784</v>
      </c>
      <c r="B479" s="24" t="inlineStr">
        <is>
          <t>MAPROTILINE HYDROCHLORIDE TABLET ORAL 75 mg</t>
        </is>
      </c>
      <c r="C479" s="25">
        <f>IF(COUNTIF('کدهای پیام‌داروساز'!$A$2:$A$2442,A479)&gt;0,"بله","خیر")</f>
        <v/>
      </c>
    </row>
    <row r="480" ht="15" customHeight="1" s="14">
      <c r="A480" s="24" t="n">
        <v>785</v>
      </c>
      <c r="B480" s="24" t="inlineStr">
        <is>
          <t>MESALAZINE ENEMA RECTAL 4 g/100mL</t>
        </is>
      </c>
      <c r="C480" s="25">
        <f>IF(COUNTIF('کدهای پیام‌داروساز'!$A$2:$A$2442,A480)&gt;0,"بله","خیر")</f>
        <v/>
      </c>
    </row>
    <row r="481" ht="15" customHeight="1" s="14">
      <c r="A481" s="24" t="n">
        <v>786</v>
      </c>
      <c r="B481" s="24" t="inlineStr">
        <is>
          <t>MEBENDAZOLE TABLET, CHEWABLE ORAL 100 mg</t>
        </is>
      </c>
      <c r="C481" s="25">
        <f>IF(COUNTIF('کدهای پیام‌داروساز'!$A$2:$A$2442,A481)&gt;0,"بله","خیر")</f>
        <v/>
      </c>
    </row>
    <row r="482" ht="15" customHeight="1" s="14">
      <c r="A482" s="24" t="n">
        <v>787</v>
      </c>
      <c r="B482" s="24" t="inlineStr">
        <is>
          <t>MEBEVERINE HYDROCHLORIDE TABLET ORAL 135 mg</t>
        </is>
      </c>
      <c r="C482" s="25">
        <f>IF(COUNTIF('کدهای پیام‌داروساز'!$A$2:$A$2442,A482)&gt;0,"بله","خیر")</f>
        <v/>
      </c>
    </row>
    <row r="483" ht="15" customHeight="1" s="14">
      <c r="A483" s="24" t="n">
        <v>791</v>
      </c>
      <c r="B483" s="24" t="inlineStr">
        <is>
          <t>MEDROXYPROGESTERONE ACETATE INJECTION, SUSPENSION PARENTERAL 150 mg/1mL 1 mL</t>
        </is>
      </c>
      <c r="C483" s="25">
        <f>IF(COUNTIF('کدهای پیام‌داروساز'!$A$2:$A$2442,A483)&gt;0,"بله","خیر")</f>
        <v/>
      </c>
    </row>
    <row r="484" ht="15" customHeight="1" s="14">
      <c r="A484" s="24" t="n">
        <v>792</v>
      </c>
      <c r="B484" s="24" t="inlineStr">
        <is>
          <t>MEDROXYPROGESTERONE ACETATE TABLET ORAL 5 mg</t>
        </is>
      </c>
      <c r="C484" s="25">
        <f>IF(COUNTIF('کدهای پیام‌داروساز'!$A$2:$A$2442,A484)&gt;0,"بله","خیر")</f>
        <v/>
      </c>
    </row>
    <row r="485" ht="15" customHeight="1" s="14">
      <c r="A485" s="24" t="n">
        <v>794</v>
      </c>
      <c r="B485" s="24" t="inlineStr">
        <is>
          <t>MEFENAMIC ACID CAPSULE ORAL 250 mg</t>
        </is>
      </c>
      <c r="C485" s="25">
        <f>IF(COUNTIF('کدهای پیام‌داروساز'!$A$2:$A$2442,A485)&gt;0,"بله","خیر")</f>
        <v/>
      </c>
    </row>
    <row r="486" ht="15" customHeight="1" s="14">
      <c r="A486" s="24" t="n">
        <v>795</v>
      </c>
      <c r="B486" s="24" t="inlineStr">
        <is>
          <t>MAFENIDE ACETATE CREAM TOPICAL 112 mg/1g 30 g</t>
        </is>
      </c>
      <c r="C486" s="25">
        <f>IF(COUNTIF('کدهای پیام‌داروساز'!$A$2:$A$2442,A486)&gt;0,"بله","خیر")</f>
        <v/>
      </c>
    </row>
    <row r="487" ht="15" customHeight="1" s="14">
      <c r="A487" s="24" t="n">
        <v>796</v>
      </c>
      <c r="B487" s="24" t="inlineStr">
        <is>
          <t>MEFLOQUINE TABLET ORAL 250 mg</t>
        </is>
      </c>
      <c r="C487" s="25">
        <f>IF(COUNTIF('کدهای پیام‌داروساز'!$A$2:$A$2442,A487)&gt;0,"بله","خیر")</f>
        <v/>
      </c>
    </row>
    <row r="488" ht="15" customHeight="1" s="14">
      <c r="A488" s="24" t="n">
        <v>797</v>
      </c>
      <c r="B488" s="24" t="inlineStr">
        <is>
          <t>MEGLUMINE ANTIMONATE INJECTION, SOLUTION PARENTERAL 300 mg/1mL 5 mL</t>
        </is>
      </c>
      <c r="C488" s="25">
        <f>IF(COUNTIF('کدهای پیام‌داروساز'!$A$2:$A$2442,A488)&gt;0,"بله","خیر")</f>
        <v/>
      </c>
    </row>
    <row r="489" ht="15" customHeight="1" s="14">
      <c r="A489" s="24" t="n">
        <v>798</v>
      </c>
      <c r="B489" s="24" t="inlineStr">
        <is>
          <t>MEGLUMINE COMPOUND INJECTION PARENTERAL 66 %/10 % 100 mL</t>
        </is>
      </c>
      <c r="C489" s="25">
        <f>IF(COUNTIF('کدهای پیام‌داروساز'!$A$2:$A$2442,A489)&gt;0,"بله","خیر")</f>
        <v/>
      </c>
    </row>
    <row r="490" ht="15" customHeight="1" s="14">
      <c r="A490" s="24" t="n">
        <v>799</v>
      </c>
      <c r="B490" s="24" t="inlineStr">
        <is>
          <t>MEGLUMINE COMPOUND INJECTION PARENTERAL 66 %/10 % 20 mL</t>
        </is>
      </c>
      <c r="C490" s="25">
        <f>IF(COUNTIF('کدهای پیام‌داروساز'!$A$2:$A$2442,A490)&gt;0,"بله","خیر")</f>
        <v/>
      </c>
    </row>
    <row r="491" ht="15" customHeight="1" s="14">
      <c r="A491" s="24" t="n">
        <v>800</v>
      </c>
      <c r="B491" s="24" t="inlineStr">
        <is>
          <t>MEGESTROL ACETATE TABLET ORAL 40 mg</t>
        </is>
      </c>
      <c r="C491" s="25">
        <f>IF(COUNTIF('کدهای پیام‌داروساز'!$A$2:$A$2442,A491)&gt;0,"بله","خیر")</f>
        <v/>
      </c>
    </row>
    <row r="492" ht="15" customHeight="1" s="14">
      <c r="A492" s="24" t="n">
        <v>801</v>
      </c>
      <c r="B492" s="24" t="inlineStr">
        <is>
          <t>MEGLUMINE COMPOUND SOLUTION ORAL 66 %/10 % 100 mL</t>
        </is>
      </c>
      <c r="C492" s="25">
        <f>IF(COUNTIF('کدهای پیام‌داروساز'!$A$2:$A$2442,A492)&gt;0,"بله","خیر")</f>
        <v/>
      </c>
    </row>
    <row r="493" ht="15" customHeight="1" s="14">
      <c r="A493" s="24" t="n">
        <v>802</v>
      </c>
      <c r="B493" s="24" t="inlineStr">
        <is>
          <t>MEGLUMINE COMPOUND INJECTION PARENTERAL 52.1 %/7.9 % 20 mL</t>
        </is>
      </c>
      <c r="C493" s="25">
        <f>IF(COUNTIF('کدهای پیام‌داروساز'!$A$2:$A$2442,A493)&gt;0,"بله","خیر")</f>
        <v/>
      </c>
    </row>
    <row r="494" ht="15" customHeight="1" s="14">
      <c r="A494" s="24" t="n">
        <v>803</v>
      </c>
      <c r="B494" s="24" t="inlineStr">
        <is>
          <t>MELPHALAN TABLET ORAL 2 mg</t>
        </is>
      </c>
      <c r="C494" s="25">
        <f>IF(COUNTIF('کدهای پیام‌داروساز'!$A$2:$A$2442,A494)&gt;0,"بله","خیر")</f>
        <v/>
      </c>
    </row>
    <row r="495" ht="15" customHeight="1" s="14">
      <c r="A495" s="24" t="n">
        <v>804</v>
      </c>
      <c r="B495" s="24" t="inlineStr">
        <is>
          <t>MENOTROPINS INJECTION, POWDER, LYOPHILIZED, FOR SOLUTION PARENTERAL 75 [iU]/75 [iU]</t>
        </is>
      </c>
      <c r="C495" s="25">
        <f>IF(COUNTIF('کدهای پیام‌داروساز'!$A$2:$A$2442,A495)&gt;0,"بله","خیر")</f>
        <v/>
      </c>
    </row>
    <row r="496" ht="15" customHeight="1" s="14">
      <c r="A496" s="24" t="n">
        <v>807</v>
      </c>
      <c r="B496" s="24" t="inlineStr">
        <is>
          <t>MENTHOL SALICYLATE OINTMENT TOPICAL 10 %/15 % 30 g</t>
        </is>
      </c>
      <c r="C496" s="25">
        <f>IF(COUNTIF('کدهای پیام‌داروساز'!$A$2:$A$2442,A496)&gt;0,"بله","خیر")</f>
        <v/>
      </c>
    </row>
    <row r="497" ht="15" customHeight="1" s="14">
      <c r="A497" s="24" t="n">
        <v>811</v>
      </c>
      <c r="B497" s="24" t="inlineStr">
        <is>
          <t>MERCAPTOPURINE TABLET ORAL 50 mg</t>
        </is>
      </c>
      <c r="C497" s="25">
        <f>IF(COUNTIF('کدهای پیام‌داروساز'!$A$2:$A$2442,A497)&gt;0,"بله","خیر")</f>
        <v/>
      </c>
    </row>
    <row r="498" ht="15" customHeight="1" s="14">
      <c r="A498" s="24" t="n">
        <v>812</v>
      </c>
      <c r="B498" s="24" t="inlineStr">
        <is>
          <t>MESALAZINE TABLET, DELAYED RELEASE ORAL 400 mg</t>
        </is>
      </c>
      <c r="C498" s="25">
        <f>IF(COUNTIF('کدهای پیام‌داروساز'!$A$2:$A$2442,A498)&gt;0,"بله","خیر")</f>
        <v/>
      </c>
    </row>
    <row r="499" ht="15" customHeight="1" s="14">
      <c r="A499" s="24" t="n">
        <v>813</v>
      </c>
      <c r="B499" s="24" t="inlineStr">
        <is>
          <t>MESALAZINE TABLET, DELAYED RELEASE ORAL 500 mg</t>
        </is>
      </c>
      <c r="C499" s="25">
        <f>IF(COUNTIF('کدهای پیام‌داروساز'!$A$2:$A$2442,A499)&gt;0,"بله","خیر")</f>
        <v/>
      </c>
    </row>
    <row r="500" ht="15" customHeight="1" s="14">
      <c r="A500" s="24" t="n">
        <v>814</v>
      </c>
      <c r="B500" s="24" t="inlineStr">
        <is>
          <t>MESNA INJECTION PARENTERAL 100 mg/1mL 4 mL</t>
        </is>
      </c>
      <c r="C500" s="25">
        <f>IF(COUNTIF('کدهای پیام‌داروساز'!$A$2:$A$2442,A500)&gt;0,"بله","خیر")</f>
        <v/>
      </c>
    </row>
    <row r="501" ht="15" customHeight="1" s="14">
      <c r="A501" s="24" t="n">
        <v>817</v>
      </c>
      <c r="B501" s="24" t="inlineStr">
        <is>
          <t>METFORMIN HYDROCHLORIDE TABLET ORAL 500 mg</t>
        </is>
      </c>
      <c r="C501" s="25">
        <f>IF(COUNTIF('کدهای پیام‌داروساز'!$A$2:$A$2442,A501)&gt;0,"بله","خیر")</f>
        <v/>
      </c>
    </row>
    <row r="502" ht="15" customHeight="1" s="14">
      <c r="A502" s="24" t="n">
        <v>818</v>
      </c>
      <c r="B502" s="24" t="inlineStr">
        <is>
          <t>METHADONE HYDROCHLORIDE TABLET ORAL 5 mg</t>
        </is>
      </c>
      <c r="C502" s="25">
        <f>IF(COUNTIF('کدهای پیام‌داروساز'!$A$2:$A$2442,A502)&gt;0,"بله","خیر")</f>
        <v/>
      </c>
    </row>
    <row r="503" ht="15" customHeight="1" s="14">
      <c r="A503" s="24" t="n">
        <v>819</v>
      </c>
      <c r="B503" s="24" t="inlineStr">
        <is>
          <t>METHADONE HYDROCHLORIDE INJECTION PARENTERAL 5 mg/1mL 1 mL</t>
        </is>
      </c>
      <c r="C503" s="25">
        <f>IF(COUNTIF('کدهای پیام‌داروساز'!$A$2:$A$2442,A503)&gt;0,"بله","خیر")</f>
        <v/>
      </c>
    </row>
    <row r="504" ht="15" customHeight="1" s="14">
      <c r="A504" s="24" t="n">
        <v>821</v>
      </c>
      <c r="B504" s="24" t="inlineStr">
        <is>
          <t>METHIMAZOLE TABLET ORAL 5 mg</t>
        </is>
      </c>
      <c r="C504" s="25">
        <f>IF(COUNTIF('کدهای پیام‌داروساز'!$A$2:$A$2442,A504)&gt;0,"بله","خیر")</f>
        <v/>
      </c>
    </row>
    <row r="505" ht="15" customHeight="1" s="14">
      <c r="A505" s="24" t="n">
        <v>822</v>
      </c>
      <c r="B505" s="24" t="inlineStr">
        <is>
          <t>METHOCARBAMOL INJECTION PARENTERAL 100 mg/1mL 10 mL</t>
        </is>
      </c>
      <c r="C505" s="25">
        <f>IF(COUNTIF('کدهای پیام‌داروساز'!$A$2:$A$2442,A505)&gt;0,"بله","خیر")</f>
        <v/>
      </c>
    </row>
    <row r="506" ht="15" customHeight="1" s="14">
      <c r="A506" s="24" t="n">
        <v>823</v>
      </c>
      <c r="B506" s="24" t="inlineStr">
        <is>
          <t>METHOCARBAMOL TABLET ORAL 500 mg</t>
        </is>
      </c>
      <c r="C506" s="25">
        <f>IF(COUNTIF('کدهای پیام‌داروساز'!$A$2:$A$2442,A506)&gt;0,"بله","خیر")</f>
        <v/>
      </c>
    </row>
    <row r="507" ht="15" customHeight="1" s="14">
      <c r="A507" s="24" t="n">
        <v>824</v>
      </c>
      <c r="B507" s="24" t="inlineStr">
        <is>
          <t>METHOTREXATE (AS SODIUM) TABLET ORAL 2.5 mg</t>
        </is>
      </c>
      <c r="C507" s="25">
        <f>IF(COUNTIF('کدهای پیام‌داروساز'!$A$2:$A$2442,A507)&gt;0,"بله","خیر")</f>
        <v/>
      </c>
    </row>
    <row r="508" ht="15" customHeight="1" s="14">
      <c r="A508" s="24" t="n">
        <v>826</v>
      </c>
      <c r="B508" s="24" t="inlineStr">
        <is>
          <t>METHOTREXATE SODIUM INJECTION, SOLUTION PARENTERAL 100 mg/1mL 10 mL</t>
        </is>
      </c>
      <c r="C508" s="25">
        <f>IF(COUNTIF('کدهای پیام‌داروساز'!$A$2:$A$2442,A508)&gt;0,"بله","خیر")</f>
        <v/>
      </c>
    </row>
    <row r="509" ht="15" customHeight="1" s="14">
      <c r="A509" s="24" t="n">
        <v>828</v>
      </c>
      <c r="B509" s="24" t="inlineStr">
        <is>
          <t>METHOTREXATE SODIUM INJECTION PARENTERAL 5 mg/1mL 1 mL</t>
        </is>
      </c>
      <c r="C509" s="25">
        <f>IF(COUNTIF('کدهای پیام‌داروساز'!$A$2:$A$2442,A509)&gt;0,"بله","خیر")</f>
        <v/>
      </c>
    </row>
    <row r="510" ht="15" customHeight="1" s="14">
      <c r="A510" s="24" t="n">
        <v>829</v>
      </c>
      <c r="B510" s="24" t="inlineStr">
        <is>
          <t>METHOXSALEN SOLUTION TOPICAL 1 % 30 mL</t>
        </is>
      </c>
      <c r="C510" s="25">
        <f>IF(COUNTIF('کدهای پیام‌داروساز'!$A$2:$A$2442,A510)&gt;0,"بله","خیر")</f>
        <v/>
      </c>
    </row>
    <row r="511" ht="15" customHeight="1" s="14">
      <c r="A511" s="24" t="n">
        <v>830</v>
      </c>
      <c r="B511" s="24" t="inlineStr">
        <is>
          <t>METHOXSALEN TABLET ORAL 10 mg</t>
        </is>
      </c>
      <c r="C511" s="25">
        <f>IF(COUNTIF('کدهای پیام‌داروساز'!$A$2:$A$2442,A511)&gt;0,"بله","خیر")</f>
        <v/>
      </c>
    </row>
    <row r="512" ht="15" customHeight="1" s="14">
      <c r="A512" s="24" t="n">
        <v>831</v>
      </c>
      <c r="B512" s="24" t="inlineStr">
        <is>
          <t>METHYL SALICYLATE OINTMENT TOPICAL 30 % 30 g</t>
        </is>
      </c>
      <c r="C512" s="25">
        <f>IF(COUNTIF('کدهای پیام‌داروساز'!$A$2:$A$2442,A512)&gt;0,"بله","خیر")</f>
        <v/>
      </c>
    </row>
    <row r="513" ht="15" customHeight="1" s="14">
      <c r="A513" s="24" t="n">
        <v>832</v>
      </c>
      <c r="B513" s="24" t="inlineStr">
        <is>
          <t>METHYLDOPA TABLET ORAL 250 mg</t>
        </is>
      </c>
      <c r="C513" s="25">
        <f>IF(COUNTIF('کدهای پیام‌داروساز'!$A$2:$A$2442,A513)&gt;0,"بله","خیر")</f>
        <v/>
      </c>
    </row>
    <row r="514" ht="15" customHeight="1" s="14">
      <c r="A514" s="24" t="n">
        <v>833</v>
      </c>
      <c r="B514" s="24" t="inlineStr">
        <is>
          <t>METHYLERGONOVINE MALEATE TABLET ORAL 0.125 mg</t>
        </is>
      </c>
      <c r="C514" s="25">
        <f>IF(COUNTIF('کدهای پیام‌داروساز'!$A$2:$A$2442,A514)&gt;0,"بله","خیر")</f>
        <v/>
      </c>
    </row>
    <row r="515" ht="15" customHeight="1" s="14">
      <c r="A515" s="24" t="n">
        <v>834</v>
      </c>
      <c r="B515" s="24" t="inlineStr">
        <is>
          <t>METHYLERGONOVINE MALEATE INJECTION PARENTERAL 0.2 mg/1mL 1 mL</t>
        </is>
      </c>
      <c r="C515" s="25">
        <f>IF(COUNTIF('کدهای پیام‌داروساز'!$A$2:$A$2442,A515)&gt;0,"بله","خیر")</f>
        <v/>
      </c>
    </row>
    <row r="516" ht="15" customHeight="1" s="14">
      <c r="A516" s="24" t="n">
        <v>835</v>
      </c>
      <c r="B516" s="24" t="inlineStr">
        <is>
          <t>METHYLPREDNISOLONE ACETATE INJECTION, SUSPENSION PARENTERAL 40 mg/1mL 1 mL</t>
        </is>
      </c>
      <c r="C516" s="25">
        <f>IF(COUNTIF('کدهای پیام‌داروساز'!$A$2:$A$2442,A516)&gt;0,"بله","خیر")</f>
        <v/>
      </c>
    </row>
    <row r="517" ht="15" customHeight="1" s="14">
      <c r="A517" s="24" t="n">
        <v>836</v>
      </c>
      <c r="B517" s="24" t="inlineStr">
        <is>
          <t>METHYLPREDNISOLONE (AS SODIUM SUCCINATE) INJECTION, POWDER, FOR SOLUTION PARENTERAL 500 mg</t>
        </is>
      </c>
      <c r="C517" s="25">
        <f>IF(COUNTIF('کدهای پیام‌داروساز'!$A$2:$A$2442,A517)&gt;0,"بله","خیر")</f>
        <v/>
      </c>
    </row>
    <row r="518" ht="15" customHeight="1" s="14">
      <c r="A518" s="24" t="n">
        <v>838</v>
      </c>
      <c r="B518" s="24" t="inlineStr">
        <is>
          <t>METHYLTESTOSTERONE TABLET ORAL 25 mg</t>
        </is>
      </c>
      <c r="C518" s="25">
        <f>IF(COUNTIF('کدهای پیام‌داروساز'!$A$2:$A$2442,A518)&gt;0,"بله","خیر")</f>
        <v/>
      </c>
    </row>
    <row r="519" ht="15" customHeight="1" s="14">
      <c r="A519" s="24" t="n">
        <v>839</v>
      </c>
      <c r="B519" s="24" t="inlineStr">
        <is>
          <t>METOCLOPRAMIDE (AS HYDROCHLORIDE) INJECTION PARENTERAL 5 mg/1mL 2 mL</t>
        </is>
      </c>
      <c r="C519" s="25">
        <f>IF(COUNTIF('کدهای پیام‌داروساز'!$A$2:$A$2442,A519)&gt;0,"بله","خیر")</f>
        <v/>
      </c>
    </row>
    <row r="520" ht="15" customHeight="1" s="14">
      <c r="A520" s="24" t="n">
        <v>840</v>
      </c>
      <c r="B520" s="24" t="inlineStr">
        <is>
          <t>METOCLOPRAMIDE HYDROCHLORIDE SOLUTION, DROPS ORAL 4 mg/1mL 15 mL</t>
        </is>
      </c>
      <c r="C520" s="25">
        <f>IF(COUNTIF('کدهای پیام‌داروساز'!$A$2:$A$2442,A520)&gt;0,"بله","خیر")</f>
        <v/>
      </c>
    </row>
    <row r="521" ht="15" customHeight="1" s="14">
      <c r="A521" s="24" t="n">
        <v>841</v>
      </c>
      <c r="B521" s="24" t="inlineStr">
        <is>
          <t>METOCLOPRAMIDE HYDROCHLORIDE TABLET ORAL 10 mg</t>
        </is>
      </c>
      <c r="C521" s="25">
        <f>IF(COUNTIF('کدهای پیام‌داروساز'!$A$2:$A$2442,A521)&gt;0,"بله","خیر")</f>
        <v/>
      </c>
    </row>
    <row r="522" ht="15" customHeight="1" s="14">
      <c r="A522" s="24" t="n">
        <v>843</v>
      </c>
      <c r="B522" s="24" t="inlineStr">
        <is>
          <t>METRONIDAZOLE INJECTION, SOLUTION PARENTERAL 5 mg/1mL 100 mL</t>
        </is>
      </c>
      <c r="C522" s="25">
        <f>IF(COUNTIF('کدهای پیام‌داروساز'!$A$2:$A$2442,A522)&gt;0,"بله","خیر")</f>
        <v/>
      </c>
    </row>
    <row r="523" ht="15" customHeight="1" s="14">
      <c r="A523" s="24" t="n">
        <v>844</v>
      </c>
      <c r="B523" s="24" t="inlineStr">
        <is>
          <t>METRONIDAZOLE (AS BENZOATE) SUSPENSION ORAL 125 mg/5mL 120 mL</t>
        </is>
      </c>
      <c r="C523" s="25">
        <f>IF(COUNTIF('کدهای پیام‌داروساز'!$A$2:$A$2442,A523)&gt;0,"بله","خیر")</f>
        <v/>
      </c>
    </row>
    <row r="524" ht="15" customHeight="1" s="14">
      <c r="A524" s="24" t="n">
        <v>845</v>
      </c>
      <c r="B524" s="24" t="inlineStr">
        <is>
          <t>METRONIDAZOLE TABLET ORAL 250 mg</t>
        </is>
      </c>
      <c r="C524" s="25">
        <f>IF(COUNTIF('کدهای پیام‌داروساز'!$A$2:$A$2442,A524)&gt;0,"بله","خیر")</f>
        <v/>
      </c>
    </row>
    <row r="525" ht="15" customHeight="1" s="14">
      <c r="A525" s="24" t="n">
        <v>846</v>
      </c>
      <c r="B525" s="24" t="inlineStr">
        <is>
          <t>METRONIDAZOLE TABLET VAGINAL 500 mg</t>
        </is>
      </c>
      <c r="C525" s="25">
        <f>IF(COUNTIF('کدهای پیام‌داروساز'!$A$2:$A$2442,A525)&gt;0,"بله","خیر")</f>
        <v/>
      </c>
    </row>
    <row r="526" ht="15" customHeight="1" s="14">
      <c r="A526" s="24" t="n">
        <v>848</v>
      </c>
      <c r="B526" s="24" t="inlineStr">
        <is>
          <t>MEXILETINE CAPSULE ORAL 100 mg</t>
        </is>
      </c>
      <c r="C526" s="25">
        <f>IF(COUNTIF('کدهای پیام‌داروساز'!$A$2:$A$2442,A526)&gt;0,"بله","خیر")</f>
        <v/>
      </c>
    </row>
    <row r="527" ht="15" customHeight="1" s="14">
      <c r="A527" s="24" t="n">
        <v>849</v>
      </c>
      <c r="B527" s="24" t="inlineStr">
        <is>
          <t>MEXILETINE CAPSULE ORAL 200 mg</t>
        </is>
      </c>
      <c r="C527" s="25">
        <f>IF(COUNTIF('کدهای پیام‌داروساز'!$A$2:$A$2442,A527)&gt;0,"بله","خیر")</f>
        <v/>
      </c>
    </row>
    <row r="528" ht="15" customHeight="1" s="14">
      <c r="A528" s="24" t="n">
        <v>850</v>
      </c>
      <c r="B528" s="24" t="inlineStr">
        <is>
          <t>MICONAZOLE NITRATE CREAM VAGINAL 2 % 45 g</t>
        </is>
      </c>
      <c r="C528" s="25">
        <f>IF(COUNTIF('کدهای پیام‌داروساز'!$A$2:$A$2442,A528)&gt;0,"بله","خیر")</f>
        <v/>
      </c>
    </row>
    <row r="529" ht="15" customHeight="1" s="14">
      <c r="A529" s="24" t="n">
        <v>851</v>
      </c>
      <c r="B529" s="24" t="inlineStr">
        <is>
          <t>MICONAZOLE NITRATE CREAM TOPICAL 2 % 30 g</t>
        </is>
      </c>
      <c r="C529" s="25">
        <f>IF(COUNTIF('کدهای پیام‌داروساز'!$A$2:$A$2442,A529)&gt;0,"بله","خیر")</f>
        <v/>
      </c>
    </row>
    <row r="530" ht="15" customHeight="1" s="14">
      <c r="A530" s="24" t="n">
        <v>852</v>
      </c>
      <c r="B530" s="24" t="inlineStr">
        <is>
          <t>MIDAZOLAM INJECTION PARENTERAL 5 mg/1mL 1 mL</t>
        </is>
      </c>
      <c r="C530" s="25">
        <f>IF(COUNTIF('کدهای پیام‌داروساز'!$A$2:$A$2442,A530)&gt;0,"بله","خیر")</f>
        <v/>
      </c>
    </row>
    <row r="531" ht="15" customHeight="1" s="14">
      <c r="A531" s="24" t="n">
        <v>855</v>
      </c>
      <c r="B531" s="24" t="inlineStr">
        <is>
          <t>MINOXIDIL TABLET ORAL 10 mg</t>
        </is>
      </c>
      <c r="C531" s="25">
        <f>IF(COUNTIF('کدهای پیام‌داروساز'!$A$2:$A$2442,A531)&gt;0,"بله","خیر")</f>
        <v/>
      </c>
    </row>
    <row r="532" ht="15" customHeight="1" s="14">
      <c r="A532" s="24" t="n">
        <v>856</v>
      </c>
      <c r="B532" s="24" t="inlineStr">
        <is>
          <t>MINOXIDIL SOLUTION TOPICAL 20 mg/1mL 60 mL</t>
        </is>
      </c>
      <c r="C532" s="25">
        <f>IF(COUNTIF('کدهای پیام‌داروساز'!$A$2:$A$2442,A532)&gt;0,"بله","خیر")</f>
        <v/>
      </c>
    </row>
    <row r="533" ht="15" customHeight="1" s="14">
      <c r="A533" s="24" t="n">
        <v>857</v>
      </c>
      <c r="B533" s="24" t="inlineStr">
        <is>
          <t>MITOMYCIN INJECTION, POWDER, FOR SOLUTION PARENTERAL 2 mg</t>
        </is>
      </c>
      <c r="C533" s="25">
        <f>IF(COUNTIF('کدهای پیام‌داروساز'!$A$2:$A$2442,A533)&gt;0,"بله","خیر")</f>
        <v/>
      </c>
    </row>
    <row r="534" ht="15" customHeight="1" s="14">
      <c r="A534" s="24" t="n">
        <v>858</v>
      </c>
      <c r="B534" s="24" t="inlineStr">
        <is>
          <t>MITOTANE TABLET ORAL 500 mg</t>
        </is>
      </c>
      <c r="C534" s="25">
        <f>IF(COUNTIF('کدهای پیام‌داروساز'!$A$2:$A$2442,A534)&gt;0,"بله","خیر")</f>
        <v/>
      </c>
    </row>
    <row r="535" ht="15" customHeight="1" s="14">
      <c r="A535" s="24" t="n">
        <v>859</v>
      </c>
      <c r="B535" s="24" t="inlineStr">
        <is>
          <t>MITOXANTRONE (AS HYDROCHLORIDE) INJECTION, SOLUTION PARENTERAL 2 mg/1mL 10 mL</t>
        </is>
      </c>
      <c r="C535" s="25">
        <f>IF(COUNTIF('کدهای پیام‌داروساز'!$A$2:$A$2442,A535)&gt;0,"بله","خیر")</f>
        <v/>
      </c>
    </row>
    <row r="536" ht="15" customHeight="1" s="14">
      <c r="A536" s="24" t="n">
        <v>864</v>
      </c>
      <c r="B536" s="24" t="inlineStr">
        <is>
          <t>MONOBENZONE CREAM TOPICAL 20 % 30 g</t>
        </is>
      </c>
      <c r="C536" s="25">
        <f>IF(COUNTIF('کدهای پیام‌داروساز'!$A$2:$A$2442,A536)&gt;0,"بله","خیر")</f>
        <v/>
      </c>
    </row>
    <row r="537" ht="15" customHeight="1" s="14">
      <c r="A537" s="24" t="n">
        <v>865</v>
      </c>
      <c r="B537" s="24" t="inlineStr">
        <is>
          <t>MORPHINE HYDROCHOLORIDE INJECTION PARENTERAL 10 mg/1mL 1 mL</t>
        </is>
      </c>
      <c r="C537" s="25">
        <f>IF(COUNTIF('کدهای پیام‌داروساز'!$A$2:$A$2442,A537)&gt;0,"بله","خیر")</f>
        <v/>
      </c>
    </row>
    <row r="538" ht="15" customHeight="1" s="14">
      <c r="A538" s="24" t="n">
        <v>867</v>
      </c>
      <c r="B538" s="24" t="inlineStr">
        <is>
          <t>MULTIVITAMIN THERAPEUTIC CAPSULE ORAL 25000 [iU]/20 mg/5 mg/50 mg/10 mg/5 ug/150 mg/0.25 mg/1000 [iU]/10 mg/1 mg/11.6 mg/100 mg/5 mg/0.5 mg/0.1 mg/10 mg/0.5 mg/72.27 mg/1 mg</t>
        </is>
      </c>
      <c r="C538" s="25">
        <f>IF(COUNTIF('کدهای پیام‌داروساز'!$A$2:$A$2442,A538)&gt;0,"بله","خیر")</f>
        <v/>
      </c>
    </row>
    <row r="539" ht="15" customHeight="1" s="14">
      <c r="A539" s="24" t="n">
        <v>875</v>
      </c>
      <c r="B539" s="24" t="inlineStr">
        <is>
          <t>MUPIROCIN OINTMENT TOPICAL 2 % 15 g</t>
        </is>
      </c>
      <c r="C539" s="25">
        <f>IF(COUNTIF('کدهای پیام‌داروساز'!$A$2:$A$2442,A539)&gt;0,"بله","خیر")</f>
        <v/>
      </c>
    </row>
    <row r="540" ht="15" customHeight="1" s="14">
      <c r="A540" s="24" t="n">
        <v>879</v>
      </c>
      <c r="B540" s="24" t="inlineStr">
        <is>
          <t>IMMUNE GLOBULIN INJECTION, POWDER, LYOPHILIZED, FOR SOLUTION INTRAVENOUS 6 g</t>
        </is>
      </c>
      <c r="C540" s="25">
        <f>IF(COUNTIF('کدهای پیام‌داروساز'!$A$2:$A$2442,A540)&gt;0,"بله","خیر")</f>
        <v/>
      </c>
    </row>
    <row r="541" ht="15" customHeight="1" s="14">
      <c r="A541" s="24" t="n">
        <v>881</v>
      </c>
      <c r="B541" s="24" t="inlineStr">
        <is>
          <t>NALIDIXIC ACID TABLET ORAL 500 mg</t>
        </is>
      </c>
      <c r="C541" s="25">
        <f>IF(COUNTIF('کدهای پیام‌داروساز'!$A$2:$A$2442,A541)&gt;0,"بله","خیر")</f>
        <v/>
      </c>
    </row>
    <row r="542" ht="15" customHeight="1" s="14">
      <c r="A542" s="24" t="n">
        <v>882</v>
      </c>
      <c r="B542" s="24" t="inlineStr">
        <is>
          <t>NALIDIXIC ACID SUSPENSION ORAL 300 mg/5mL 120 mL</t>
        </is>
      </c>
      <c r="C542" s="25">
        <f>IF(COUNTIF('کدهای پیام‌داروساز'!$A$2:$A$2442,A542)&gt;0,"بله","خیر")</f>
        <v/>
      </c>
    </row>
    <row r="543" ht="15" customHeight="1" s="14">
      <c r="A543" s="24" t="n">
        <v>884</v>
      </c>
      <c r="B543" s="24" t="inlineStr">
        <is>
          <t>NANDROLONE DECANOATE INJECTION PARENTERAL 25 mg/1mL</t>
        </is>
      </c>
      <c r="C543" s="25">
        <f>IF(COUNTIF('کدهای پیام‌داروساز'!$A$2:$A$2442,A543)&gt;0,"بله","خیر")</f>
        <v/>
      </c>
    </row>
    <row r="544" ht="15" customHeight="1" s="14">
      <c r="A544" s="24" t="n">
        <v>886</v>
      </c>
      <c r="B544" s="24" t="inlineStr">
        <is>
          <t>NAPHAZOLINE HYDROCHLORIDE SOLUTION, DROPS NASAL 0.05 % 10 mL</t>
        </is>
      </c>
      <c r="C544" s="25">
        <f>IF(COUNTIF('کدهای پیام‌داروساز'!$A$2:$A$2442,A544)&gt;0,"بله","خیر")</f>
        <v/>
      </c>
    </row>
    <row r="545" ht="15" customHeight="1" s="14">
      <c r="A545" s="24" t="n">
        <v>887</v>
      </c>
      <c r="B545" s="24" t="inlineStr">
        <is>
          <t>NAPHAZOLINE HYDROCHLORIDE SOLUTION, DROPS OPHTHALMIC 0.1 % 10 mL</t>
        </is>
      </c>
      <c r="C545" s="25">
        <f>IF(COUNTIF('کدهای پیام‌داروساز'!$A$2:$A$2442,A545)&gt;0,"بله","خیر")</f>
        <v/>
      </c>
    </row>
    <row r="546" ht="15" customHeight="1" s="14">
      <c r="A546" s="24" t="n">
        <v>888</v>
      </c>
      <c r="B546" s="24" t="inlineStr">
        <is>
          <t>NAPHAZOLINE / ANTAZOLINE SOLUTION, DROPS OPHTHALMIC 0.05 %/0.5 % 10 mL</t>
        </is>
      </c>
      <c r="C546" s="25">
        <f>IF(COUNTIF('کدهای پیام‌داروساز'!$A$2:$A$2442,A546)&gt;0,"بله","خیر")</f>
        <v/>
      </c>
    </row>
    <row r="547" ht="15" customHeight="1" s="14">
      <c r="A547" s="24" t="n">
        <v>889</v>
      </c>
      <c r="B547" s="24" t="inlineStr">
        <is>
          <t>NAPROXEN TABLET ORAL 250 mg</t>
        </is>
      </c>
      <c r="C547" s="25">
        <f>IF(COUNTIF('کدهای پیام‌داروساز'!$A$2:$A$2442,A547)&gt;0,"بله","خیر")</f>
        <v/>
      </c>
    </row>
    <row r="548" ht="15" customHeight="1" s="14">
      <c r="A548" s="24" t="n">
        <v>890</v>
      </c>
      <c r="B548" s="24" t="inlineStr">
        <is>
          <t>NATAMYCIN SOLUTION, DROPS OPHTHALMIC 5 % 3 mL</t>
        </is>
      </c>
      <c r="C548" s="25">
        <f>IF(COUNTIF('کدهای پیام‌داروساز'!$A$2:$A$2442,A548)&gt;0,"بله","خیر")</f>
        <v/>
      </c>
    </row>
    <row r="549" ht="15" customHeight="1" s="14">
      <c r="A549" s="24" t="n">
        <v>893</v>
      </c>
      <c r="B549" s="24" t="inlineStr">
        <is>
          <t>NEOSTIGMINE METHYLSULFATE INJECTION PARENTERAL 0.5 mg/1mL 1 mL</t>
        </is>
      </c>
      <c r="C549" s="25">
        <f>IF(COUNTIF('کدهای پیام‌داروساز'!$A$2:$A$2442,A549)&gt;0,"بله","خیر")</f>
        <v/>
      </c>
    </row>
    <row r="550" ht="15" customHeight="1" s="14">
      <c r="A550" s="24" t="n">
        <v>895</v>
      </c>
      <c r="B550" s="24" t="inlineStr">
        <is>
          <t>NEOSTIGMINE METHYLSULFATE INJECTION PARENTERAL 2.5 mg/1mL 1 mL</t>
        </is>
      </c>
      <c r="C550" s="25">
        <f>IF(COUNTIF('کدهای پیام‌داروساز'!$A$2:$A$2442,A550)&gt;0,"بله","خیر")</f>
        <v/>
      </c>
    </row>
    <row r="551" ht="15" customHeight="1" s="14">
      <c r="A551" s="24" t="n">
        <v>897</v>
      </c>
      <c r="B551" s="24" t="inlineStr">
        <is>
          <t>NICLOSAMIDE TABLET, CHEWABLE ORAL 500 mg</t>
        </is>
      </c>
      <c r="C551" s="25">
        <f>IF(COUNTIF('کدهای پیام‌داروساز'!$A$2:$A$2442,A551)&gt;0,"بله","خیر")</f>
        <v/>
      </c>
    </row>
    <row r="552" ht="15" customHeight="1" s="14">
      <c r="A552" s="24" t="n">
        <v>898</v>
      </c>
      <c r="B552" s="24" t="inlineStr">
        <is>
          <t>NICOTINIC ACID TABLET ORAL 100 mg</t>
        </is>
      </c>
      <c r="C552" s="25">
        <f>IF(COUNTIF('کدهای پیام‌داروساز'!$A$2:$A$2442,A552)&gt;0,"بله","خیر")</f>
        <v/>
      </c>
    </row>
    <row r="553" ht="15" customHeight="1" s="14">
      <c r="A553" s="24" t="n">
        <v>899</v>
      </c>
      <c r="B553" s="24" t="inlineStr">
        <is>
          <t>NICOTINIC ACID TABLET ORAL 25 mg</t>
        </is>
      </c>
      <c r="C553" s="25">
        <f>IF(COUNTIF('کدهای پیام‌داروساز'!$A$2:$A$2442,A553)&gt;0,"بله","خیر")</f>
        <v/>
      </c>
    </row>
    <row r="554" ht="15" customHeight="1" s="14">
      <c r="A554" s="24" t="n">
        <v>902</v>
      </c>
      <c r="B554" s="24" t="inlineStr">
        <is>
          <t>NIFEDIPINE CAPSULE, LIQUID FILLED ORAL 10 mg</t>
        </is>
      </c>
      <c r="C554" s="25">
        <f>IF(COUNTIF('کدهای پیام‌داروساز'!$A$2:$A$2442,A554)&gt;0,"بله","خیر")</f>
        <v/>
      </c>
    </row>
    <row r="555" ht="15" customHeight="1" s="14">
      <c r="A555" s="24" t="n">
        <v>903</v>
      </c>
      <c r="B555" s="24" t="inlineStr">
        <is>
          <t>NIFEDIPINE TABLET ORAL 10 mg</t>
        </is>
      </c>
      <c r="C555" s="25">
        <f>IF(COUNTIF('کدهای پیام‌داروساز'!$A$2:$A$2442,A555)&gt;0,"بله","خیر")</f>
        <v/>
      </c>
    </row>
    <row r="556" ht="15" customHeight="1" s="14">
      <c r="A556" s="24" t="n">
        <v>904</v>
      </c>
      <c r="B556" s="24" t="inlineStr">
        <is>
          <t>NIMODIPINE INJECTION, SOLUTION INTRAVENOUS 0.2 mg/1mL 50 mL</t>
        </is>
      </c>
      <c r="C556" s="25">
        <f>IF(COUNTIF('کدهای پیام‌داروساز'!$A$2:$A$2442,A556)&gt;0,"بله","خیر")</f>
        <v/>
      </c>
    </row>
    <row r="557" ht="15" customHeight="1" s="14">
      <c r="A557" s="24" t="n">
        <v>905</v>
      </c>
      <c r="B557" s="24" t="inlineStr">
        <is>
          <t>NIMODIPINE TABLET ORAL 30 mg</t>
        </is>
      </c>
      <c r="C557" s="25">
        <f>IF(COUNTIF('کدهای پیام‌داروساز'!$A$2:$A$2442,A557)&gt;0,"بله","خیر")</f>
        <v/>
      </c>
    </row>
    <row r="558" ht="15" customHeight="1" s="14">
      <c r="A558" s="24" t="n">
        <v>906</v>
      </c>
      <c r="B558" s="24" t="inlineStr">
        <is>
          <t>NITRAZEPAM TABLET ORAL 5 mg</t>
        </is>
      </c>
      <c r="C558" s="25">
        <f>IF(COUNTIF('کدهای پیام‌داروساز'!$A$2:$A$2442,A558)&gt;0,"بله","خیر")</f>
        <v/>
      </c>
    </row>
    <row r="559" ht="15" customHeight="1" s="14">
      <c r="A559" s="24" t="n">
        <v>907</v>
      </c>
      <c r="B559" s="24" t="inlineStr">
        <is>
          <t>NITROFURANTOIN TABLET ORAL 100 mg</t>
        </is>
      </c>
      <c r="C559" s="25">
        <f>IF(COUNTIF('کدهای پیام‌داروساز'!$A$2:$A$2442,A559)&gt;0,"بله","خیر")</f>
        <v/>
      </c>
    </row>
    <row r="560" ht="15" customHeight="1" s="14">
      <c r="A560" s="24" t="n">
        <v>909</v>
      </c>
      <c r="B560" s="24" t="inlineStr">
        <is>
          <t>NITROFURAZONE CREAM TOPICAL 0.2 % 30 g</t>
        </is>
      </c>
      <c r="C560" s="25">
        <f>IF(COUNTIF('کدهای پیام‌داروساز'!$A$2:$A$2442,A560)&gt;0,"بله","خیر")</f>
        <v/>
      </c>
    </row>
    <row r="561" ht="15" customHeight="1" s="14">
      <c r="A561" s="24" t="n">
        <v>910</v>
      </c>
      <c r="B561" s="24" t="inlineStr">
        <is>
          <t>NITROGLYCERIN OINTMENT TOPICAL 2 % 30 g</t>
        </is>
      </c>
      <c r="C561" s="25">
        <f>IF(COUNTIF('کدهای پیام‌داروساز'!$A$2:$A$2442,A561)&gt;0,"بله","خیر")</f>
        <v/>
      </c>
    </row>
    <row r="562" ht="15" customHeight="1" s="14">
      <c r="A562" s="24" t="n">
        <v>913</v>
      </c>
      <c r="B562" s="24" t="inlineStr">
        <is>
          <t>NITROGLYCERIN TABLET, EXTENDED RELEASE ORAL 2.6 mg</t>
        </is>
      </c>
      <c r="C562" s="25">
        <f>IF(COUNTIF('کدهای پیام‌داروساز'!$A$2:$A$2442,A562)&gt;0,"بله","خیر")</f>
        <v/>
      </c>
    </row>
    <row r="563" ht="15" customHeight="1" s="14">
      <c r="A563" s="24" t="n">
        <v>914</v>
      </c>
      <c r="B563" s="24" t="inlineStr">
        <is>
          <t>NITROGLYCERIN INJECTION PARENTERAL 5 mg/1mL 2 mL</t>
        </is>
      </c>
      <c r="C563" s="25">
        <f>IF(COUNTIF('کدهای پیام‌داروساز'!$A$2:$A$2442,A563)&gt;0,"بله","خیر")</f>
        <v/>
      </c>
    </row>
    <row r="564" ht="15" customHeight="1" s="14">
      <c r="A564" s="24" t="n">
        <v>915</v>
      </c>
      <c r="B564" s="24" t="inlineStr">
        <is>
          <t>NITROGLYCERIN TABLET, EXTENDED RELEASE ORAL 6.4 mg</t>
        </is>
      </c>
      <c r="C564" s="25">
        <f>IF(COUNTIF('کدهای پیام‌داروساز'!$A$2:$A$2442,A564)&gt;0,"بله","خیر")</f>
        <v/>
      </c>
    </row>
    <row r="565" ht="15" customHeight="1" s="14">
      <c r="A565" s="24" t="n">
        <v>916</v>
      </c>
      <c r="B565" s="24" t="inlineStr">
        <is>
          <t>NITROPRUSSIDE SODIUM INJECTION, POWDER, FOR SOLUTION PARENTERAL 50 mg</t>
        </is>
      </c>
      <c r="C565" s="25">
        <f>IF(COUNTIF('کدهای پیام‌داروساز'!$A$2:$A$2442,A565)&gt;0,"بله","خیر")</f>
        <v/>
      </c>
    </row>
    <row r="566" ht="15" customHeight="1" s="14">
      <c r="A566" s="24" t="n">
        <v>921</v>
      </c>
      <c r="B566" s="24" t="inlineStr">
        <is>
          <t>NORTRIPTYLINE (AS HYDROCHLORIDE) TABLET ORAL 10 mg</t>
        </is>
      </c>
      <c r="C566" s="25">
        <f>IF(COUNTIF('کدهای پیام‌داروساز'!$A$2:$A$2442,A566)&gt;0,"بله","خیر")</f>
        <v/>
      </c>
    </row>
    <row r="567" ht="15" customHeight="1" s="14">
      <c r="A567" s="24" t="n">
        <v>922</v>
      </c>
      <c r="B567" s="24" t="inlineStr">
        <is>
          <t>NORTRIPTYLINE (AS HYDROCHLORIDE) TABLET ORAL 25 mg</t>
        </is>
      </c>
      <c r="C567" s="25">
        <f>IF(COUNTIF('کدهای پیام‌داروساز'!$A$2:$A$2442,A567)&gt;0,"بله","خیر")</f>
        <v/>
      </c>
    </row>
    <row r="568" ht="15" customHeight="1" s="14">
      <c r="A568" s="24" t="n">
        <v>923</v>
      </c>
      <c r="B568" s="24" t="inlineStr">
        <is>
          <t>NYSTATIN OINTMENT TOPICAL 100000 [iU]/1g 15 g</t>
        </is>
      </c>
      <c r="C568" s="25">
        <f>IF(COUNTIF('کدهای پیام‌داروساز'!$A$2:$A$2442,A568)&gt;0,"بله","خیر")</f>
        <v/>
      </c>
    </row>
    <row r="569" ht="15" customHeight="1" s="14">
      <c r="A569" s="24" t="n">
        <v>924</v>
      </c>
      <c r="B569" s="24" t="inlineStr">
        <is>
          <t>NYSTATIN TABLET VAGINAL 100000 [iU]</t>
        </is>
      </c>
      <c r="C569" s="25">
        <f>IF(COUNTIF('کدهای پیام‌داروساز'!$A$2:$A$2442,A569)&gt;0,"بله","خیر")</f>
        <v/>
      </c>
    </row>
    <row r="570" ht="15" customHeight="1" s="14">
      <c r="A570" s="24" t="n">
        <v>925</v>
      </c>
      <c r="B570" s="24" t="inlineStr">
        <is>
          <t>NYSTATIN POWDER, FOR SUSPENSION ORAL 100000 [iU]/1mL</t>
        </is>
      </c>
      <c r="C570" s="25">
        <f>IF(COUNTIF('کدهای پیام‌داروساز'!$A$2:$A$2442,A570)&gt;0,"بله","خیر")</f>
        <v/>
      </c>
    </row>
    <row r="571" ht="15" customHeight="1" s="14">
      <c r="A571" s="24" t="n">
        <v>926</v>
      </c>
      <c r="B571" s="24" t="inlineStr">
        <is>
          <t>NYSTATIN TABLET ORAL 500000 [iU]</t>
        </is>
      </c>
      <c r="C571" s="25">
        <f>IF(COUNTIF('کدهای پیام‌داروساز'!$A$2:$A$2442,A571)&gt;0,"بله","خیر")</f>
        <v/>
      </c>
    </row>
    <row r="572" ht="15" customHeight="1" s="14">
      <c r="A572" s="24" t="n">
        <v>928</v>
      </c>
      <c r="B572" s="24" t="inlineStr">
        <is>
          <t>OCTREOTIDE (AS ACETATE) INJECTION PARENTERAL 50 ug/1mL</t>
        </is>
      </c>
      <c r="C572" s="25">
        <f>IF(COUNTIF('کدهای پیام‌داروساز'!$A$2:$A$2442,A572)&gt;0,"بله","خیر")</f>
        <v/>
      </c>
    </row>
    <row r="573" ht="15" customHeight="1" s="14">
      <c r="A573" s="24" t="n">
        <v>930</v>
      </c>
      <c r="B573" s="24" t="inlineStr">
        <is>
          <t>OFLOXACIN TABLET ORAL 200 mg</t>
        </is>
      </c>
      <c r="C573" s="25">
        <f>IF(COUNTIF('کدهای پیام‌داروساز'!$A$2:$A$2442,A573)&gt;0,"بله","خیر")</f>
        <v/>
      </c>
    </row>
    <row r="574" ht="15" customHeight="1" s="14">
      <c r="A574" s="24" t="n">
        <v>931</v>
      </c>
      <c r="B574" s="24" t="inlineStr">
        <is>
          <t>OMEPRAZOLE CAPSULE, DELAYED RELEASE PELLETS ORAL 20 mg</t>
        </is>
      </c>
      <c r="C574" s="25">
        <f>IF(COUNTIF('کدهای پیام‌داروساز'!$A$2:$A$2442,A574)&gt;0,"بله","خیر")</f>
        <v/>
      </c>
    </row>
    <row r="575" ht="15" customHeight="1" s="14">
      <c r="A575" s="24" t="n">
        <v>932</v>
      </c>
      <c r="B575" s="24" t="inlineStr">
        <is>
          <t>OPHTHALMIC BATH-1 SOLUTION OPHTHALMIC 1610 mg/100 mL 20 mL</t>
        </is>
      </c>
      <c r="C575" s="25">
        <f>IF(COUNTIF('کدهای پیام‌داروساز'!$A$2:$A$2442,A575)&gt;0,"بله","خیر")</f>
        <v/>
      </c>
    </row>
    <row r="576" ht="15" customHeight="1" s="14">
      <c r="A576" s="24" t="n">
        <v>933</v>
      </c>
      <c r="B576" s="24" t="inlineStr">
        <is>
          <t>ORS POWDER, FOR SOLUTION ORAL</t>
        </is>
      </c>
      <c r="C576" s="25">
        <f>IF(COUNTIF('کدهای پیام‌داروساز'!$A$2:$A$2442,A576)&gt;0,"بله","خیر")</f>
        <v/>
      </c>
    </row>
    <row r="577" ht="15" customHeight="1" s="14">
      <c r="A577" s="24" t="n">
        <v>934</v>
      </c>
      <c r="B577" s="24" t="inlineStr">
        <is>
          <t>OXAZEPAM TABLET ORAL 10 mg</t>
        </is>
      </c>
      <c r="C577" s="25">
        <f>IF(COUNTIF('کدهای پیام‌داروساز'!$A$2:$A$2442,A577)&gt;0,"بله","خیر")</f>
        <v/>
      </c>
    </row>
    <row r="578" ht="15" customHeight="1" s="14">
      <c r="A578" s="24" t="n">
        <v>935</v>
      </c>
      <c r="B578" s="24" t="inlineStr">
        <is>
          <t>OXYBUTYNIN HYDROCHLORIDE TABLET ORAL 5 mg</t>
        </is>
      </c>
      <c r="C578" s="25">
        <f>IF(COUNTIF('کدهای پیام‌داروساز'!$A$2:$A$2442,A578)&gt;0,"بله","خیر")</f>
        <v/>
      </c>
    </row>
    <row r="579" ht="15" customHeight="1" s="14">
      <c r="A579" s="24" t="n">
        <v>936</v>
      </c>
      <c r="B579" s="24" t="inlineStr">
        <is>
          <t>OXYMETHOLONE TABLET ORAL 50 mg</t>
        </is>
      </c>
      <c r="C579" s="25">
        <f>IF(COUNTIF('کدهای پیام‌داروساز'!$A$2:$A$2442,A579)&gt;0,"بله","خیر")</f>
        <v/>
      </c>
    </row>
    <row r="580" ht="15" customHeight="1" s="14">
      <c r="A580" s="24" t="n">
        <v>939</v>
      </c>
      <c r="B580" s="24" t="inlineStr">
        <is>
          <t>OXYTOCIN INJECTION PARENTERAL 10 [iU]/1mL</t>
        </is>
      </c>
      <c r="C580" s="25">
        <f>IF(COUNTIF('کدهای پیام‌داروساز'!$A$2:$A$2442,A580)&gt;0,"بله","خیر")</f>
        <v/>
      </c>
    </row>
    <row r="581" ht="15" customHeight="1" s="14">
      <c r="A581" s="24" t="n">
        <v>940</v>
      </c>
      <c r="B581" s="24" t="inlineStr">
        <is>
          <t>OXYTOCIN INJECTION PARENTERAL 5 [iU]/1mL</t>
        </is>
      </c>
      <c r="C581" s="25">
        <f>IF(COUNTIF('کدهای پیام‌داروساز'!$A$2:$A$2442,A581)&gt;0,"بله","خیر")</f>
        <v/>
      </c>
    </row>
    <row r="582" ht="15" customHeight="1" s="14">
      <c r="A582" s="24" t="n">
        <v>941</v>
      </c>
      <c r="B582" s="24" t="inlineStr">
        <is>
          <t>POTASSIUM CHLORIDE CONCENTRATED INJECTION, SOLUTION, CONCENTRATE INTRAVENOUS 2 meq/1mL 50 mL</t>
        </is>
      </c>
      <c r="C582" s="25">
        <f>IF(COUNTIF('کدهای پیام‌داروساز'!$A$2:$A$2442,A582)&gt;0,"بله","خیر")</f>
        <v/>
      </c>
    </row>
    <row r="583" ht="15" customHeight="1" s="14">
      <c r="A583" s="24" t="n">
        <v>944</v>
      </c>
      <c r="B583" s="24" t="inlineStr">
        <is>
          <t>PANCREATIN TABLET, DELAYED RELEASE ORAL 8000 [iU]</t>
        </is>
      </c>
      <c r="C583" s="25">
        <f>IF(COUNTIF('کدهای پیام‌داروساز'!$A$2:$A$2442,A583)&gt;0,"بله","خیر")</f>
        <v/>
      </c>
    </row>
    <row r="584" ht="15" customHeight="1" s="14">
      <c r="A584" s="24" t="n">
        <v>946</v>
      </c>
      <c r="B584" s="24" t="inlineStr">
        <is>
          <t>PANCURONIUM BROMIDE INJECTION PARENTERAL 2 mg/1mL 2 mL</t>
        </is>
      </c>
      <c r="C584" s="25">
        <f>IF(COUNTIF('کدهای پیام‌داروساز'!$A$2:$A$2442,A584)&gt;0,"بله","خیر")</f>
        <v/>
      </c>
    </row>
    <row r="585" ht="15" customHeight="1" s="14">
      <c r="A585" s="24" t="n">
        <v>948</v>
      </c>
      <c r="B585" s="24" t="inlineStr">
        <is>
          <t>PAPAVERINE HYDROCHLORIDE INJECTION PARENTERAL 40 mg/1mL 1 mL</t>
        </is>
      </c>
      <c r="C585" s="25">
        <f>IF(COUNTIF('کدهای پیام‌داروساز'!$A$2:$A$2442,A585)&gt;0,"بله","خیر")</f>
        <v/>
      </c>
    </row>
    <row r="586" ht="15" customHeight="1" s="14">
      <c r="A586" s="24" t="n">
        <v>949</v>
      </c>
      <c r="B586" s="24" t="inlineStr">
        <is>
          <t>PARA AMINOBENZOIC ACID (PABA) LOTION TOPICAL 5 % 120 mL</t>
        </is>
      </c>
      <c r="C586" s="25">
        <f>IF(COUNTIF('کدهای پیام‌داروساز'!$A$2:$A$2442,A586)&gt;0,"بله","خیر")</f>
        <v/>
      </c>
    </row>
    <row r="587" ht="15" customHeight="1" s="14">
      <c r="A587" s="24" t="n">
        <v>954</v>
      </c>
      <c r="B587" s="24" t="inlineStr">
        <is>
          <t>PAROMOMYCIN CAPSULE ORAL 250 mg</t>
        </is>
      </c>
      <c r="C587" s="25">
        <f>IF(COUNTIF('کدهای پیام‌داروساز'!$A$2:$A$2442,A587)&gt;0,"بله","خیر")</f>
        <v/>
      </c>
    </row>
    <row r="588" ht="15" customHeight="1" s="14">
      <c r="A588" s="24" t="n">
        <v>955</v>
      </c>
      <c r="B588" s="24" t="inlineStr">
        <is>
          <t>PATENT BLUE V INJECTION PARENTERAL 25 mg/1mL 2 mL</t>
        </is>
      </c>
      <c r="C588" s="25">
        <f>IF(COUNTIF('کدهای پیام‌داروساز'!$A$2:$A$2442,A588)&gt;0,"بله","خیر")</f>
        <v/>
      </c>
    </row>
    <row r="589" ht="15" customHeight="1" s="14">
      <c r="A589" s="24" t="n">
        <v>956</v>
      </c>
      <c r="B589" s="24" t="inlineStr">
        <is>
          <t>PEDIATRIC GRIPPE SYRUP ORAL 0.67 mg/10 mg/5mL 60 mL</t>
        </is>
      </c>
      <c r="C589" s="25">
        <f>IF(COUNTIF('کدهای پیام‌داروساز'!$A$2:$A$2442,A589)&gt;0,"بله","خیر")</f>
        <v/>
      </c>
    </row>
    <row r="590" ht="15" customHeight="1" s="14">
      <c r="A590" s="24" t="n">
        <v>957</v>
      </c>
      <c r="B590" s="24" t="inlineStr">
        <is>
          <t>PENICILLIN G SODIUM INJECTION, POWDER PARENTERAL 5000000 [iU]</t>
        </is>
      </c>
      <c r="C590" s="25">
        <f>IF(COUNTIF('کدهای پیام‌داروساز'!$A$2:$A$2442,A590)&gt;0,"بله","خیر")</f>
        <v/>
      </c>
    </row>
    <row r="591" ht="15" customHeight="1" s="14">
      <c r="A591" s="24" t="n">
        <v>958</v>
      </c>
      <c r="B591" s="24" t="inlineStr">
        <is>
          <t>PENICILLIN G BENZATHIN INJECTION, POWDER PARENTERAL 1200000 [iU]</t>
        </is>
      </c>
      <c r="C591" s="25">
        <f>IF(COUNTIF('کدهای پیام‌داروساز'!$A$2:$A$2442,A591)&gt;0,"بله","خیر")</f>
        <v/>
      </c>
    </row>
    <row r="592" ht="15" customHeight="1" s="14">
      <c r="A592" s="24" t="n">
        <v>959</v>
      </c>
      <c r="B592" s="24" t="inlineStr">
        <is>
          <t>PENICILLIN G POTASSIUM INJECTION, POWDER PARENTERAL 1000000 [iU]</t>
        </is>
      </c>
      <c r="C592" s="25">
        <f>IF(COUNTIF('کدهای پیام‌داروساز'!$A$2:$A$2442,A592)&gt;0,"بله","خیر")</f>
        <v/>
      </c>
    </row>
    <row r="593" ht="15" customHeight="1" s="14">
      <c r="A593" s="24" t="n">
        <v>960</v>
      </c>
      <c r="B593" s="24" t="inlineStr">
        <is>
          <t>PENICILLIN G POTASSIUM INJECTION, POWDER PARENTERAL 5000000 [iU]</t>
        </is>
      </c>
      <c r="C593" s="25">
        <f>IF(COUNTIF('کدهای پیام‌داروساز'!$A$2:$A$2442,A593)&gt;0,"بله","خیر")</f>
        <v/>
      </c>
    </row>
    <row r="594" ht="15" customHeight="1" s="14">
      <c r="A594" s="24" t="n">
        <v>961</v>
      </c>
      <c r="B594" s="24" t="inlineStr">
        <is>
          <t>PENICILLIN G PROCAINE INJECTION, POWDER PARENTERAL 400000 [iU]</t>
        </is>
      </c>
      <c r="C594" s="25">
        <f>IF(COUNTIF('کدهای پیام‌داروساز'!$A$2:$A$2442,A594)&gt;0,"بله","خیر")</f>
        <v/>
      </c>
    </row>
    <row r="595" ht="15" customHeight="1" s="14">
      <c r="A595" s="24" t="n">
        <v>962</v>
      </c>
      <c r="B595" s="24" t="inlineStr">
        <is>
          <t>PENICILLIN G PROCAINE INJECTION, POWDER PARENTERAL 800000 [iU]</t>
        </is>
      </c>
      <c r="C595" s="25">
        <f>IF(COUNTIF('کدهای پیام‌داروساز'!$A$2:$A$2442,A595)&gt;0,"بله","خیر")</f>
        <v/>
      </c>
    </row>
    <row r="596" ht="15" customHeight="1" s="14">
      <c r="A596" s="24" t="n">
        <v>963</v>
      </c>
      <c r="B596" s="24" t="inlineStr">
        <is>
          <t>PENICILLIN V BENZATHINE POWDER, FOR SUSPENSION ORAL 400000 [iU]/5mL 100 mL</t>
        </is>
      </c>
      <c r="C596" s="25">
        <f>IF(COUNTIF('کدهای پیام‌داروساز'!$A$2:$A$2442,A596)&gt;0,"بله","خیر")</f>
        <v/>
      </c>
    </row>
    <row r="597" ht="15" customHeight="1" s="14">
      <c r="A597" s="24" t="n">
        <v>964</v>
      </c>
      <c r="B597" s="24" t="inlineStr">
        <is>
          <t>PENICILLIN V BENZATHINE POWDER, FOR SUSPENSION ORAL 200000 [iU]/5mL 100 mL</t>
        </is>
      </c>
      <c r="C597" s="25">
        <f>IF(COUNTIF('کدهای پیام‌داروساز'!$A$2:$A$2442,A597)&gt;0,"بله","خیر")</f>
        <v/>
      </c>
    </row>
    <row r="598" ht="15" customHeight="1" s="14">
      <c r="A598" s="24" t="n">
        <v>966</v>
      </c>
      <c r="B598" s="24" t="inlineStr">
        <is>
          <t>PENICILLIN V (AS POTASSIUM) TABLET ORAL 500 mg</t>
        </is>
      </c>
      <c r="C598" s="25">
        <f>IF(COUNTIF('کدهای پیام‌داروساز'!$A$2:$A$2442,A598)&gt;0,"بله","خیر")</f>
        <v/>
      </c>
    </row>
    <row r="599" ht="15" customHeight="1" s="14">
      <c r="A599" s="24" t="n">
        <v>968</v>
      </c>
      <c r="B599" s="24" t="inlineStr">
        <is>
          <t>PENICILLIN 6-3-3 INJECTION, POWDER PARENTERAL 600000 [iU]/300000 [iU]/300000 [iU]</t>
        </is>
      </c>
      <c r="C599" s="25">
        <f>IF(COUNTIF('کدهای پیام‌داروساز'!$A$2:$A$2442,A599)&gt;0,"بله","خیر")</f>
        <v/>
      </c>
    </row>
    <row r="600" ht="15" customHeight="1" s="14">
      <c r="A600" s="24" t="n">
        <v>970</v>
      </c>
      <c r="B600" s="24" t="inlineStr">
        <is>
          <t>PENTOXIFYLLINE TABLET, EXTENDED RELEASE ORAL 400 mg</t>
        </is>
      </c>
      <c r="C600" s="25">
        <f>IF(COUNTIF('کدهای پیام‌داروساز'!$A$2:$A$2442,A600)&gt;0,"بله","خیر")</f>
        <v/>
      </c>
    </row>
    <row r="601" ht="15" customHeight="1" s="14">
      <c r="A601" s="24" t="n">
        <v>972</v>
      </c>
      <c r="B601" s="24" t="inlineStr">
        <is>
          <t>PERPHENAZINE TABLET ORAL 2 mg</t>
        </is>
      </c>
      <c r="C601" s="25">
        <f>IF(COUNTIF('کدهای پیام‌داروساز'!$A$2:$A$2442,A601)&gt;0,"بله","خیر")</f>
        <v/>
      </c>
    </row>
    <row r="602" ht="15" customHeight="1" s="14">
      <c r="A602" s="24" t="n">
        <v>973</v>
      </c>
      <c r="B602" s="24" t="inlineStr">
        <is>
          <t>PERPHENAZINE TABLET ORAL 4 mg</t>
        </is>
      </c>
      <c r="C602" s="25">
        <f>IF(COUNTIF('کدهای پیام‌داروساز'!$A$2:$A$2442,A602)&gt;0,"بله","خیر")</f>
        <v/>
      </c>
    </row>
    <row r="603" ht="15" customHeight="1" s="14">
      <c r="A603" s="24" t="n">
        <v>974</v>
      </c>
      <c r="B603" s="24" t="inlineStr">
        <is>
          <t>PERPHENAZINE INJECTION PARENTERAL 5 mg/1mL</t>
        </is>
      </c>
      <c r="C603" s="25">
        <f>IF(COUNTIF('کدهای پیام‌داروساز'!$A$2:$A$2442,A603)&gt;0,"بله","خیر")</f>
        <v/>
      </c>
    </row>
    <row r="604" ht="15" customHeight="1" s="14">
      <c r="A604" s="24" t="n">
        <v>975</v>
      </c>
      <c r="B604" s="24" t="inlineStr">
        <is>
          <t>PERPHENAZINE TABLET ORAL 8 mg</t>
        </is>
      </c>
      <c r="C604" s="25">
        <f>IF(COUNTIF('کدهای پیام‌داروساز'!$A$2:$A$2442,A604)&gt;0,"بله","خیر")</f>
        <v/>
      </c>
    </row>
    <row r="605" ht="15" customHeight="1" s="14">
      <c r="A605" s="24" t="n">
        <v>976</v>
      </c>
      <c r="B605" s="24" t="inlineStr">
        <is>
          <t>PHENAZOPYRIDINE HYDROCHLORIDE TABLET ORAL 100 mg</t>
        </is>
      </c>
      <c r="C605" s="25">
        <f>IF(COUNTIF('کدهای پیام‌داروساز'!$A$2:$A$2442,A605)&gt;0,"بله","خیر")</f>
        <v/>
      </c>
    </row>
    <row r="606" ht="15" customHeight="1" s="14">
      <c r="A606" s="24" t="n">
        <v>977</v>
      </c>
      <c r="B606" s="24" t="inlineStr">
        <is>
          <t>PHENOBARBITAL SODIUM INJECTION PARENTERAL 200 mg/1mL</t>
        </is>
      </c>
      <c r="C606" s="25">
        <f>IF(COUNTIF('کدهای پیام‌داروساز'!$A$2:$A$2442,A606)&gt;0,"بله","خیر")</f>
        <v/>
      </c>
    </row>
    <row r="607" ht="15" customHeight="1" s="14">
      <c r="A607" s="24" t="n">
        <v>979</v>
      </c>
      <c r="B607" s="24" t="inlineStr">
        <is>
          <t>PHENOBARBITAL TABLET ORAL 100 mg</t>
        </is>
      </c>
      <c r="C607" s="25">
        <f>IF(COUNTIF('کدهای پیام‌داروساز'!$A$2:$A$2442,A607)&gt;0,"بله","خیر")</f>
        <v/>
      </c>
    </row>
    <row r="608" ht="15" customHeight="1" s="14">
      <c r="A608" s="24" t="n">
        <v>980</v>
      </c>
      <c r="B608" s="24" t="inlineStr">
        <is>
          <t>PHENOBARBITAL TABLET ORAL 15 mg</t>
        </is>
      </c>
      <c r="C608" s="25">
        <f>IF(COUNTIF('کدهای پیام‌داروساز'!$A$2:$A$2442,A608)&gt;0,"بله","خیر")</f>
        <v/>
      </c>
    </row>
    <row r="609" ht="15" customHeight="1" s="14">
      <c r="A609" s="24" t="n">
        <v>982</v>
      </c>
      <c r="B609" s="24" t="inlineStr">
        <is>
          <t>PHENOBARBITAL TABLET ORAL 60 mg</t>
        </is>
      </c>
      <c r="C609" s="25">
        <f>IF(COUNTIF('کدهای پیام‌داروساز'!$A$2:$A$2442,A609)&gt;0,"بله","خیر")</f>
        <v/>
      </c>
    </row>
    <row r="610" ht="15" customHeight="1" s="14">
      <c r="A610" s="24" t="n">
        <v>984</v>
      </c>
      <c r="B610" s="24" t="inlineStr">
        <is>
          <t>PHENOXYBENZAMINE CAPSULE ORAL 10 mg</t>
        </is>
      </c>
      <c r="C610" s="25">
        <f>IF(COUNTIF('کدهای پیام‌داروساز'!$A$2:$A$2442,A610)&gt;0,"بله","خیر")</f>
        <v/>
      </c>
    </row>
    <row r="611" ht="15" customHeight="1" s="14">
      <c r="A611" s="24" t="n">
        <v>986</v>
      </c>
      <c r="B611" s="24" t="inlineStr">
        <is>
          <t>PHENTOLAMINE MESYLATE INJECTION PARENTERAL 10 mg/1mL 1 mL</t>
        </is>
      </c>
      <c r="C611" s="25">
        <f>IF(COUNTIF('کدهای پیام‌داروساز'!$A$2:$A$2442,A611)&gt;0,"بله","خیر")</f>
        <v/>
      </c>
    </row>
    <row r="612" ht="15" customHeight="1" s="14">
      <c r="A612" s="24" t="n">
        <v>988</v>
      </c>
      <c r="B612" s="24" t="inlineStr">
        <is>
          <t>PHENYLEPHRINE HYDROCHLORIDE SOLUTION, DROPS NASAL 0.25 % 10 mL</t>
        </is>
      </c>
      <c r="C612" s="25">
        <f>IF(COUNTIF('کدهای پیام‌داروساز'!$A$2:$A$2442,A612)&gt;0,"بله","خیر")</f>
        <v/>
      </c>
    </row>
    <row r="613" ht="15" customHeight="1" s="14">
      <c r="A613" s="24" t="n">
        <v>989</v>
      </c>
      <c r="B613" s="24" t="inlineStr">
        <is>
          <t>PHENYLEPHRINE HYDROCHLORIDE SOLUTION, DROPS NASAL 0.5 % 10 mL</t>
        </is>
      </c>
      <c r="C613" s="25">
        <f>IF(COUNTIF('کدهای پیام‌داروساز'!$A$2:$A$2442,A613)&gt;0,"بله","خیر")</f>
        <v/>
      </c>
    </row>
    <row r="614" ht="15" customHeight="1" s="14">
      <c r="A614" s="24" t="n">
        <v>991</v>
      </c>
      <c r="B614" s="24" t="inlineStr">
        <is>
          <t>PHENYLEPHRINE HYDROCHLORIDE SOLUTION, DROPS OPHTHALMIC 5 % 10 mL</t>
        </is>
      </c>
      <c r="C614" s="25">
        <f>IF(COUNTIF('کدهای پیام‌داروساز'!$A$2:$A$2442,A614)&gt;0,"بله","خیر")</f>
        <v/>
      </c>
    </row>
    <row r="615" ht="15" customHeight="1" s="14">
      <c r="A615" s="24" t="n">
        <v>992</v>
      </c>
      <c r="B615" s="24" t="inlineStr">
        <is>
          <t>PHENYLEPHRINE / ZINC SOLUTION, DROPS OPHTHALMIC 0.12 %/0.25 % 10 mL</t>
        </is>
      </c>
      <c r="C615" s="25">
        <f>IF(COUNTIF('کدهای پیام‌داروساز'!$A$2:$A$2442,A615)&gt;0,"بله","خیر")</f>
        <v/>
      </c>
    </row>
    <row r="616" ht="15" customHeight="1" s="14">
      <c r="A616" s="24" t="n">
        <v>993</v>
      </c>
      <c r="B616" s="24" t="inlineStr">
        <is>
          <t>PHENYTOIN SODIUM CAPSULE ORAL 100 mg</t>
        </is>
      </c>
      <c r="C616" s="25">
        <f>IF(COUNTIF('کدهای پیام‌داروساز'!$A$2:$A$2442,A616)&gt;0,"بله","خیر")</f>
        <v/>
      </c>
    </row>
    <row r="617" ht="15" customHeight="1" s="14">
      <c r="A617" s="24" t="n">
        <v>995</v>
      </c>
      <c r="B617" s="24" t="inlineStr">
        <is>
          <t>PHENYTOIN SODIUM INJECTION PARENTERAL 50 mg/1mL 5 mL</t>
        </is>
      </c>
      <c r="C617" s="25">
        <f>IF(COUNTIF('کدهای پیام‌داروساز'!$A$2:$A$2442,A617)&gt;0,"بله","خیر")</f>
        <v/>
      </c>
    </row>
    <row r="618" ht="15" customHeight="1" s="14">
      <c r="A618" s="24" t="n">
        <v>996</v>
      </c>
      <c r="B618" s="24" t="inlineStr">
        <is>
          <t>PHENYTOIN / PHENOBARBITAL TABLET ORAL 100 mg/50 mg</t>
        </is>
      </c>
      <c r="C618" s="25">
        <f>IF(COUNTIF('کدهای پیام‌داروساز'!$A$2:$A$2442,A618)&gt;0,"بله","خیر")</f>
        <v/>
      </c>
    </row>
    <row r="619" ht="15" customHeight="1" s="14">
      <c r="A619" s="24" t="n">
        <v>997</v>
      </c>
      <c r="B619" s="24" t="inlineStr">
        <is>
          <t>PHENYTOIN SODIUM CREAM TOPICAL 1 % 30 g</t>
        </is>
      </c>
      <c r="C619" s="25">
        <f>IF(COUNTIF('کدهای پیام‌داروساز'!$A$2:$A$2442,A619)&gt;0,"بله","خیر")</f>
        <v/>
      </c>
    </row>
    <row r="620" ht="15" customHeight="1" s="14">
      <c r="A620" s="24" t="n">
        <v>998</v>
      </c>
      <c r="B620" s="24" t="inlineStr">
        <is>
          <t>PHOSPHATE, POTASSIUM MONOBASIC TABLET ORAL 500 mg</t>
        </is>
      </c>
      <c r="C620" s="25">
        <f>IF(COUNTIF('کدهای پیام‌داروساز'!$A$2:$A$2442,A620)&gt;0,"بله","خیر")</f>
        <v/>
      </c>
    </row>
    <row r="621" ht="15" customHeight="1" s="14">
      <c r="A621" s="24" t="n">
        <v>1003</v>
      </c>
      <c r="B621" s="24" t="inlineStr">
        <is>
          <t>VITAMIN K1 (PHYTOMENADIONE) INJECTION PARENTERAL 10 mg/1mL 1 mL</t>
        </is>
      </c>
      <c r="C621" s="25">
        <f>IF(COUNTIF('کدهای پیام‌داروساز'!$A$2:$A$2442,A621)&gt;0,"بله","خیر")</f>
        <v/>
      </c>
    </row>
    <row r="622" ht="15" customHeight="1" s="14">
      <c r="A622" s="24" t="n">
        <v>1004</v>
      </c>
      <c r="B622" s="24" t="inlineStr">
        <is>
          <t>VITAMIN K1 (PHYTOMENADIONE) INJECTION PARENTERAL 2 mg/1mL 0.5 mL</t>
        </is>
      </c>
      <c r="C622" s="25">
        <f>IF(COUNTIF('کدهای پیام‌داروساز'!$A$2:$A$2442,A622)&gt;0,"بله","خیر")</f>
        <v/>
      </c>
    </row>
    <row r="623" ht="15" customHeight="1" s="14">
      <c r="A623" s="24" t="n">
        <v>1005</v>
      </c>
      <c r="B623" s="24" t="inlineStr">
        <is>
          <t>VITAMIN K1 (PHYTOMENADIONE) TABLET ORAL 10 mg</t>
        </is>
      </c>
      <c r="C623" s="25">
        <f>IF(COUNTIF('کدهای پیام‌داروساز'!$A$2:$A$2442,A623)&gt;0,"بله","خیر")</f>
        <v/>
      </c>
    </row>
    <row r="624" ht="15" customHeight="1" s="14">
      <c r="A624" s="24" t="n">
        <v>1006</v>
      </c>
      <c r="B624" s="24" t="inlineStr">
        <is>
          <t>PILOCARPINE HYDROCHLORIDE SOLUTION, DROPS OPHTHALMIC 1 % 10 mL</t>
        </is>
      </c>
      <c r="C624" s="25">
        <f>IF(COUNTIF('کدهای پیام‌داروساز'!$A$2:$A$2442,A624)&gt;0,"بله","خیر")</f>
        <v/>
      </c>
    </row>
    <row r="625" ht="15" customHeight="1" s="14">
      <c r="A625" s="24" t="n">
        <v>1007</v>
      </c>
      <c r="B625" s="24" t="inlineStr">
        <is>
          <t>PILOCARPINE HYDROCHLORIDE SOLUTION, DROPS OPHTHALMIC 2 % 10 mL</t>
        </is>
      </c>
      <c r="C625" s="25">
        <f>IF(COUNTIF('کدهای پیام‌داروساز'!$A$2:$A$2442,A625)&gt;0,"بله","خیر")</f>
        <v/>
      </c>
    </row>
    <row r="626" ht="15" customHeight="1" s="14">
      <c r="A626" s="24" t="n">
        <v>1008</v>
      </c>
      <c r="B626" s="24" t="inlineStr">
        <is>
          <t>PILOCARPINE HYDROCHLORIDE SOLUTION, DROPS OPHTHALMIC 4 % 10 mL</t>
        </is>
      </c>
      <c r="C626" s="25">
        <f>IF(COUNTIF('کدهای پیام‌داروساز'!$A$2:$A$2442,A626)&gt;0,"بله","خیر")</f>
        <v/>
      </c>
    </row>
    <row r="627" ht="15" customHeight="1" s="14">
      <c r="A627" s="24" t="n">
        <v>1009</v>
      </c>
      <c r="B627" s="24" t="inlineStr">
        <is>
          <t>PIMOZIDE TABLET ORAL 4 mg</t>
        </is>
      </c>
      <c r="C627" s="25">
        <f>IF(COUNTIF('کدهای پیام‌داروساز'!$A$2:$A$2442,A627)&gt;0,"بله","خیر")</f>
        <v/>
      </c>
    </row>
    <row r="628" ht="15" customHeight="1" s="14">
      <c r="A628" s="24" t="n">
        <v>1012</v>
      </c>
      <c r="B628" s="24" t="inlineStr">
        <is>
          <t>PIPERAZINE SYRUP ORAL 750 mg/5 mL 100 mL</t>
        </is>
      </c>
      <c r="C628" s="25">
        <f>IF(COUNTIF('کدهای پیام‌داروساز'!$A$2:$A$2442,A628)&gt;0,"بله","خیر")</f>
        <v/>
      </c>
    </row>
    <row r="629" ht="15" customHeight="1" s="14">
      <c r="A629" s="24" t="n">
        <v>1014</v>
      </c>
      <c r="B629" s="24" t="inlineStr">
        <is>
          <t>PIRACETAM TABLET ORAL 800 mg</t>
        </is>
      </c>
      <c r="C629" s="25">
        <f>IF(COUNTIF('کدهای پیام‌داروساز'!$A$2:$A$2442,A629)&gt;0,"بله","خیر")</f>
        <v/>
      </c>
    </row>
    <row r="630" ht="15" customHeight="1" s="14">
      <c r="A630" s="24" t="n">
        <v>1015</v>
      </c>
      <c r="B630" s="24" t="inlineStr">
        <is>
          <t>PIRACETAM LIQUID ORAL 33.33 % 120 mL</t>
        </is>
      </c>
      <c r="C630" s="25">
        <f>IF(COUNTIF('کدهای پیام‌داروساز'!$A$2:$A$2442,A630)&gt;0,"بله","خیر")</f>
        <v/>
      </c>
    </row>
    <row r="631" ht="15" customHeight="1" s="14">
      <c r="A631" s="24" t="n">
        <v>1016</v>
      </c>
      <c r="B631" s="24" t="inlineStr">
        <is>
          <t>PIROXICAM GEL TOPICAL 0.5 g/100g 60 g</t>
        </is>
      </c>
      <c r="C631" s="25">
        <f>IF(COUNTIF('کدهای پیام‌داروساز'!$A$2:$A$2442,A631)&gt;0,"بله","خیر")</f>
        <v/>
      </c>
    </row>
    <row r="632" ht="15" customHeight="1" s="14">
      <c r="A632" s="24" t="n">
        <v>1017</v>
      </c>
      <c r="B632" s="24" t="inlineStr">
        <is>
          <t>PIROXICAM CAPSULE ORAL 10 mg</t>
        </is>
      </c>
      <c r="C632" s="25">
        <f>IF(COUNTIF('کدهای پیام‌داروساز'!$A$2:$A$2442,A632)&gt;0,"بله","خیر")</f>
        <v/>
      </c>
    </row>
    <row r="633" ht="15" customHeight="1" s="14">
      <c r="A633" s="24" t="n">
        <v>1018</v>
      </c>
      <c r="B633" s="24" t="inlineStr">
        <is>
          <t>PIROXICAM INJECTION PARENTERAL 20 mg/1mL</t>
        </is>
      </c>
      <c r="C633" s="25">
        <f>IF(COUNTIF('کدهای پیام‌داروساز'!$A$2:$A$2442,A633)&gt;0,"بله","خیر")</f>
        <v/>
      </c>
    </row>
    <row r="634" ht="15" customHeight="1" s="14">
      <c r="A634" s="24" t="n">
        <v>1023</v>
      </c>
      <c r="B634" s="24" t="inlineStr">
        <is>
          <t>POLYMYXIN B INJECTION PARENTERAL 500000 U</t>
        </is>
      </c>
      <c r="C634" s="25">
        <f>IF(COUNTIF('کدهای پیام‌داروساز'!$A$2:$A$2442,A634)&gt;0,"بله","خیر")</f>
        <v/>
      </c>
    </row>
    <row r="635" ht="15" customHeight="1" s="14">
      <c r="A635" s="24" t="n">
        <v>1026</v>
      </c>
      <c r="B635" s="24" t="inlineStr">
        <is>
          <t>POTASSIUM AMINOBENZOIC ACID (POTABA) TABLET ORAL 500 mg</t>
        </is>
      </c>
      <c r="C635" s="25">
        <f>IF(COUNTIF('کدهای پیام‌داروساز'!$A$2:$A$2442,A635)&gt;0,"بله","خیر")</f>
        <v/>
      </c>
    </row>
    <row r="636" ht="15" customHeight="1" s="14">
      <c r="A636" s="24" t="n">
        <v>1028</v>
      </c>
      <c r="B636" s="24" t="inlineStr">
        <is>
          <t>POTASSIUM CITRATE POWDER ORAL 10 meq</t>
        </is>
      </c>
      <c r="C636" s="25">
        <f>IF(COUNTIF('کدهای پیام‌داروساز'!$A$2:$A$2442,A636)&gt;0,"بله","خیر")</f>
        <v/>
      </c>
    </row>
    <row r="637" ht="15" customHeight="1" s="14">
      <c r="A637" s="24" t="n">
        <v>1031</v>
      </c>
      <c r="B637" s="24" t="inlineStr">
        <is>
          <t>POVIDONE IODINE SOLUTION TOPICAL 10 % 3800 mL</t>
        </is>
      </c>
      <c r="C637" s="25">
        <f>IF(COUNTIF('کدهای پیام‌داروساز'!$A$2:$A$2442,A637)&gt;0,"بله","خیر")</f>
        <v/>
      </c>
    </row>
    <row r="638" ht="15" customHeight="1" s="14">
      <c r="A638" s="24" t="n">
        <v>1032</v>
      </c>
      <c r="B638" s="24" t="inlineStr">
        <is>
          <t>POVIDONE IODINE SOLUTION TOPICAL 7.5 % 3.8 L</t>
        </is>
      </c>
      <c r="C638" s="25">
        <f>IF(COUNTIF('کدهای پیام‌داروساز'!$A$2:$A$2442,A638)&gt;0,"بله","خیر")</f>
        <v/>
      </c>
    </row>
    <row r="639" ht="15" customHeight="1" s="14">
      <c r="A639" s="24" t="n">
        <v>1033</v>
      </c>
      <c r="B639" s="24" t="inlineStr">
        <is>
          <t>POVIDONE IODINE SOLUTION TOPICAL 7.5 % 250 mL</t>
        </is>
      </c>
      <c r="C639" s="25">
        <f>IF(COUNTIF('کدهای پیام‌داروساز'!$A$2:$A$2442,A639)&gt;0,"بله","خیر")</f>
        <v/>
      </c>
    </row>
    <row r="640" ht="15" customHeight="1" s="14">
      <c r="A640" s="24" t="n">
        <v>1034</v>
      </c>
      <c r="B640" s="24" t="inlineStr">
        <is>
          <t>POVIDONE IODINE SOLUTION TOPICAL 10 % 1000 mL</t>
        </is>
      </c>
      <c r="C640" s="25">
        <f>IF(COUNTIF('کدهای پیام‌داروساز'!$A$2:$A$2442,A640)&gt;0,"بله","خیر")</f>
        <v/>
      </c>
    </row>
    <row r="641" ht="15" customHeight="1" s="14">
      <c r="A641" s="24" t="n">
        <v>1035</v>
      </c>
      <c r="B641" s="24" t="inlineStr">
        <is>
          <t>POVIDONE IODINE SOLUTION TOPICAL 10 % 250 mL</t>
        </is>
      </c>
      <c r="C641" s="25">
        <f>IF(COUNTIF('کدهای پیام‌داروساز'!$A$2:$A$2442,A641)&gt;0,"بله","خیر")</f>
        <v/>
      </c>
    </row>
    <row r="642" ht="15" customHeight="1" s="14">
      <c r="A642" s="24" t="n">
        <v>1036</v>
      </c>
      <c r="B642" s="24" t="inlineStr">
        <is>
          <t>POVIDONE IODINE SOLUTION TOPICAL 7.5 % 1 L</t>
        </is>
      </c>
      <c r="C642" s="25">
        <f>IF(COUNTIF('کدهای پیام‌داروساز'!$A$2:$A$2442,A642)&gt;0,"بله","خیر")</f>
        <v/>
      </c>
    </row>
    <row r="643" ht="15" customHeight="1" s="14">
      <c r="A643" s="24" t="n">
        <v>1038</v>
      </c>
      <c r="B643" s="24" t="inlineStr">
        <is>
          <t>POVIDONE IODINE GEL VAGINAL 10 % 80 g</t>
        </is>
      </c>
      <c r="C643" s="25">
        <f>IF(COUNTIF('کدهای پیام‌داروساز'!$A$2:$A$2442,A643)&gt;0,"بله","خیر")</f>
        <v/>
      </c>
    </row>
    <row r="644" ht="15" customHeight="1" s="14">
      <c r="A644" s="24" t="n">
        <v>1040</v>
      </c>
      <c r="B644" s="24" t="inlineStr">
        <is>
          <t>POVIDONE IODINE SOLUTION TOPICAL 10 % 60 mL</t>
        </is>
      </c>
      <c r="C644" s="25">
        <f>IF(COUNTIF('کدهای پیام‌داروساز'!$A$2:$A$2442,A644)&gt;0,"بله","خیر")</f>
        <v/>
      </c>
    </row>
    <row r="645" ht="15" customHeight="1" s="14">
      <c r="A645" s="24" t="n">
        <v>1041</v>
      </c>
      <c r="B645" s="24" t="inlineStr">
        <is>
          <t>PRAZIQUANTEL TABLET ORAL 600 mg</t>
        </is>
      </c>
      <c r="C645" s="25">
        <f>IF(COUNTIF('کدهای پیام‌داروساز'!$A$2:$A$2442,A645)&gt;0,"بله","خیر")</f>
        <v/>
      </c>
    </row>
    <row r="646" ht="15" customHeight="1" s="14">
      <c r="A646" s="24" t="n">
        <v>1042</v>
      </c>
      <c r="B646" s="24" t="inlineStr">
        <is>
          <t>PRAZOSIN TABLET ORAL 1 mg</t>
        </is>
      </c>
      <c r="C646" s="25">
        <f>IF(COUNTIF('کدهای پیام‌داروساز'!$A$2:$A$2442,A646)&gt;0,"بله","خیر")</f>
        <v/>
      </c>
    </row>
    <row r="647" ht="15" customHeight="1" s="14">
      <c r="A647" s="24" t="n">
        <v>1043</v>
      </c>
      <c r="B647" s="24" t="inlineStr">
        <is>
          <t>PRAZOSIN TABLET ORAL 5 mg</t>
        </is>
      </c>
      <c r="C647" s="25">
        <f>IF(COUNTIF('کدهای پیام‌داروساز'!$A$2:$A$2442,A647)&gt;0,"بله","خیر")</f>
        <v/>
      </c>
    </row>
    <row r="648" ht="15" customHeight="1" s="14">
      <c r="A648" s="24" t="n">
        <v>1044</v>
      </c>
      <c r="B648" s="24" t="inlineStr">
        <is>
          <t>PREDNISOLONE TABLET ORAL 50 mg</t>
        </is>
      </c>
      <c r="C648" s="25">
        <f>IF(COUNTIF('کدهای پیام‌داروساز'!$A$2:$A$2442,A648)&gt;0,"بله","خیر")</f>
        <v/>
      </c>
    </row>
    <row r="649" ht="15" customHeight="1" s="14">
      <c r="A649" s="24" t="n">
        <v>1045</v>
      </c>
      <c r="B649" s="24" t="inlineStr">
        <is>
          <t>PREDNISOLONE TABLET ORAL 5 mg</t>
        </is>
      </c>
      <c r="C649" s="25">
        <f>IF(COUNTIF('کدهای پیام‌داروساز'!$A$2:$A$2442,A649)&gt;0,"بله","خیر")</f>
        <v/>
      </c>
    </row>
    <row r="650" ht="15" customHeight="1" s="14">
      <c r="A650" s="24" t="n">
        <v>1046</v>
      </c>
      <c r="B650" s="24" t="inlineStr">
        <is>
          <t>PREDNISOLONE ACETATE SUSPENSION, DROPS OPHTHALMIC 1 % 10 mL</t>
        </is>
      </c>
      <c r="C650" s="25">
        <f>IF(COUNTIF('کدهای پیام‌داروساز'!$A$2:$A$2442,A650)&gt;0,"بله","خیر")</f>
        <v/>
      </c>
    </row>
    <row r="651" ht="15" customHeight="1" s="14">
      <c r="A651" s="24" t="n">
        <v>1049</v>
      </c>
      <c r="B651" s="24" t="inlineStr">
        <is>
          <t>PRILOCAINE / FELYPRESSIN INJECTION PARENTERAL 30 mg/0.54 ug/1mL 1.8 mL</t>
        </is>
      </c>
      <c r="C651" s="25">
        <f>IF(COUNTIF('کدهای پیام‌داروساز'!$A$2:$A$2442,A651)&gt;0,"بله","خیر")</f>
        <v/>
      </c>
    </row>
    <row r="652" ht="15" customHeight="1" s="14">
      <c r="A652" s="24" t="n">
        <v>1050</v>
      </c>
      <c r="B652" s="24" t="inlineStr">
        <is>
          <t>PRIMAQUINE (AS PHOSPHATE) TABLET ORAL 15 mg</t>
        </is>
      </c>
      <c r="C652" s="25">
        <f>IF(COUNTIF('کدهای پیام‌داروساز'!$A$2:$A$2442,A652)&gt;0,"بله","خیر")</f>
        <v/>
      </c>
    </row>
    <row r="653" ht="15" customHeight="1" s="14">
      <c r="A653" s="24" t="n">
        <v>1051</v>
      </c>
      <c r="B653" s="24" t="inlineStr">
        <is>
          <t>PRIMIDONE TABLET ORAL 250 mg</t>
        </is>
      </c>
      <c r="C653" s="25">
        <f>IF(COUNTIF('کدهای پیام‌داروساز'!$A$2:$A$2442,A653)&gt;0,"بله","خیر")</f>
        <v/>
      </c>
    </row>
    <row r="654" ht="15" customHeight="1" s="14">
      <c r="A654" s="24" t="n">
        <v>1054</v>
      </c>
      <c r="B654" s="24" t="inlineStr">
        <is>
          <t>PROCAINAMIDE HYDROCHLORIDE INJECTION PARENTERAL 100 mg/1mL 10 mL</t>
        </is>
      </c>
      <c r="C654" s="25">
        <f>IF(COUNTIF('کدهای پیام‌داروساز'!$A$2:$A$2442,A654)&gt;0,"بله","خیر")</f>
        <v/>
      </c>
    </row>
    <row r="655" ht="15" customHeight="1" s="14">
      <c r="A655" s="24" t="n">
        <v>1055</v>
      </c>
      <c r="B655" s="24" t="inlineStr">
        <is>
          <t>PROCARBAZINE (AS HYDROCHLORIDE) CAPSULE ORAL 50 mg</t>
        </is>
      </c>
      <c r="C655" s="25">
        <f>IF(COUNTIF('کدهای پیام‌داروساز'!$A$2:$A$2442,A655)&gt;0,"بله","خیر")</f>
        <v/>
      </c>
    </row>
    <row r="656" ht="15" customHeight="1" s="14">
      <c r="A656" s="24" t="n">
        <v>1057</v>
      </c>
      <c r="B656" s="24" t="inlineStr">
        <is>
          <t>PROGESTERONE INJECTION PARENTERAL 25 mg/1mL 1 mL</t>
        </is>
      </c>
      <c r="C656" s="25">
        <f>IF(COUNTIF('کدهای پیام‌داروساز'!$A$2:$A$2442,A656)&gt;0,"بله","خیر")</f>
        <v/>
      </c>
    </row>
    <row r="657" ht="15" customHeight="1" s="14">
      <c r="A657" s="24" t="n">
        <v>1058</v>
      </c>
      <c r="B657" s="24" t="inlineStr">
        <is>
          <t>PROGESTERONE INJECTION PARENTERAL 50 mg/1mL 1 mL</t>
        </is>
      </c>
      <c r="C657" s="25">
        <f>IF(COUNTIF('کدهای پیام‌داروساز'!$A$2:$A$2442,A657)&gt;0,"بله","خیر")</f>
        <v/>
      </c>
    </row>
    <row r="658" ht="15" customHeight="1" s="14">
      <c r="A658" s="24" t="n">
        <v>1060</v>
      </c>
      <c r="B658" s="24" t="inlineStr">
        <is>
          <t>PROMETHAZINE SYRUP ORAL 5 mg/5mL 60 mL</t>
        </is>
      </c>
      <c r="C658" s="25">
        <f>IF(COUNTIF('کدهای پیام‌داروساز'!$A$2:$A$2442,A658)&gt;0,"بله","خیر")</f>
        <v/>
      </c>
    </row>
    <row r="659" ht="15" customHeight="1" s="14">
      <c r="A659" s="24" t="n">
        <v>1062</v>
      </c>
      <c r="B659" s="24" t="inlineStr">
        <is>
          <t>PROMETHAZINE HYDROCHLORIDE TABLET ORAL 25 mg</t>
        </is>
      </c>
      <c r="C659" s="25">
        <f>IF(COUNTIF('کدهای پیام‌داروساز'!$A$2:$A$2442,A659)&gt;0,"بله","خیر")</f>
        <v/>
      </c>
    </row>
    <row r="660" ht="15" customHeight="1" s="14">
      <c r="A660" s="24" t="n">
        <v>1067</v>
      </c>
      <c r="B660" s="24" t="inlineStr">
        <is>
          <t>PROPRANOLOL HYDROCHLORIDE TABLET ORAL 10 mg</t>
        </is>
      </c>
      <c r="C660" s="25">
        <f>IF(COUNTIF('کدهای پیام‌داروساز'!$A$2:$A$2442,A660)&gt;0,"بله","خیر")</f>
        <v/>
      </c>
    </row>
    <row r="661" ht="15" customHeight="1" s="14">
      <c r="A661" s="24" t="n">
        <v>1068</v>
      </c>
      <c r="B661" s="24" t="inlineStr">
        <is>
          <t>PROPRANOLOL HYDROCHLORIDE TABLET ORAL 40 mg</t>
        </is>
      </c>
      <c r="C661" s="25">
        <f>IF(COUNTIF('کدهای پیام‌داروساز'!$A$2:$A$2442,A661)&gt;0,"بله","خیر")</f>
        <v/>
      </c>
    </row>
    <row r="662" ht="15" customHeight="1" s="14">
      <c r="A662" s="24" t="n">
        <v>1072</v>
      </c>
      <c r="B662" s="24" t="inlineStr">
        <is>
          <t>PROPYLTHIOURACIL TABLET ORAL 50 mg</t>
        </is>
      </c>
      <c r="C662" s="25">
        <f>IF(COUNTIF('کدهای پیام‌داروساز'!$A$2:$A$2442,A662)&gt;0,"بله","خیر")</f>
        <v/>
      </c>
    </row>
    <row r="663" ht="15" customHeight="1" s="14">
      <c r="A663" s="24" t="n">
        <v>1074</v>
      </c>
      <c r="B663" s="24" t="inlineStr">
        <is>
          <t>PROTIRELIN INJECTION PARENTERAL 0.2 mg/1mL</t>
        </is>
      </c>
      <c r="C663" s="25">
        <f>IF(COUNTIF('کدهای پیام‌داروساز'!$A$2:$A$2442,A663)&gt;0,"بله","خیر")</f>
        <v/>
      </c>
    </row>
    <row r="664" ht="15" customHeight="1" s="14">
      <c r="A664" s="24" t="n">
        <v>1076</v>
      </c>
      <c r="B664" s="24" t="inlineStr">
        <is>
          <t>PSEUDOEPHEDRINE HYDROCHLORIDE SYRUP ORAL 30 mg/5mL 60 mL</t>
        </is>
      </c>
      <c r="C664" s="25">
        <f>IF(COUNTIF('کدهای پیام‌داروساز'!$A$2:$A$2442,A664)&gt;0,"بله","خیر")</f>
        <v/>
      </c>
    </row>
    <row r="665" ht="15" customHeight="1" s="14">
      <c r="A665" s="24" t="n">
        <v>1078</v>
      </c>
      <c r="B665" s="24" t="inlineStr">
        <is>
          <t>PYRAZINAMIDE TABLET ORAL 500 mg</t>
        </is>
      </c>
      <c r="C665" s="25">
        <f>IF(COUNTIF('کدهای پیام‌داروساز'!$A$2:$A$2442,A665)&gt;0,"بله","خیر")</f>
        <v/>
      </c>
    </row>
    <row r="666" ht="15" customHeight="1" s="14">
      <c r="A666" s="24" t="n">
        <v>1080</v>
      </c>
      <c r="B666" s="24" t="inlineStr">
        <is>
          <t>PYRIDOSTIGMINE BROMIDE TABLET ORAL 60 mg</t>
        </is>
      </c>
      <c r="C666" s="25">
        <f>IF(COUNTIF('کدهای پیام‌داروساز'!$A$2:$A$2442,A666)&gt;0,"بله","خیر")</f>
        <v/>
      </c>
    </row>
    <row r="667" ht="15" customHeight="1" s="14">
      <c r="A667" s="24" t="n">
        <v>1083</v>
      </c>
      <c r="B667" s="24" t="inlineStr">
        <is>
          <t>PYRIMETHAMINE TABLET ORAL 25 mg</t>
        </is>
      </c>
      <c r="C667" s="25">
        <f>IF(COUNTIF('کدهای پیام‌داروساز'!$A$2:$A$2442,A667)&gt;0,"بله","خیر")</f>
        <v/>
      </c>
    </row>
    <row r="668" ht="15" customHeight="1" s="14">
      <c r="A668" s="24" t="n">
        <v>1084</v>
      </c>
      <c r="B668" s="24" t="inlineStr">
        <is>
          <t>PYRITHIONE ZINC SHAMPOO TOPICAL 2 % 140 mL</t>
        </is>
      </c>
      <c r="C668" s="25">
        <f>IF(COUNTIF('کدهای پیام‌داروساز'!$A$2:$A$2442,A668)&gt;0,"بله","خیر")</f>
        <v/>
      </c>
    </row>
    <row r="669" ht="15" customHeight="1" s="14">
      <c r="A669" s="24" t="n">
        <v>1085</v>
      </c>
      <c r="B669" s="24" t="inlineStr">
        <is>
          <t>PYRVINIUM SUSPENSION ORAL 50 mg/5mL 60 mL</t>
        </is>
      </c>
      <c r="C669" s="25">
        <f>IF(COUNTIF('کدهای پیام‌داروساز'!$A$2:$A$2442,A669)&gt;0,"بله","خیر")</f>
        <v/>
      </c>
    </row>
    <row r="670" ht="15" customHeight="1" s="14">
      <c r="A670" s="24" t="n">
        <v>1088</v>
      </c>
      <c r="B670" s="24" t="inlineStr">
        <is>
          <t>QUINIDINE SULFATE TABLET ORAL 200 mg</t>
        </is>
      </c>
      <c r="C670" s="25">
        <f>IF(COUNTIF('کدهای پیام‌داروساز'!$A$2:$A$2442,A670)&gt;0,"بله","خیر")</f>
        <v/>
      </c>
    </row>
    <row r="671" ht="15" customHeight="1" s="14">
      <c r="A671" s="24" t="n">
        <v>1091</v>
      </c>
      <c r="B671" s="24" t="inlineStr">
        <is>
          <t>QUININE DIHYDROCHLORIDE INJECTION PARENTERAL 250 mg/1mL 2 mL</t>
        </is>
      </c>
      <c r="C671" s="25">
        <f>IF(COUNTIF('کدهای پیام‌داروساز'!$A$2:$A$2442,A671)&gt;0,"بله","خیر")</f>
        <v/>
      </c>
    </row>
    <row r="672" ht="15" customHeight="1" s="14">
      <c r="A672" s="24" t="n">
        <v>1092</v>
      </c>
      <c r="B672" s="24" t="inlineStr">
        <is>
          <t>RABIES IMMUNE GLOBULIN (HUMAN) INJECTION PARENTERAL 150 [iU]/1mL 2 mL</t>
        </is>
      </c>
      <c r="C672" s="25">
        <f>IF(COUNTIF('کدهای پیام‌داروساز'!$A$2:$A$2442,A672)&gt;0,"بله","خیر")</f>
        <v/>
      </c>
    </row>
    <row r="673" ht="15" customHeight="1" s="14">
      <c r="A673" s="24" t="n">
        <v>1093</v>
      </c>
      <c r="B673" s="24" t="inlineStr">
        <is>
          <t>RANITIDINE TABLET ORAL 150 mg</t>
        </is>
      </c>
      <c r="C673" s="25">
        <f>IF(COUNTIF('کدهای پیام‌داروساز'!$A$2:$A$2442,A673)&gt;0,"بله","خیر")</f>
        <v/>
      </c>
    </row>
    <row r="674" ht="15" customHeight="1" s="14">
      <c r="A674" s="24" t="n">
        <v>1094</v>
      </c>
      <c r="B674" s="24" t="inlineStr">
        <is>
          <t>RANITIDINE INJECTION PARENTERAL 25 mg/1mL 2 mL</t>
        </is>
      </c>
      <c r="C674" s="25">
        <f>IF(COUNTIF('کدهای پیام‌داروساز'!$A$2:$A$2442,A674)&gt;0,"بله","خیر")</f>
        <v/>
      </c>
    </row>
    <row r="675" ht="15" customHeight="1" s="14">
      <c r="A675" s="24" t="n">
        <v>1098</v>
      </c>
      <c r="B675" s="24" t="inlineStr">
        <is>
          <t>ANTI-D IMMUNOGLOBULIN INJECTION INTRAMUSCULAR 250 ug</t>
        </is>
      </c>
      <c r="C675" s="25">
        <f>IF(COUNTIF('کدهای پیام‌داروساز'!$A$2:$A$2442,A675)&gt;0,"بله","خیر")</f>
        <v/>
      </c>
    </row>
    <row r="676" ht="15" customHeight="1" s="14">
      <c r="A676" s="24" t="n">
        <v>1099</v>
      </c>
      <c r="B676" s="24" t="inlineStr">
        <is>
          <t>ANTI-D IMMUNOGLOBULIN INJECTION, POWDER, LYOPHILIZED, FOR SUSPENSION INTRAMUSCULAR 300 ug</t>
        </is>
      </c>
      <c r="C676" s="25">
        <f>IF(COUNTIF('کدهای پیام‌داروساز'!$A$2:$A$2442,A676)&gt;0,"بله","خیر")</f>
        <v/>
      </c>
    </row>
    <row r="677" ht="15" customHeight="1" s="14">
      <c r="A677" s="24" t="n">
        <v>1100</v>
      </c>
      <c r="B677" s="24" t="inlineStr">
        <is>
          <t>RIFAMPICIN INJECTION, POWDER, FOR SOLUTION PARENTERAL 600 mg</t>
        </is>
      </c>
      <c r="C677" s="25">
        <f>IF(COUNTIF('کدهای پیام‌داروساز'!$A$2:$A$2442,A677)&gt;0,"بله","خیر")</f>
        <v/>
      </c>
    </row>
    <row r="678" ht="15" customHeight="1" s="14">
      <c r="A678" s="24" t="n">
        <v>1101</v>
      </c>
      <c r="B678" s="24" t="inlineStr">
        <is>
          <t>RIFAMPICIN CAPSULE ORAL 150 mg</t>
        </is>
      </c>
      <c r="C678" s="25">
        <f>IF(COUNTIF('کدهای پیام‌داروساز'!$A$2:$A$2442,A678)&gt;0,"بله","خیر")</f>
        <v/>
      </c>
    </row>
    <row r="679" ht="15" customHeight="1" s="14">
      <c r="A679" s="24" t="n">
        <v>1103</v>
      </c>
      <c r="B679" s="24" t="inlineStr">
        <is>
          <t>RIFAMPICIN CAPSULE ORAL 300 mg</t>
        </is>
      </c>
      <c r="C679" s="25">
        <f>IF(COUNTIF('کدهای پیام‌داروساز'!$A$2:$A$2442,A679)&gt;0,"بله","خیر")</f>
        <v/>
      </c>
    </row>
    <row r="680" ht="15" customHeight="1" s="14">
      <c r="A680" s="24" t="n">
        <v>1104</v>
      </c>
      <c r="B680" s="24" t="inlineStr">
        <is>
          <t>RINGERS INJECTION, SOLUTION INTRAVENOUS 147 meq/4.5 meq/4 meq/156 meq/1L 1000 mL</t>
        </is>
      </c>
      <c r="C680" s="25">
        <f>IF(COUNTIF('کدهای پیام‌داروساز'!$A$2:$A$2442,A680)&gt;0,"بله","خیر")</f>
        <v/>
      </c>
    </row>
    <row r="681" ht="15" customHeight="1" s="14">
      <c r="A681" s="24" t="n">
        <v>1106</v>
      </c>
      <c r="B681" s="24" t="inlineStr">
        <is>
          <t>RINGER LACTATE INJECTION, SOLUTION INTRAVENOUS 130 meq/3 meq/4 meq/109 meq/28 meq/1L 1000 mL</t>
        </is>
      </c>
      <c r="C681" s="25">
        <f>IF(COUNTIF('کدهای پیام‌داروساز'!$A$2:$A$2442,A681)&gt;0,"بله","خیر")</f>
        <v/>
      </c>
    </row>
    <row r="682" ht="15" customHeight="1" s="14">
      <c r="A682" s="24" t="n">
        <v>1107</v>
      </c>
      <c r="B682" s="24" t="inlineStr">
        <is>
          <t>RINGER LACTATE INJECTION, SOLUTION INTRAVENOUS 130 meq/3 meq/4 meq/109 meq/28 meq/1L 500 mL</t>
        </is>
      </c>
      <c r="C682" s="25">
        <f>IF(COUNTIF('کدهای پیام‌داروساز'!$A$2:$A$2442,A682)&gt;0,"بله","خیر")</f>
        <v/>
      </c>
    </row>
    <row r="683" ht="15" customHeight="1" s="14">
      <c r="A683" s="24" t="n">
        <v>1108</v>
      </c>
      <c r="B683" s="24" t="inlineStr">
        <is>
          <t>RITODRINE TABLET ORAL 10 mg</t>
        </is>
      </c>
      <c r="C683" s="25">
        <f>IF(COUNTIF('کدهای پیام‌داروساز'!$A$2:$A$2442,A683)&gt;0,"بله","خیر")</f>
        <v/>
      </c>
    </row>
    <row r="684" ht="15" customHeight="1" s="14">
      <c r="A684" s="24" t="n">
        <v>1109</v>
      </c>
      <c r="B684" s="24" t="inlineStr">
        <is>
          <t>RITODRINE INJECTION PARENTERAL 10 mg/1mL</t>
        </is>
      </c>
      <c r="C684" s="25">
        <f>IF(COUNTIF('کدهای پیام‌داروساز'!$A$2:$A$2442,A684)&gt;0,"بله","خیر")</f>
        <v/>
      </c>
    </row>
    <row r="685" ht="15" customHeight="1" s="14">
      <c r="A685" s="24" t="n">
        <v>1110</v>
      </c>
      <c r="B685" s="24" t="inlineStr">
        <is>
          <t>SODIUM CHLORIDE OINTMENT OPHTHALMIC 5 % 5 g</t>
        </is>
      </c>
      <c r="C685" s="25">
        <f>IF(COUNTIF('کدهای پیام‌داروساز'!$A$2:$A$2442,A685)&gt;0,"بله","خیر")</f>
        <v/>
      </c>
    </row>
    <row r="686" ht="15" customHeight="1" s="14">
      <c r="A686" s="24" t="n">
        <v>1112</v>
      </c>
      <c r="B686" s="24" t="inlineStr">
        <is>
          <t>SALBUTAMOL (AS SULFATE) SYRUP ORAL 2 mg/5mL 120 mL</t>
        </is>
      </c>
      <c r="C686" s="25">
        <f>IF(COUNTIF('کدهای پیام‌داروساز'!$A$2:$A$2442,A686)&gt;0,"بله","خیر")</f>
        <v/>
      </c>
    </row>
    <row r="687" ht="15" customHeight="1" s="14">
      <c r="A687" s="24" t="n">
        <v>1113</v>
      </c>
      <c r="B687" s="24" t="inlineStr">
        <is>
          <t>SALBUTAMOL (AS SULFATE) INJECTION PARENTERAL 0.5 mg/1mL</t>
        </is>
      </c>
      <c r="C687" s="25">
        <f>IF(COUNTIF('کدهای پیام‌داروساز'!$A$2:$A$2442,A687)&gt;0,"بله","خیر")</f>
        <v/>
      </c>
    </row>
    <row r="688" ht="15" customHeight="1" s="14">
      <c r="A688" s="24" t="n">
        <v>1114</v>
      </c>
      <c r="B688" s="24" t="inlineStr">
        <is>
          <t>SALBUTAMOL (AS SULFATE) TABLET ORAL 2 mg</t>
        </is>
      </c>
      <c r="C688" s="25">
        <f>IF(COUNTIF('کدهای پیام‌داروساز'!$A$2:$A$2442,A688)&gt;0,"بله","خیر")</f>
        <v/>
      </c>
    </row>
    <row r="689" ht="15" customHeight="1" s="14">
      <c r="A689" s="24" t="n">
        <v>1117</v>
      </c>
      <c r="B689" s="24" t="inlineStr">
        <is>
          <t>SALMETEROL (AS XINAFOATE) AEROSOL, METERED RESPIRATORY 25 ug/1{dose} 120 {dose}</t>
        </is>
      </c>
      <c r="C689" s="25">
        <f>IF(COUNTIF('کدهای پیام‌داروساز'!$A$2:$A$2442,A689)&gt;0,"بله","خیر")</f>
        <v/>
      </c>
    </row>
    <row r="690" ht="15" customHeight="1" s="14">
      <c r="A690" s="24" t="n">
        <v>1121</v>
      </c>
      <c r="B690" s="24" t="inlineStr">
        <is>
          <t>SELEGILINE HYDROCHLORIDE TABLET ORAL 5 mg</t>
        </is>
      </c>
      <c r="C690" s="25">
        <f>IF(COUNTIF('کدهای پیام‌داروساز'!$A$2:$A$2442,A690)&gt;0,"بله","خیر")</f>
        <v/>
      </c>
    </row>
    <row r="691" ht="15" customHeight="1" s="14">
      <c r="A691" s="24" t="n">
        <v>1122</v>
      </c>
      <c r="B691" s="24" t="inlineStr">
        <is>
          <t>SELENIUM SULFIDE SHAMPOO TOPICAL 2.5 % 150 mL</t>
        </is>
      </c>
      <c r="C691" s="25">
        <f>IF(COUNTIF('کدهای پیام‌داروساز'!$A$2:$A$2442,A691)&gt;0,"بله","خیر")</f>
        <v/>
      </c>
    </row>
    <row r="692" ht="15" customHeight="1" s="14">
      <c r="A692" s="24" t="n">
        <v>1130</v>
      </c>
      <c r="B692" s="24" t="inlineStr">
        <is>
          <t>SILVER SULFADIAZINE CREAM TOPICAL 1 % 50 g</t>
        </is>
      </c>
      <c r="C692" s="25">
        <f>IF(COUNTIF('کدهای پیام‌داروساز'!$A$2:$A$2442,A692)&gt;0,"بله","خیر")</f>
        <v/>
      </c>
    </row>
    <row r="693" ht="15" customHeight="1" s="14">
      <c r="A693" s="24" t="n">
        <v>1131</v>
      </c>
      <c r="B693" s="24" t="inlineStr">
        <is>
          <t>SIMETHICONE (DIMETHICONE ACTIVATED) TABLET, CHEWABLE ORAL 40 mg</t>
        </is>
      </c>
      <c r="C693" s="25">
        <f>IF(COUNTIF('کدهای پیام‌داروساز'!$A$2:$A$2442,A693)&gt;0,"بله","خیر")</f>
        <v/>
      </c>
    </row>
    <row r="694" ht="15" customHeight="1" s="14">
      <c r="A694" s="24" t="n">
        <v>1132</v>
      </c>
      <c r="B694" s="24" t="inlineStr">
        <is>
          <t>SIMETHICONE (DIMETHICONE ACTIVATED) SUSPENSION, DROPS ORAL 40 mg/1mL 30 mL</t>
        </is>
      </c>
      <c r="C694" s="25">
        <f>IF(COUNTIF('کدهای پیام‌داروساز'!$A$2:$A$2442,A694)&gt;0,"بله","خیر")</f>
        <v/>
      </c>
    </row>
    <row r="695" ht="15" customHeight="1" s="14">
      <c r="A695" s="24" t="n">
        <v>1134</v>
      </c>
      <c r="B695" s="24" t="inlineStr">
        <is>
          <t>SIMPLE EYE OINTMENT OPHTHALMIC  3 g</t>
        </is>
      </c>
      <c r="C695" s="25">
        <f>IF(COUNTIF('کدهای پیام‌داروساز'!$A$2:$A$2442,A695)&gt;0,"بله","خیر")</f>
        <v/>
      </c>
    </row>
    <row r="696" ht="15" customHeight="1" s="14">
      <c r="A696" s="24" t="n">
        <v>1136</v>
      </c>
      <c r="B696" s="24" t="inlineStr">
        <is>
          <t>SODIUM TETRADECYL SULFATE INJECTION PARENTERAL 1 % 2 mL</t>
        </is>
      </c>
      <c r="C696" s="25">
        <f>IF(COUNTIF('کدهای پیام‌داروساز'!$A$2:$A$2442,A696)&gt;0,"بله","خیر")</f>
        <v/>
      </c>
    </row>
    <row r="697" ht="15" customHeight="1" s="14">
      <c r="A697" s="24" t="n">
        <v>1137</v>
      </c>
      <c r="B697" s="24" t="inlineStr">
        <is>
          <t>SODIUM TETRADECYL SULFATE INJECTION PARENTERAL 3 % 2 mL</t>
        </is>
      </c>
      <c r="C697" s="25">
        <f>IF(COUNTIF('کدهای پیام‌داروساز'!$A$2:$A$2442,A697)&gt;0,"بله","خیر")</f>
        <v/>
      </c>
    </row>
    <row r="698" ht="15" customHeight="1" s="14">
      <c r="A698" s="24" t="n">
        <v>1139</v>
      </c>
      <c r="B698" s="24" t="inlineStr">
        <is>
          <t>BICARBONATE CONCENTRATE POWDER NOT APPLICABLE 650 g</t>
        </is>
      </c>
      <c r="C698" s="25">
        <f>IF(COUNTIF('کدهای پیام‌داروساز'!$A$2:$A$2442,A698)&gt;0,"بله","خیر")</f>
        <v/>
      </c>
    </row>
    <row r="699" ht="15" customHeight="1" s="14">
      <c r="A699" s="24" t="n">
        <v>1141</v>
      </c>
      <c r="B699" s="24" t="inlineStr">
        <is>
          <t>SODIUM CHLORIDE INJECTION, SOLUTION PARENTERAL 0.9 % 1000 mL</t>
        </is>
      </c>
      <c r="C699" s="25">
        <f>IF(COUNTIF('کدهای پیام‌داروساز'!$A$2:$A$2442,A699)&gt;0,"بله","خیر")</f>
        <v/>
      </c>
    </row>
    <row r="700" ht="15" customHeight="1" s="14">
      <c r="A700" s="24" t="n">
        <v>1142</v>
      </c>
      <c r="B700" s="24" t="inlineStr">
        <is>
          <t>SODIUM CHLORIDE SOLUTION IRRIGATION 0.9 % 1000 mL</t>
        </is>
      </c>
      <c r="C700" s="25">
        <f>IF(COUNTIF('کدهای پیام‌داروساز'!$A$2:$A$2442,A700)&gt;0,"بله","خیر")</f>
        <v/>
      </c>
    </row>
    <row r="701" ht="15" customHeight="1" s="14">
      <c r="A701" s="24" t="n">
        <v>1143</v>
      </c>
      <c r="B701" s="24" t="inlineStr">
        <is>
          <t>SODIUM CHLORIDE SOLUTION IRRIGATION 0.9 % 3 L</t>
        </is>
      </c>
      <c r="C701" s="25">
        <f>IF(COUNTIF('کدهای پیام‌داروساز'!$A$2:$A$2442,A701)&gt;0,"بله","خیر")</f>
        <v/>
      </c>
    </row>
    <row r="702" ht="15" customHeight="1" s="14">
      <c r="A702" s="24" t="n">
        <v>1144</v>
      </c>
      <c r="B702" s="24" t="inlineStr">
        <is>
          <t>SODIUM CHLORIDE INJECTION, SOLUTION PARENTERAL 0.9 % 500 mL</t>
        </is>
      </c>
      <c r="C702" s="25">
        <f>IF(COUNTIF('کدهای پیام‌داروساز'!$A$2:$A$2442,A702)&gt;0,"بله","خیر")</f>
        <v/>
      </c>
    </row>
    <row r="703" ht="15" customHeight="1" s="14">
      <c r="A703" s="24" t="n">
        <v>1145</v>
      </c>
      <c r="B703" s="24" t="inlineStr">
        <is>
          <t>SODIUM CHLORIDE SOLUTION IRRIGATION 0.9 % 500 mL</t>
        </is>
      </c>
      <c r="C703" s="25">
        <f>IF(COUNTIF('کدهای پیام‌داروساز'!$A$2:$A$2442,A703)&gt;0,"بله","خیر")</f>
        <v/>
      </c>
    </row>
    <row r="704" ht="15" customHeight="1" s="14">
      <c r="A704" s="24" t="n">
        <v>1146</v>
      </c>
      <c r="B704" s="24" t="inlineStr">
        <is>
          <t>SODIUM CHLORIDE SOLUTION, DROPS NASAL 0.65 % 20 mL</t>
        </is>
      </c>
      <c r="C704" s="25">
        <f>IF(COUNTIF('کدهای پیام‌داروساز'!$A$2:$A$2442,A704)&gt;0,"بله","خیر")</f>
        <v/>
      </c>
    </row>
    <row r="705" ht="15" customHeight="1" s="14">
      <c r="A705" s="24" t="n">
        <v>1147</v>
      </c>
      <c r="B705" s="24" t="inlineStr">
        <is>
          <t>SODIUM CHLORIDE SOLUTION, DROPS OPHTHALMIC 5 % 10 mL</t>
        </is>
      </c>
      <c r="C705" s="25">
        <f>IF(COUNTIF('کدهای پیام‌داروساز'!$A$2:$A$2442,A705)&gt;0,"بله","خیر")</f>
        <v/>
      </c>
    </row>
    <row r="706" ht="15" customHeight="1" s="14">
      <c r="A706" s="24" t="n">
        <v>1148</v>
      </c>
      <c r="B706" s="24" t="inlineStr">
        <is>
          <t>SODIUM CHLORIDE INJECTION, SOLUTION INTRAVENOUS 5 % 50 mL</t>
        </is>
      </c>
      <c r="C706" s="25">
        <f>IF(COUNTIF('کدهای پیام‌داروساز'!$A$2:$A$2442,A706)&gt;0,"بله","خیر")</f>
        <v/>
      </c>
    </row>
    <row r="707" ht="15" customHeight="1" s="14">
      <c r="A707" s="24" t="n">
        <v>1149</v>
      </c>
      <c r="B707" s="24" t="inlineStr">
        <is>
          <t>SODIUM CHLORIDE INJECTION, SOLUTION PARENTERAL 0.45 % 1000 mL</t>
        </is>
      </c>
      <c r="C707" s="25">
        <f>IF(COUNTIF('کدهای پیام‌داروساز'!$A$2:$A$2442,A707)&gt;0,"بله","خیر")</f>
        <v/>
      </c>
    </row>
    <row r="708" ht="15" customHeight="1" s="14">
      <c r="A708" s="24" t="n">
        <v>1154</v>
      </c>
      <c r="B708" s="24" t="inlineStr">
        <is>
          <t>FLUORIDE SODIUM TABLET ORAL 20 mg</t>
        </is>
      </c>
      <c r="C708" s="25">
        <f>IF(COUNTIF('کدهای پیام‌داروساز'!$A$2:$A$2442,A708)&gt;0,"بله","خیر")</f>
        <v/>
      </c>
    </row>
    <row r="709" ht="15" customHeight="1" s="14">
      <c r="A709" s="24" t="n">
        <v>1155</v>
      </c>
      <c r="B709" s="24" t="inlineStr">
        <is>
          <t>FLUORIDE SODIUM MOUTHWASH DENTAL 0.2 % 250 mL</t>
        </is>
      </c>
      <c r="C709" s="25">
        <f>IF(COUNTIF('کدهای پیام‌داروساز'!$A$2:$A$2442,A709)&gt;0,"بله","خیر")</f>
        <v/>
      </c>
    </row>
    <row r="710" ht="15" customHeight="1" s="14">
      <c r="A710" s="24" t="n">
        <v>1156</v>
      </c>
      <c r="B710" s="24" t="inlineStr">
        <is>
          <t>SODIUM POLYSTYRENE SULFONATE POWDER, FOR SUSPENSION ORAL 454 g</t>
        </is>
      </c>
      <c r="C710" s="25">
        <f>IF(COUNTIF('کدهای پیام‌داروساز'!$A$2:$A$2442,A710)&gt;0,"بله","خیر")</f>
        <v/>
      </c>
    </row>
    <row r="711" ht="15" customHeight="1" s="14">
      <c r="A711" s="24" t="n">
        <v>1158</v>
      </c>
      <c r="B711" s="24" t="inlineStr">
        <is>
          <t>SODIUM THIOSULFATE INJECTION PARENTERAL 250 mg/1mL 50 mL</t>
        </is>
      </c>
      <c r="C711" s="25">
        <f>IF(COUNTIF('کدهای پیام‌داروساز'!$A$2:$A$2442,A711)&gt;0,"بله","خیر")</f>
        <v/>
      </c>
    </row>
    <row r="712" ht="15" customHeight="1" s="14">
      <c r="A712" s="24" t="n">
        <v>1160</v>
      </c>
      <c r="B712" s="24" t="inlineStr">
        <is>
          <t>SOMATOSTATIN INJECTION, POWDER, FOR SOLUTION PARENTERAL 0.25 mg</t>
        </is>
      </c>
      <c r="C712" s="25">
        <f>IF(COUNTIF('کدهای پیام‌داروساز'!$A$2:$A$2442,A712)&gt;0,"بله","خیر")</f>
        <v/>
      </c>
    </row>
    <row r="713" ht="15" customHeight="1" s="14">
      <c r="A713" s="24" t="n">
        <v>1161</v>
      </c>
      <c r="B713" s="24" t="inlineStr">
        <is>
          <t>SOMATROPIN INJECTION, POWDER, FOR SOLUTION PARENTERAL 4 [iU]</t>
        </is>
      </c>
      <c r="C713" s="25">
        <f>IF(COUNTIF('کدهای پیام‌داروساز'!$A$2:$A$2442,A713)&gt;0,"بله","خیر")</f>
        <v/>
      </c>
    </row>
    <row r="714" ht="15" customHeight="1" s="14">
      <c r="A714" s="24" t="n">
        <v>1162</v>
      </c>
      <c r="B714" s="24" t="inlineStr">
        <is>
          <t>SORBITOL POWDER ORAL 5 g</t>
        </is>
      </c>
      <c r="C714" s="25">
        <f>IF(COUNTIF('کدهای پیام‌داروساز'!$A$2:$A$2442,A714)&gt;0,"بله","خیر")</f>
        <v/>
      </c>
    </row>
    <row r="715" ht="15" customHeight="1" s="14">
      <c r="A715" s="24" t="n">
        <v>1163</v>
      </c>
      <c r="B715" s="24" t="inlineStr">
        <is>
          <t>SOTALOL HYDROCHLORIDE TABLET ORAL 40 mg</t>
        </is>
      </c>
      <c r="C715" s="25">
        <f>IF(COUNTIF('کدهای پیام‌داروساز'!$A$2:$A$2442,A715)&gt;0,"بله","خیر")</f>
        <v/>
      </c>
    </row>
    <row r="716" ht="15" customHeight="1" s="14">
      <c r="A716" s="24" t="n">
        <v>1164</v>
      </c>
      <c r="B716" s="24" t="inlineStr">
        <is>
          <t>SOTALOL HYDROCHLORIDE TABLET ORAL 80 mg</t>
        </is>
      </c>
      <c r="C716" s="25">
        <f>IF(COUNTIF('کدهای پیام‌داروساز'!$A$2:$A$2442,A716)&gt;0,"بله","خیر")</f>
        <v/>
      </c>
    </row>
    <row r="717" ht="15" customHeight="1" s="14">
      <c r="A717" s="24" t="n">
        <v>1165</v>
      </c>
      <c r="B717" s="24" t="inlineStr">
        <is>
          <t>LIPID INFUSION 10% (1) INJECTION, SOLUTION INTRAVENOUS 50 mg/50 mg/1mL 500 mL</t>
        </is>
      </c>
      <c r="C717" s="25">
        <f>IF(COUNTIF('کدهای پیام‌داروساز'!$A$2:$A$2442,A717)&gt;0,"بله","خیر")</f>
        <v/>
      </c>
    </row>
    <row r="718" ht="15" customHeight="1" s="14">
      <c r="A718" s="24" t="n">
        <v>1166</v>
      </c>
      <c r="B718" s="24" t="inlineStr">
        <is>
          <t>SPECTINOMYCIN INJECTION, POWDER, FOR SOLUTION PARENTERAL 2 g</t>
        </is>
      </c>
      <c r="C718" s="25">
        <f>IF(COUNTIF('کدهای پیام‌داروساز'!$A$2:$A$2442,A718)&gt;0,"بله","خیر")</f>
        <v/>
      </c>
    </row>
    <row r="719" ht="15" customHeight="1" s="14">
      <c r="A719" s="24" t="n">
        <v>1168</v>
      </c>
      <c r="B719" s="24" t="inlineStr">
        <is>
          <t>SPIRAMYCIN TABLET ORAL 500 mg</t>
        </is>
      </c>
      <c r="C719" s="25">
        <f>IF(COUNTIF('کدهای پیام‌داروساز'!$A$2:$A$2442,A719)&gt;0,"بله","خیر")</f>
        <v/>
      </c>
    </row>
    <row r="720" ht="15" customHeight="1" s="14">
      <c r="A720" s="24" t="n">
        <v>1169</v>
      </c>
      <c r="B720" s="24" t="inlineStr">
        <is>
          <t>SPIRONOLACTONE TABLET ORAL 25 mg</t>
        </is>
      </c>
      <c r="C720" s="25">
        <f>IF(COUNTIF('کدهای پیام‌داروساز'!$A$2:$A$2442,A720)&gt;0,"بله","خیر")</f>
        <v/>
      </c>
    </row>
    <row r="721" ht="15" customHeight="1" s="14">
      <c r="A721" s="24" t="n">
        <v>1172</v>
      </c>
      <c r="B721" s="24" t="inlineStr">
        <is>
          <t>STREPTOKINASE INJECTION, POWDER, FOR SOLUTION PARENTERAL 750000 [iU]</t>
        </is>
      </c>
      <c r="C721" s="25">
        <f>IF(COUNTIF('کدهای پیام‌داروساز'!$A$2:$A$2442,A721)&gt;0,"بله","خیر")</f>
        <v/>
      </c>
    </row>
    <row r="722" ht="15" customHeight="1" s="14">
      <c r="A722" s="24" t="n">
        <v>1173</v>
      </c>
      <c r="B722" s="24" t="inlineStr">
        <is>
          <t>STREPTOMYCIN (AS SULFATE) INJECTION, POWDER, FOR SOLUTION PARENTERAL 1 g</t>
        </is>
      </c>
      <c r="C722" s="25">
        <f>IF(COUNTIF('کدهای پیام‌داروساز'!$A$2:$A$2442,A722)&gt;0,"بله","خیر")</f>
        <v/>
      </c>
    </row>
    <row r="723" ht="15" customHeight="1" s="14">
      <c r="A723" s="24" t="n">
        <v>1174</v>
      </c>
      <c r="B723" s="24" t="inlineStr">
        <is>
          <t>STREPTOZOCIN INJECTION, POWDER, FOR SOLUTION PARENTERAL 1 g</t>
        </is>
      </c>
      <c r="C723" s="25">
        <f>IF(COUNTIF('کدهای پیام‌داروساز'!$A$2:$A$2442,A723)&gt;0,"بله","خیر")</f>
        <v/>
      </c>
    </row>
    <row r="724" ht="15" customHeight="1" s="14">
      <c r="A724" s="24" t="n">
        <v>1179</v>
      </c>
      <c r="B724" s="24" t="inlineStr">
        <is>
          <t>SUCRALFATE TABLET ORAL 500 mg</t>
        </is>
      </c>
      <c r="C724" s="25">
        <f>IF(COUNTIF('کدهای پیام‌داروساز'!$A$2:$A$2442,A724)&gt;0,"بله","خیر")</f>
        <v/>
      </c>
    </row>
    <row r="725" ht="15" customHeight="1" s="14">
      <c r="A725" s="24" t="n">
        <v>1180</v>
      </c>
      <c r="B725" s="24" t="inlineStr">
        <is>
          <t>SULFACETAMIDE SODIUM SOLUTION, DROPS OPHTHALMIC 10 % 10 mL</t>
        </is>
      </c>
      <c r="C725" s="25">
        <f>IF(COUNTIF('کدهای پیام‌داروساز'!$A$2:$A$2442,A725)&gt;0,"بله","خیر")</f>
        <v/>
      </c>
    </row>
    <row r="726" ht="15" customHeight="1" s="14">
      <c r="A726" s="24" t="n">
        <v>1181</v>
      </c>
      <c r="B726" s="24" t="inlineStr">
        <is>
          <t>SULFACETAMIDE SODIUM SOLUTION, DROPS OPHTHALMIC 20 % 10 mL</t>
        </is>
      </c>
      <c r="C726" s="25">
        <f>IF(COUNTIF('کدهای پیام‌داروساز'!$A$2:$A$2442,A726)&gt;0,"بله","خیر")</f>
        <v/>
      </c>
    </row>
    <row r="727" ht="15" customHeight="1" s="14">
      <c r="A727" s="24" t="n">
        <v>1182</v>
      </c>
      <c r="B727" s="24" t="inlineStr">
        <is>
          <t>SULFASALAZINE TABLET ORAL 500 mg</t>
        </is>
      </c>
      <c r="C727" s="25">
        <f>IF(COUNTIF('کدهای پیام‌داروساز'!$A$2:$A$2442,A727)&gt;0,"بله","خیر")</f>
        <v/>
      </c>
    </row>
    <row r="728" ht="15" customHeight="1" s="14">
      <c r="A728" s="24" t="n">
        <v>1183</v>
      </c>
      <c r="B728" s="24" t="inlineStr">
        <is>
          <t>SULFADIAZINE TABLET ORAL 500 mg</t>
        </is>
      </c>
      <c r="C728" s="25">
        <f>IF(COUNTIF('کدهای پیام‌داروساز'!$A$2:$A$2442,A728)&gt;0,"بله","خیر")</f>
        <v/>
      </c>
    </row>
    <row r="729" ht="15" customHeight="1" s="14">
      <c r="A729" s="24" t="n">
        <v>1187</v>
      </c>
      <c r="B729" s="24" t="inlineStr">
        <is>
          <t>SULPIRIDE TABLET ORAL 200 mg</t>
        </is>
      </c>
      <c r="C729" s="25">
        <f>IF(COUNTIF('کدهای پیام‌داروساز'!$A$2:$A$2442,A729)&gt;0,"بله","خیر")</f>
        <v/>
      </c>
    </row>
    <row r="730" ht="15" customHeight="1" s="14">
      <c r="A730" s="24" t="n">
        <v>1193</v>
      </c>
      <c r="B730" s="24" t="inlineStr">
        <is>
          <t>TAMOXIFEN TABLET ORAL 10 mg</t>
        </is>
      </c>
      <c r="C730" s="25">
        <f>IF(COUNTIF('کدهای پیام‌داروساز'!$A$2:$A$2442,A730)&gt;0,"بله","خیر")</f>
        <v/>
      </c>
    </row>
    <row r="731" ht="15" customHeight="1" s="14">
      <c r="A731" s="24" t="n">
        <v>1196</v>
      </c>
      <c r="B731" s="24" t="inlineStr">
        <is>
          <t>TERBINAFINE HYDROCHLORIDE CREAM TOPICAL 1 % 15 g</t>
        </is>
      </c>
      <c r="C731" s="25">
        <f>IF(COUNTIF('کدهای پیام‌داروساز'!$A$2:$A$2442,A731)&gt;0,"بله","خیر")</f>
        <v/>
      </c>
    </row>
    <row r="732" ht="15" customHeight="1" s="14">
      <c r="A732" s="24" t="n">
        <v>1197</v>
      </c>
      <c r="B732" s="24" t="inlineStr">
        <is>
          <t>TERBINAFINE HYDROCHLORIDE TABLET ORAL 250 mg</t>
        </is>
      </c>
      <c r="C732" s="25">
        <f>IF(COUNTIF('کدهای پیام‌داروساز'!$A$2:$A$2442,A732)&gt;0,"بله","خیر")</f>
        <v/>
      </c>
    </row>
    <row r="733" ht="15" customHeight="1" s="14">
      <c r="A733" s="24" t="n">
        <v>1198</v>
      </c>
      <c r="B733" s="24" t="inlineStr">
        <is>
          <t>TERBUTALINE SULFATE TABLET ORAL 5 mg</t>
        </is>
      </c>
      <c r="C733" s="25">
        <f>IF(COUNTIF('کدهای پیام‌داروساز'!$A$2:$A$2442,A733)&gt;0,"بله","خیر")</f>
        <v/>
      </c>
    </row>
    <row r="734" ht="15" customHeight="1" s="14">
      <c r="A734" s="24" t="n">
        <v>1201</v>
      </c>
      <c r="B734" s="24" t="inlineStr">
        <is>
          <t>TESTOSTERONE ENANTHATE INJECTION PARENTERAL 100 mg/1mL</t>
        </is>
      </c>
      <c r="C734" s="25">
        <f>IF(COUNTIF('کدهای پیام‌داروساز'!$A$2:$A$2442,A734)&gt;0,"بله","خیر")</f>
        <v/>
      </c>
    </row>
    <row r="735" ht="15" customHeight="1" s="14">
      <c r="A735" s="24" t="n">
        <v>1202</v>
      </c>
      <c r="B735" s="24" t="inlineStr">
        <is>
          <t>TETANUS IMMUNE GLOBULIN INJECTION PARENTERAL 250 [iU]/1mL</t>
        </is>
      </c>
      <c r="C735" s="25">
        <f>IF(COUNTIF('کدهای پیام‌داروساز'!$A$2:$A$2442,A735)&gt;0,"بله","خیر")</f>
        <v/>
      </c>
    </row>
    <row r="736" ht="15" customHeight="1" s="14">
      <c r="A736" s="24" t="n">
        <v>1203</v>
      </c>
      <c r="B736" s="24" t="inlineStr">
        <is>
          <t>TETRABENAZINE TABLET ORAL 25 mg</t>
        </is>
      </c>
      <c r="C736" s="25">
        <f>IF(COUNTIF('کدهای پیام‌داروساز'!$A$2:$A$2442,A736)&gt;0,"بله","خیر")</f>
        <v/>
      </c>
    </row>
    <row r="737" ht="15" customHeight="1" s="14">
      <c r="A737" s="24" t="n">
        <v>1204</v>
      </c>
      <c r="B737" s="24" t="inlineStr">
        <is>
          <t>TETRACAINE HYDROCHLORIDE SOLUTION, DROPS OPHTHALMIC 0.5 % 10 mL</t>
        </is>
      </c>
      <c r="C737" s="25">
        <f>IF(COUNTIF('کدهای پیام‌داروساز'!$A$2:$A$2442,A737)&gt;0,"بله","خیر")</f>
        <v/>
      </c>
    </row>
    <row r="738" ht="15" customHeight="1" s="14">
      <c r="A738" s="24" t="n">
        <v>1205</v>
      </c>
      <c r="B738" s="24" t="inlineStr">
        <is>
          <t>TETRACOSACTIDE ACETATE INJECTION, SUSPENSION PARENTERAL 1 mg/1mL</t>
        </is>
      </c>
      <c r="C738" s="25">
        <f>IF(COUNTIF('کدهای پیام‌داروساز'!$A$2:$A$2442,A738)&gt;0,"بله","خیر")</f>
        <v/>
      </c>
    </row>
    <row r="739" ht="15" customHeight="1" s="14">
      <c r="A739" s="24" t="n">
        <v>1206</v>
      </c>
      <c r="B739" s="24" t="inlineStr">
        <is>
          <t>TETRACYCLINE HYDROCHLORIDE OINTMENT OPHTHALMIC 1 % 3 g</t>
        </is>
      </c>
      <c r="C739" s="25">
        <f>IF(COUNTIF('کدهای پیام‌داروساز'!$A$2:$A$2442,A739)&gt;0,"بله","خیر")</f>
        <v/>
      </c>
    </row>
    <row r="740" ht="15" customHeight="1" s="14">
      <c r="A740" s="24" t="n">
        <v>1207</v>
      </c>
      <c r="B740" s="24" t="inlineStr">
        <is>
          <t>TETRACYCLINE HYDROCHLORIDE CAPSULE ORAL 250 mg</t>
        </is>
      </c>
      <c r="C740" s="25">
        <f>IF(COUNTIF('کدهای پیام‌داروساز'!$A$2:$A$2442,A740)&gt;0,"بله","خیر")</f>
        <v/>
      </c>
    </row>
    <row r="741" ht="15" customHeight="1" s="14">
      <c r="A741" s="24" t="n">
        <v>1208</v>
      </c>
      <c r="B741" s="24" t="inlineStr">
        <is>
          <t>TETRACYCLINE HYDROCHLORIDE OINTMENT TOPICAL 3 % 15 g</t>
        </is>
      </c>
      <c r="C741" s="25">
        <f>IF(COUNTIF('کدهای پیام‌داروساز'!$A$2:$A$2442,A741)&gt;0,"بله","خیر")</f>
        <v/>
      </c>
    </row>
    <row r="742" ht="15" customHeight="1" s="14">
      <c r="A742" s="24" t="n">
        <v>1209</v>
      </c>
      <c r="B742" s="24" t="inlineStr">
        <is>
          <t>THEOPHYLLINE TABLET, EXTENDED RELEASE ORAL 200 mg</t>
        </is>
      </c>
      <c r="C742" s="25">
        <f>IF(COUNTIF('کدهای پیام‌داروساز'!$A$2:$A$2442,A742)&gt;0,"بله","خیر")</f>
        <v/>
      </c>
    </row>
    <row r="743" ht="15" customHeight="1" s="14">
      <c r="A743" s="24" t="n">
        <v>1210</v>
      </c>
      <c r="B743" s="24" t="inlineStr">
        <is>
          <t>THEOPHYLLINE TABLET ORAL 200 mg</t>
        </is>
      </c>
      <c r="C743" s="25">
        <f>IF(COUNTIF('کدهای پیام‌داروساز'!$A$2:$A$2442,A743)&gt;0,"بله","خیر")</f>
        <v/>
      </c>
    </row>
    <row r="744" ht="15" customHeight="1" s="14">
      <c r="A744" s="24" t="n">
        <v>1211</v>
      </c>
      <c r="B744" s="24" t="inlineStr">
        <is>
          <t>THEOPHYLLINE / GUAIFENESIN SOLUTION ORAL 50 mg/30 mg/5mL 120 mL</t>
        </is>
      </c>
      <c r="C744" s="25">
        <f>IF(COUNTIF('کدهای پیام‌داروساز'!$A$2:$A$2442,A744)&gt;0,"بله","خیر")</f>
        <v/>
      </c>
    </row>
    <row r="745" ht="15" customHeight="1" s="14">
      <c r="A745" s="24" t="n">
        <v>1217</v>
      </c>
      <c r="B745" s="24" t="inlineStr">
        <is>
          <t>THIOGUANINE TABLET ORAL 40 mg</t>
        </is>
      </c>
      <c r="C745" s="25">
        <f>IF(COUNTIF('کدهای پیام‌داروساز'!$A$2:$A$2442,A745)&gt;0,"بله","خیر")</f>
        <v/>
      </c>
    </row>
    <row r="746" ht="15" customHeight="1" s="14">
      <c r="A746" s="24" t="n">
        <v>1218</v>
      </c>
      <c r="B746" s="24" t="inlineStr">
        <is>
          <t>THIOPENTAL SODIUM INJECTION, POWDER, FOR SOLUTION PARENTERAL 1 g</t>
        </is>
      </c>
      <c r="C746" s="25">
        <f>IF(COUNTIF('کدهای پیام‌داروساز'!$A$2:$A$2442,A746)&gt;0,"بله","خیر")</f>
        <v/>
      </c>
    </row>
    <row r="747" ht="15" customHeight="1" s="14">
      <c r="A747" s="24" t="n">
        <v>1219</v>
      </c>
      <c r="B747" s="24" t="inlineStr">
        <is>
          <t>THIOPENTAL SODIUM INJECTION, POWDER, FOR SOLUTION PARENTERAL 500 mg</t>
        </is>
      </c>
      <c r="C747" s="25">
        <f>IF(COUNTIF('کدهای پیام‌داروساز'!$A$2:$A$2442,A747)&gt;0,"بله","خیر")</f>
        <v/>
      </c>
    </row>
    <row r="748" ht="15" customHeight="1" s="14">
      <c r="A748" s="24" t="n">
        <v>1220</v>
      </c>
      <c r="B748" s="24" t="inlineStr">
        <is>
          <t>THIORIDAZINE HYDROCHLORIDE TABLET ORAL 10 mg</t>
        </is>
      </c>
      <c r="C748" s="25">
        <f>IF(COUNTIF('کدهای پیام‌داروساز'!$A$2:$A$2442,A748)&gt;0,"بله","خیر")</f>
        <v/>
      </c>
    </row>
    <row r="749" ht="15" customHeight="1" s="14">
      <c r="A749" s="24" t="n">
        <v>1221</v>
      </c>
      <c r="B749" s="24" t="inlineStr">
        <is>
          <t>THIORIDAZINE HYDROCHLORIDE TABLET ORAL 100 mg</t>
        </is>
      </c>
      <c r="C749" s="25">
        <f>IF(COUNTIF('کدهای پیام‌داروساز'!$A$2:$A$2442,A749)&gt;0,"بله","خیر")</f>
        <v/>
      </c>
    </row>
    <row r="750" ht="15" customHeight="1" s="14">
      <c r="A750" s="24" t="n">
        <v>1222</v>
      </c>
      <c r="B750" s="24" t="inlineStr">
        <is>
          <t>THIORIDAZINE HYDROCHLORIDE TABLET ORAL 25 mg</t>
        </is>
      </c>
      <c r="C750" s="25">
        <f>IF(COUNTIF('کدهای پیام‌داروساز'!$A$2:$A$2442,A750)&gt;0,"بله","خیر")</f>
        <v/>
      </c>
    </row>
    <row r="751" ht="15" customHeight="1" s="14">
      <c r="A751" s="24" t="n">
        <v>1223</v>
      </c>
      <c r="B751" s="24" t="inlineStr">
        <is>
          <t>THIOTHIXENE CAPSULE ORAL 5 mg</t>
        </is>
      </c>
      <c r="C751" s="25">
        <f>IF(COUNTIF('کدهای پیام‌داروساز'!$A$2:$A$2442,A751)&gt;0,"بله","خیر")</f>
        <v/>
      </c>
    </row>
    <row r="752" ht="15" customHeight="1" s="14">
      <c r="A752" s="24" t="n">
        <v>1225</v>
      </c>
      <c r="B752" s="24" t="inlineStr">
        <is>
          <t>TICLOPIDINE HYDROCHLORIDE TABLET ORAL 250 mg</t>
        </is>
      </c>
      <c r="C752" s="25">
        <f>IF(COUNTIF('کدهای پیام‌داروساز'!$A$2:$A$2442,A752)&gt;0,"بله","خیر")</f>
        <v/>
      </c>
    </row>
    <row r="753" ht="15" customHeight="1" s="14">
      <c r="A753" s="24" t="n">
        <v>1226</v>
      </c>
      <c r="B753" s="24" t="inlineStr">
        <is>
          <t>TIMOLOL (AS MALEATE) SOLUTION, DROPS OPHTHALMIC 0.5 % 5 mL</t>
        </is>
      </c>
      <c r="C753" s="25">
        <f>IF(COUNTIF('کدهای پیام‌داروساز'!$A$2:$A$2442,A753)&gt;0,"بله","خیر")</f>
        <v/>
      </c>
    </row>
    <row r="754" ht="15" customHeight="1" s="14">
      <c r="A754" s="24" t="n">
        <v>1229</v>
      </c>
      <c r="B754" s="24" t="inlineStr">
        <is>
          <t>TOBRAMYCIN (AS SULFATE) INJECTION PARENTERAL 40 mg/1mL 2 mL</t>
        </is>
      </c>
      <c r="C754" s="25">
        <f>IF(COUNTIF('کدهای پیام‌داروساز'!$A$2:$A$2442,A754)&gt;0,"بله","خیر")</f>
        <v/>
      </c>
    </row>
    <row r="755" ht="15" customHeight="1" s="14">
      <c r="A755" s="24" t="n">
        <v>1234</v>
      </c>
      <c r="B755" s="24" t="inlineStr">
        <is>
          <t>TOLMETIN TABLET ORAL 200 mg</t>
        </is>
      </c>
      <c r="C755" s="25">
        <f>IF(COUNTIF('کدهای پیام‌داروساز'!$A$2:$A$2442,A755)&gt;0,"بله","خیر")</f>
        <v/>
      </c>
    </row>
    <row r="756" ht="15" customHeight="1" s="14">
      <c r="A756" s="24" t="n">
        <v>1236</v>
      </c>
      <c r="B756" s="24" t="inlineStr">
        <is>
          <t>TOLNAFTATE SOLUTION TOPICAL 1 % 10 mL</t>
        </is>
      </c>
      <c r="C756" s="25">
        <f>IF(COUNTIF('کدهای پیام‌داروساز'!$A$2:$A$2442,A756)&gt;0,"بله","خیر")</f>
        <v/>
      </c>
    </row>
    <row r="757" ht="15" customHeight="1" s="14">
      <c r="A757" s="24" t="n">
        <v>1238</v>
      </c>
      <c r="B757" s="24" t="inlineStr">
        <is>
          <t>TRANEXAMIC ACID INJECTION PARENTERAL 100 mg/1mL 5 mL</t>
        </is>
      </c>
      <c r="C757" s="25">
        <f>IF(COUNTIF('کدهای پیام‌داروساز'!$A$2:$A$2442,A757)&gt;0,"بله","خیر")</f>
        <v/>
      </c>
    </row>
    <row r="758" ht="15" customHeight="1" s="14">
      <c r="A758" s="24" t="n">
        <v>1239</v>
      </c>
      <c r="B758" s="24" t="inlineStr">
        <is>
          <t>TRANEXAMIC ACID CAPSULE ORAL 250 mg</t>
        </is>
      </c>
      <c r="C758" s="25">
        <f>IF(COUNTIF('کدهای پیام‌داروساز'!$A$2:$A$2442,A758)&gt;0,"بله","خیر")</f>
        <v/>
      </c>
    </row>
    <row r="759" ht="15" customHeight="1" s="14">
      <c r="A759" s="24" t="n">
        <v>1241</v>
      </c>
      <c r="B759" s="24" t="inlineStr">
        <is>
          <t>TRANYLCYPROMINE TABLET ORAL 10 mg</t>
        </is>
      </c>
      <c r="C759" s="25">
        <f>IF(COUNTIF('کدهای پیام‌داروساز'!$A$2:$A$2442,A759)&gt;0,"بله","خیر")</f>
        <v/>
      </c>
    </row>
    <row r="760" ht="15" customHeight="1" s="14">
      <c r="A760" s="24" t="n">
        <v>1242</v>
      </c>
      <c r="B760" s="24" t="inlineStr">
        <is>
          <t>TRAZODONE HYDROCHLORIDE  TABLET ORAL 50 mg</t>
        </is>
      </c>
      <c r="C760" s="25">
        <f>IF(COUNTIF('کدهای پیام‌داروساز'!$A$2:$A$2442,A760)&gt;0,"بله","خیر")</f>
        <v/>
      </c>
    </row>
    <row r="761" ht="15" customHeight="1" s="14">
      <c r="A761" s="24" t="n">
        <v>1244</v>
      </c>
      <c r="B761" s="24" t="inlineStr">
        <is>
          <t>TRETINOIN GEL TOPICAL 0.025 % 15 g</t>
        </is>
      </c>
      <c r="C761" s="25">
        <f>IF(COUNTIF('کدهای پیام‌داروساز'!$A$2:$A$2442,A761)&gt;0,"بله","خیر")</f>
        <v/>
      </c>
    </row>
    <row r="762" ht="15" customHeight="1" s="14">
      <c r="A762" s="24" t="n">
        <v>1245</v>
      </c>
      <c r="B762" s="24" t="inlineStr">
        <is>
          <t>TRETINOIN CREAM TOPICAL 0.05 % 15 g</t>
        </is>
      </c>
      <c r="C762" s="25">
        <f>IF(COUNTIF('کدهای پیام‌داروساز'!$A$2:$A$2442,A762)&gt;0,"بله","خیر")</f>
        <v/>
      </c>
    </row>
    <row r="763" ht="15" customHeight="1" s="14">
      <c r="A763" s="24" t="n">
        <v>1246</v>
      </c>
      <c r="B763" s="24" t="inlineStr">
        <is>
          <t>TRETINOIN LOTION TOPICAL 0.05 % 15 mL</t>
        </is>
      </c>
      <c r="C763" s="25">
        <f>IF(COUNTIF('کدهای پیام‌داروساز'!$A$2:$A$2442,A763)&gt;0,"بله","خیر")</f>
        <v/>
      </c>
    </row>
    <row r="764" ht="15" customHeight="1" s="14">
      <c r="A764" s="24" t="n">
        <v>1247</v>
      </c>
      <c r="B764" s="24" t="inlineStr">
        <is>
          <t>TRIAMCINOLONE ACETONIDE INJECTION PARENTERAL 40 mg/1mL 1 mL</t>
        </is>
      </c>
      <c r="C764" s="25">
        <f>IF(COUNTIF('کدهای پیام‌داروساز'!$A$2:$A$2442,A764)&gt;0,"بله","خیر")</f>
        <v/>
      </c>
    </row>
    <row r="765" ht="15" customHeight="1" s="14">
      <c r="A765" s="24" t="n">
        <v>1248</v>
      </c>
      <c r="B765" s="24" t="inlineStr">
        <is>
          <t>TRIAMCINOLONE ACETONIDE CREAM TOPICAL 0.1 % 15 g</t>
        </is>
      </c>
      <c r="C765" s="25">
        <f>IF(COUNTIF('کدهای پیام‌داروساز'!$A$2:$A$2442,A765)&gt;0,"بله","خیر")</f>
        <v/>
      </c>
    </row>
    <row r="766" ht="15" customHeight="1" s="14">
      <c r="A766" s="24" t="n">
        <v>1249</v>
      </c>
      <c r="B766" s="24" t="inlineStr">
        <is>
          <t>TRIAMCINOLONE ACETONIDE OINTMENT TOPICAL 0.1 % 15 g</t>
        </is>
      </c>
      <c r="C766" s="25">
        <f>IF(COUNTIF('کدهای پیام‌داروساز'!$A$2:$A$2442,A766)&gt;0,"بله","خیر")</f>
        <v/>
      </c>
    </row>
    <row r="767" ht="15" customHeight="1" s="14">
      <c r="A767" s="24" t="n">
        <v>1251</v>
      </c>
      <c r="B767" s="24" t="inlineStr">
        <is>
          <t>TRIAMCINOLONE NN OINTMENT TOPICAL 1 mg/2.5 mg/100000 [iU]/1g 15 g</t>
        </is>
      </c>
      <c r="C767" s="25">
        <f>IF(COUNTIF('کدهای پیام‌داروساز'!$A$2:$A$2442,A767)&gt;0,"بله","خیر")</f>
        <v/>
      </c>
    </row>
    <row r="768" ht="15" customHeight="1" s="14">
      <c r="A768" s="24" t="n">
        <v>1252</v>
      </c>
      <c r="B768" s="24" t="inlineStr">
        <is>
          <t>TRIAMTERENE / HYDROCHLOROTHIAZIDE TABLET ORAL 50 mg/25 mg</t>
        </is>
      </c>
      <c r="C768" s="25">
        <f>IF(COUNTIF('کدهای پیام‌داروساز'!$A$2:$A$2442,A768)&gt;0,"بله","خیر")</f>
        <v/>
      </c>
    </row>
    <row r="769" ht="15" customHeight="1" s="14">
      <c r="A769" s="24" t="n">
        <v>1253</v>
      </c>
      <c r="B769" s="24" t="inlineStr">
        <is>
          <t>TRIFLUOPERAZINE TABLET ORAL 1 mg</t>
        </is>
      </c>
      <c r="C769" s="25">
        <f>IF(COUNTIF('کدهای پیام‌داروساز'!$A$2:$A$2442,A769)&gt;0,"بله","خیر")</f>
        <v/>
      </c>
    </row>
    <row r="770" ht="15" customHeight="1" s="14">
      <c r="A770" s="24" t="n">
        <v>1254</v>
      </c>
      <c r="B770" s="24" t="inlineStr">
        <is>
          <t>TRIFLUOPERAZINE INJECTION INTRAMUSCULAR 1 mg/1mL 1 mL</t>
        </is>
      </c>
      <c r="C770" s="25">
        <f>IF(COUNTIF('کدهای پیام‌داروساز'!$A$2:$A$2442,A770)&gt;0,"بله","خیر")</f>
        <v/>
      </c>
    </row>
    <row r="771" ht="15" customHeight="1" s="14">
      <c r="A771" s="24" t="n">
        <v>1255</v>
      </c>
      <c r="B771" s="24" t="inlineStr">
        <is>
          <t>TRIFLUOPERAZINE TABLET ORAL 2 mg</t>
        </is>
      </c>
      <c r="C771" s="25">
        <f>IF(COUNTIF('کدهای پیام‌داروساز'!$A$2:$A$2442,A771)&gt;0,"بله","خیر")</f>
        <v/>
      </c>
    </row>
    <row r="772" ht="15" customHeight="1" s="14">
      <c r="A772" s="24" t="n">
        <v>1256</v>
      </c>
      <c r="B772" s="24" t="inlineStr">
        <is>
          <t>TRIFLUOPERAZINE TABLET ORAL 5 mg</t>
        </is>
      </c>
      <c r="C772" s="25">
        <f>IF(COUNTIF('کدهای پیام‌داروساز'!$A$2:$A$2442,A772)&gt;0,"بله","خیر")</f>
        <v/>
      </c>
    </row>
    <row r="773" ht="15" customHeight="1" s="14">
      <c r="A773" s="24" t="n">
        <v>1257</v>
      </c>
      <c r="B773" s="24" t="inlineStr">
        <is>
          <t>TRIFLURIDINE SOLUTION, DROPS OPHTHALMIC 1 % 5 mL</t>
        </is>
      </c>
      <c r="C773" s="25">
        <f>IF(COUNTIF('کدهای پیام‌داروساز'!$A$2:$A$2442,A773)&gt;0,"بله","خیر")</f>
        <v/>
      </c>
    </row>
    <row r="774" ht="15" customHeight="1" s="14">
      <c r="A774" s="24" t="n">
        <v>1258</v>
      </c>
      <c r="B774" s="24" t="inlineStr">
        <is>
          <t>TRIHEXYPHENIDYL HYDROCHLORIDE TABLET ORAL 2 mg</t>
        </is>
      </c>
      <c r="C774" s="25">
        <f>IF(COUNTIF('کدهای پیام‌داروساز'!$A$2:$A$2442,A774)&gt;0,"بله","خیر")</f>
        <v/>
      </c>
    </row>
    <row r="775" ht="15" customHeight="1" s="14">
      <c r="A775" s="24" t="n">
        <v>1259</v>
      </c>
      <c r="B775" s="24" t="inlineStr">
        <is>
          <t>TRIMIPRAMINE (AS MALEATE) TABLET ORAL 100 mg</t>
        </is>
      </c>
      <c r="C775" s="25">
        <f>IF(COUNTIF('کدهای پیام‌داروساز'!$A$2:$A$2442,A775)&gt;0,"بله","خیر")</f>
        <v/>
      </c>
    </row>
    <row r="776" ht="15" customHeight="1" s="14">
      <c r="A776" s="24" t="n">
        <v>1260</v>
      </c>
      <c r="B776" s="24" t="inlineStr">
        <is>
          <t>TRIMIPRAMINE (AS MALEATE) TABLET ORAL 25 mg</t>
        </is>
      </c>
      <c r="C776" s="25">
        <f>IF(COUNTIF('کدهای پیام‌داروساز'!$A$2:$A$2442,A776)&gt;0,"بله","خیر")</f>
        <v/>
      </c>
    </row>
    <row r="777" ht="15" customHeight="1" s="14">
      <c r="A777" s="24" t="n">
        <v>1261</v>
      </c>
      <c r="B777" s="24" t="inlineStr">
        <is>
          <t>TRIMIPRAMINE (AS MALEATE) SOLUTION, DROPS ORAL 4 % 30 mL</t>
        </is>
      </c>
      <c r="C777" s="25">
        <f>IF(COUNTIF('کدهای پیام‌داروساز'!$A$2:$A$2442,A777)&gt;0,"بله","خیر")</f>
        <v/>
      </c>
    </row>
    <row r="778" ht="15" customHeight="1" s="14">
      <c r="A778" s="24" t="n">
        <v>1264</v>
      </c>
      <c r="B778" s="24" t="inlineStr">
        <is>
          <t>TRIPLE SULFA CREAM VAGINAL 3.42 %/2.86 %/3.7 % 78 g</t>
        </is>
      </c>
      <c r="C778" s="25">
        <f>IF(COUNTIF('کدهای پیام‌داروساز'!$A$2:$A$2442,A778)&gt;0,"بله","خیر")</f>
        <v/>
      </c>
    </row>
    <row r="779" ht="15" customHeight="1" s="14">
      <c r="A779" s="24" t="n">
        <v>1265</v>
      </c>
      <c r="B779" s="24" t="inlineStr">
        <is>
          <t>TRIPLE SULFA TABLET VAGINAL 172.5 mg/143.75 mg/184 mg</t>
        </is>
      </c>
      <c r="C779" s="25">
        <f>IF(COUNTIF('کدهای پیام‌داروساز'!$A$2:$A$2442,A779)&gt;0,"بله","خیر")</f>
        <v/>
      </c>
    </row>
    <row r="780" ht="15" customHeight="1" s="14">
      <c r="A780" s="24" t="n">
        <v>1266</v>
      </c>
      <c r="B780" s="24" t="inlineStr">
        <is>
          <t>TRIPTORELIN (AS ACETATE) INJECTION, POWDER, LYOPHILIZED, FOR SUSPENSION, EXTENDED RELEASE PARENTERAL 3.75 mg</t>
        </is>
      </c>
      <c r="C780" s="25">
        <f>IF(COUNTIF('کدهای پیام‌داروساز'!$A$2:$A$2442,A780)&gt;0,"بله","خیر")</f>
        <v/>
      </c>
    </row>
    <row r="781" ht="15" customHeight="1" s="14">
      <c r="A781" s="24" t="n">
        <v>1267</v>
      </c>
      <c r="B781" s="24" t="inlineStr">
        <is>
          <t>TROPICAMIDE SOLUTION, DROPS OPHTHALMIC 0.5 % 10 mL</t>
        </is>
      </c>
      <c r="C781" s="25">
        <f>IF(COUNTIF('کدهای پیام‌داروساز'!$A$2:$A$2442,A781)&gt;0,"بله","خیر")</f>
        <v/>
      </c>
    </row>
    <row r="782" ht="15" customHeight="1" s="14">
      <c r="A782" s="24" t="n">
        <v>1270</v>
      </c>
      <c r="B782" s="24" t="inlineStr">
        <is>
          <t>UROFOLLITROPIN INJECTION, POWDER, LYOPHILIZED, FOR SOLUTION INTRAMUSCULAR 75 [iU]</t>
        </is>
      </c>
      <c r="C782" s="25">
        <f>IF(COUNTIF('کدهای پیام‌داروساز'!$A$2:$A$2442,A782)&gt;0,"بله","خیر")</f>
        <v/>
      </c>
    </row>
    <row r="783" ht="15" customHeight="1" s="14">
      <c r="A783" s="24" t="n">
        <v>1273</v>
      </c>
      <c r="B783" s="24" t="inlineStr">
        <is>
          <t>URSODEOXYCHOLIC ACID TABLET ORAL 250 mg</t>
        </is>
      </c>
      <c r="C783" s="25">
        <f>IF(COUNTIF('کدهای پیام‌داروساز'!$A$2:$A$2442,A783)&gt;0,"بله","خیر")</f>
        <v/>
      </c>
    </row>
    <row r="784" ht="15" customHeight="1" s="14">
      <c r="A784" s="24" t="n">
        <v>1275</v>
      </c>
      <c r="B784" s="24" t="inlineStr">
        <is>
          <t>VALPROATE SODIUM TABLET, DELAYED RELEASE ORAL 200 mg</t>
        </is>
      </c>
      <c r="C784" s="25">
        <f>IF(COUNTIF('کدهای پیام‌داروساز'!$A$2:$A$2442,A784)&gt;0,"بله","خیر")</f>
        <v/>
      </c>
    </row>
    <row r="785" ht="15" customHeight="1" s="14">
      <c r="A785" s="24" t="n">
        <v>1276</v>
      </c>
      <c r="B785" s="24" t="inlineStr">
        <is>
          <t>VANCOMYCIN (AS HYDROCHLORIDE) INJECTION, POWDER, FOR SOLUTION PARENTERAL 500 mg</t>
        </is>
      </c>
      <c r="C785" s="25">
        <f>IF(COUNTIF('کدهای پیام‌داروساز'!$A$2:$A$2442,A785)&gt;0,"بله","خیر")</f>
        <v/>
      </c>
    </row>
    <row r="786" ht="15" customHeight="1" s="14">
      <c r="A786" s="24" t="n">
        <v>1277</v>
      </c>
      <c r="B786" s="24" t="inlineStr">
        <is>
          <t>VASOPRESSIN INJECTION PARENTERAL 20 [iU]/1mL 1 mL</t>
        </is>
      </c>
      <c r="C786" s="25">
        <f>IF(COUNTIF('کدهای پیام‌داروساز'!$A$2:$A$2442,A786)&gt;0,"بله","خیر")</f>
        <v/>
      </c>
    </row>
    <row r="787" ht="15" customHeight="1" s="14">
      <c r="A787" s="24" t="n">
        <v>1278</v>
      </c>
      <c r="B787" s="24" t="inlineStr">
        <is>
          <t>VERAPAMIL HYDROCHLORIDE TABLET, EXTENDED RELEASE ORAL 240 mg</t>
        </is>
      </c>
      <c r="C787" s="25">
        <f>IF(COUNTIF('کدهای پیام‌داروساز'!$A$2:$A$2442,A787)&gt;0,"بله","خیر")</f>
        <v/>
      </c>
    </row>
    <row r="788" ht="15" customHeight="1" s="14">
      <c r="A788" s="24" t="n">
        <v>1279</v>
      </c>
      <c r="B788" s="24" t="inlineStr">
        <is>
          <t>VERAPAMIL HYDROCHLORIDE TABLET ORAL 40 mg</t>
        </is>
      </c>
      <c r="C788" s="25">
        <f>IF(COUNTIF('کدهای پیام‌داروساز'!$A$2:$A$2442,A788)&gt;0,"بله","خیر")</f>
        <v/>
      </c>
    </row>
    <row r="789" ht="15" customHeight="1" s="14">
      <c r="A789" s="24" t="n">
        <v>1280</v>
      </c>
      <c r="B789" s="24" t="inlineStr">
        <is>
          <t>VERAPAMIL HYDROCHLORIDE INJECTION PARENTERAL 2.5 mg/1mL 2 mL</t>
        </is>
      </c>
      <c r="C789" s="25">
        <f>IF(COUNTIF('کدهای پیام‌داروساز'!$A$2:$A$2442,A789)&gt;0,"بله","خیر")</f>
        <v/>
      </c>
    </row>
    <row r="790" ht="15" customHeight="1" s="14">
      <c r="A790" s="24" t="n">
        <v>1282</v>
      </c>
      <c r="B790" s="24" t="inlineStr">
        <is>
          <t>VIGABATRIN TABLET ORAL 500 mg</t>
        </is>
      </c>
      <c r="C790" s="25">
        <f>IF(COUNTIF('کدهای پیام‌داروساز'!$A$2:$A$2442,A790)&gt;0,"بله","خیر")</f>
        <v/>
      </c>
    </row>
    <row r="791" ht="15" customHeight="1" s="14">
      <c r="A791" s="24" t="n">
        <v>1283</v>
      </c>
      <c r="B791" s="24" t="inlineStr">
        <is>
          <t>VINBLASTINE SULFATE INJECTION, POWDER, FOR SOLUTION PARENTERAL 10 mg</t>
        </is>
      </c>
      <c r="C791" s="25">
        <f>IF(COUNTIF('کدهای پیام‌داروساز'!$A$2:$A$2442,A791)&gt;0,"بله","خیر")</f>
        <v/>
      </c>
    </row>
    <row r="792" ht="15" customHeight="1" s="14">
      <c r="A792" s="24" t="n">
        <v>1284</v>
      </c>
      <c r="B792" s="24" t="inlineStr">
        <is>
          <t>VINCRISTINE SULFATE INJECTION, POWDER, FOR SOLUTION PARENTERAL 1 mg</t>
        </is>
      </c>
      <c r="C792" s="25">
        <f>IF(COUNTIF('کدهای پیام‌داروساز'!$A$2:$A$2442,A792)&gt;0,"بله","خیر")</f>
        <v/>
      </c>
    </row>
    <row r="793" ht="15" customHeight="1" s="14">
      <c r="A793" s="24" t="n">
        <v>1286</v>
      </c>
      <c r="B793" s="24" t="inlineStr">
        <is>
          <t>VITAMIN A OINTMENT OPHTHALMIC 250 [iU]/1g 5 g</t>
        </is>
      </c>
      <c r="C793" s="25">
        <f>IF(COUNTIF('کدهای پیام‌داروساز'!$A$2:$A$2442,A793)&gt;0,"بله","خیر")</f>
        <v/>
      </c>
    </row>
    <row r="794" ht="15" customHeight="1" s="14">
      <c r="A794" s="24" t="n">
        <v>1287</v>
      </c>
      <c r="B794" s="24" t="inlineStr">
        <is>
          <t>VITAMIN A TABLET, CHEWABLE ORAL 25000 [iU]</t>
        </is>
      </c>
      <c r="C794" s="25">
        <f>IF(COUNTIF('کدهای پیام‌داروساز'!$A$2:$A$2442,A794)&gt;0,"بله","خیر")</f>
        <v/>
      </c>
    </row>
    <row r="795" ht="15" customHeight="1" s="14">
      <c r="A795" s="24" t="n">
        <v>1288</v>
      </c>
      <c r="B795" s="24" t="inlineStr">
        <is>
          <t>VITAMIN A INJECTION PARENTERAL 50000 [iU]/1mL</t>
        </is>
      </c>
      <c r="C795" s="25">
        <f>IF(COUNTIF('کدهای پیام‌داروساز'!$A$2:$A$2442,A795)&gt;0,"بله","خیر")</f>
        <v/>
      </c>
    </row>
    <row r="796" ht="15" customHeight="1" s="14">
      <c r="A796" s="24" t="n">
        <v>1289</v>
      </c>
      <c r="B796" s="24" t="inlineStr">
        <is>
          <t>VITAMIN A TABLET ORAL 50000 [iU]</t>
        </is>
      </c>
      <c r="C796" s="25">
        <f>IF(COUNTIF('کدهای پیام‌داروساز'!$A$2:$A$2442,A796)&gt;0,"بله","خیر")</f>
        <v/>
      </c>
    </row>
    <row r="797" ht="15" customHeight="1" s="14">
      <c r="A797" s="24" t="n">
        <v>1291</v>
      </c>
      <c r="B797" s="24" t="inlineStr">
        <is>
          <t>VITAMIN A / VITAMIN D OINTMENT TOPICAL 850 [iU]/85 [iU]/1g 30 g</t>
        </is>
      </c>
      <c r="C797" s="25">
        <f>IF(COUNTIF('کدهای پیام‌داروساز'!$A$2:$A$2442,A797)&gt;0,"بله","خیر")</f>
        <v/>
      </c>
    </row>
    <row r="798" ht="15" customHeight="1" s="14">
      <c r="A798" s="24" t="n">
        <v>1292</v>
      </c>
      <c r="B798" s="24" t="inlineStr">
        <is>
          <t>VITAMIN B1 (THIAMINE) TABLET ORAL 100 mg</t>
        </is>
      </c>
      <c r="C798" s="25">
        <f>IF(COUNTIF('کدهای پیام‌داروساز'!$A$2:$A$2442,A798)&gt;0,"بله","خیر")</f>
        <v/>
      </c>
    </row>
    <row r="799" ht="15" customHeight="1" s="14">
      <c r="A799" s="24" t="n">
        <v>1293</v>
      </c>
      <c r="B799" s="24" t="inlineStr">
        <is>
          <t>VITAMIN B1 (THIAMINE) TABLET ORAL 300 mg</t>
        </is>
      </c>
      <c r="C799" s="25">
        <f>IF(COUNTIF('کدهای پیام‌داروساز'!$A$2:$A$2442,A799)&gt;0,"بله","خیر")</f>
        <v/>
      </c>
    </row>
    <row r="800" ht="15" customHeight="1" s="14">
      <c r="A800" s="24" t="n">
        <v>1294</v>
      </c>
      <c r="B800" s="24" t="inlineStr">
        <is>
          <t>VITAMIN B12 INJECTION PARENTERAL 1000 ug/1mL</t>
        </is>
      </c>
      <c r="C800" s="25">
        <f>IF(COUNTIF('کدهای پیام‌داروساز'!$A$2:$A$2442,A800)&gt;0,"بله","خیر")</f>
        <v/>
      </c>
    </row>
    <row r="801" ht="15" customHeight="1" s="14">
      <c r="A801" s="24" t="n">
        <v>1295</v>
      </c>
      <c r="B801" s="24" t="inlineStr">
        <is>
          <t>VITAMIN B6 INJECTION PARENTERAL 50 mg/1mL 2 mL</t>
        </is>
      </c>
      <c r="C801" s="25">
        <f>IF(COUNTIF('کدهای پیام‌داروساز'!$A$2:$A$2442,A801)&gt;0,"بله","خیر")</f>
        <v/>
      </c>
    </row>
    <row r="802" ht="15" customHeight="1" s="14">
      <c r="A802" s="24" t="n">
        <v>1301</v>
      </c>
      <c r="B802" s="24" t="inlineStr">
        <is>
          <t>VITAMIN C INJECTION PARENTERAL 100 mg/1mL 5 mL</t>
        </is>
      </c>
      <c r="C802" s="25">
        <f>IF(COUNTIF('کدهای پیام‌داروساز'!$A$2:$A$2442,A802)&gt;0,"بله","خیر")</f>
        <v/>
      </c>
    </row>
    <row r="803" ht="15" customHeight="1" s="14">
      <c r="A803" s="24" t="n">
        <v>1303</v>
      </c>
      <c r="B803" s="24" t="inlineStr">
        <is>
          <t>VITAMIN D3 CAPSULE, LIQUID FILLED ORAL 50000 [iU]</t>
        </is>
      </c>
      <c r="C803" s="25">
        <f>IF(COUNTIF('کدهای پیام‌داروساز'!$A$2:$A$2442,A803)&gt;0,"بله","خیر")</f>
        <v/>
      </c>
    </row>
    <row r="804" ht="15" customHeight="1" s="14">
      <c r="A804" s="24" t="n">
        <v>1306</v>
      </c>
      <c r="B804" s="24" t="inlineStr">
        <is>
          <t>VITAMIN E INJECTION PARENTERAL 100 [iU]/1mL</t>
        </is>
      </c>
      <c r="C804" s="25">
        <f>IF(COUNTIF('کدهای پیام‌داروساز'!$A$2:$A$2442,A804)&gt;0,"بله","خیر")</f>
        <v/>
      </c>
    </row>
    <row r="805" ht="15" customHeight="1" s="14">
      <c r="A805" s="24" t="n">
        <v>1309</v>
      </c>
      <c r="B805" s="24" t="inlineStr">
        <is>
          <t>WARFARIN SODIUM TABLET ORAL 5 mg</t>
        </is>
      </c>
      <c r="C805" s="25">
        <f>IF(COUNTIF('کدهای پیام‌داروساز'!$A$2:$A$2442,A805)&gt;0,"بله","خیر")</f>
        <v/>
      </c>
    </row>
    <row r="806" ht="15" customHeight="1" s="14">
      <c r="A806" s="24" t="n">
        <v>1310</v>
      </c>
      <c r="B806" s="24" t="inlineStr">
        <is>
          <t>WATER INJECTION PARENTERAL 2 mL</t>
        </is>
      </c>
      <c r="C806" s="25">
        <f>IF(COUNTIF('کدهای پیام‌داروساز'!$A$2:$A$2442,A806)&gt;0,"بله","خیر")</f>
        <v/>
      </c>
    </row>
    <row r="807" ht="15" customHeight="1" s="14">
      <c r="A807" s="24" t="n">
        <v>1311</v>
      </c>
      <c r="B807" s="24" t="inlineStr">
        <is>
          <t>WATER INJECTION PARENTERAL 5 mL</t>
        </is>
      </c>
      <c r="C807" s="25">
        <f>IF(COUNTIF('کدهای پیام‌داروساز'!$A$2:$A$2442,A807)&gt;0,"بله","خیر")</f>
        <v/>
      </c>
    </row>
    <row r="808" ht="15" customHeight="1" s="14">
      <c r="A808" s="24" t="n">
        <v>1313</v>
      </c>
      <c r="B808" s="24" t="inlineStr">
        <is>
          <t>YELLOW FEVER VACCINE INJECTION PARENTERAL 1 {dose}</t>
        </is>
      </c>
      <c r="C808" s="25">
        <f>IF(COUNTIF('کدهای پیام‌داروساز'!$A$2:$A$2442,A808)&gt;0,"بله","خیر")</f>
        <v/>
      </c>
    </row>
    <row r="809" ht="15" customHeight="1" s="14">
      <c r="A809" s="24" t="n">
        <v>1314</v>
      </c>
      <c r="B809" s="24" t="inlineStr">
        <is>
          <t>ZIDOVUDINE CAPSULE ORAL 100 mg</t>
        </is>
      </c>
      <c r="C809" s="25">
        <f>IF(COUNTIF('کدهای پیام‌داروساز'!$A$2:$A$2442,A809)&gt;0,"بله","خیر")</f>
        <v/>
      </c>
    </row>
    <row r="810" ht="15" customHeight="1" s="14">
      <c r="A810" s="24" t="n">
        <v>1316</v>
      </c>
      <c r="B810" s="24" t="inlineStr">
        <is>
          <t>ZINC OXIDE OINTMENT TOPICAL 25 % 30 g</t>
        </is>
      </c>
      <c r="C810" s="25">
        <f>IF(COUNTIF('کدهای پیام‌داروساز'!$A$2:$A$2442,A810)&gt;0,"بله","خیر")</f>
        <v/>
      </c>
    </row>
    <row r="811" ht="15" customHeight="1" s="14">
      <c r="A811" s="24" t="n">
        <v>1318</v>
      </c>
      <c r="B811" s="24" t="inlineStr">
        <is>
          <t>ZINC CAPSULE ORAL 220 mg</t>
        </is>
      </c>
      <c r="C811" s="25">
        <f>IF(COUNTIF('کدهای پیام‌داروساز'!$A$2:$A$2442,A811)&gt;0,"بله","خیر")</f>
        <v/>
      </c>
    </row>
    <row r="812" ht="15" customHeight="1" s="14">
      <c r="A812" s="24" t="n">
        <v>1328</v>
      </c>
      <c r="B812" s="24" t="inlineStr">
        <is>
          <t>METHYLPHENIDATE HYDROCHLORIDE TABLET ORAL 10 mg</t>
        </is>
      </c>
      <c r="C812" s="25">
        <f>IF(COUNTIF('کدهای پیام‌داروساز'!$A$2:$A$2442,A812)&gt;0,"بله","خیر")</f>
        <v/>
      </c>
    </row>
    <row r="813" ht="15" customHeight="1" s="14">
      <c r="A813" s="24" t="n">
        <v>1329</v>
      </c>
      <c r="B813" s="24" t="inlineStr">
        <is>
          <t>DOXAPRAM HYDROCHLORIDE INJECTION PARENTERAL 20 mg/1mL 5 mL</t>
        </is>
      </c>
      <c r="C813" s="25">
        <f>IF(COUNTIF('کدهای پیام‌داروساز'!$A$2:$A$2442,A813)&gt;0,"بله","خیر")</f>
        <v/>
      </c>
    </row>
    <row r="814" ht="15" customHeight="1" s="14">
      <c r="A814" s="24" t="n">
        <v>1334</v>
      </c>
      <c r="B814" s="24" t="inlineStr">
        <is>
          <t>BARIUM SULFATE POWDER, FOR SUSPENSION ORAL 135 g</t>
        </is>
      </c>
      <c r="C814" s="25">
        <f>IF(COUNTIF('کدهای پیام‌داروساز'!$A$2:$A$2442,A814)&gt;0,"بله","خیر")</f>
        <v/>
      </c>
    </row>
    <row r="815" ht="15" customHeight="1" s="14">
      <c r="A815" s="24" t="n">
        <v>1336</v>
      </c>
      <c r="B815" s="24" t="inlineStr">
        <is>
          <t>CEFOTAXIME (AS SODIUM) INJECTION, POWDER, FOR SOLUTION PARENTERAL 1 g</t>
        </is>
      </c>
      <c r="C815" s="25">
        <f>IF(COUNTIF('کدهای پیام‌داروساز'!$A$2:$A$2442,A815)&gt;0,"بله","خیر")</f>
        <v/>
      </c>
    </row>
    <row r="816" ht="15" customHeight="1" s="14">
      <c r="A816" s="24" t="n">
        <v>1338</v>
      </c>
      <c r="B816" s="24" t="inlineStr">
        <is>
          <t>DESMOPRESSIN (AS ACETATE) INJECTION PARENTERAL 4 ug/1mL</t>
        </is>
      </c>
      <c r="C816" s="25">
        <f>IF(COUNTIF('کدهای پیام‌داروساز'!$A$2:$A$2442,A816)&gt;0,"بله","خیر")</f>
        <v/>
      </c>
    </row>
    <row r="817" ht="15" customHeight="1" s="14">
      <c r="A817" s="24" t="n">
        <v>1339</v>
      </c>
      <c r="B817" s="24" t="inlineStr">
        <is>
          <t>DROPERIDOL INJECTION PARENTERAL 2.5 mg/1mL 1 mL</t>
        </is>
      </c>
      <c r="C817" s="25">
        <f>IF(COUNTIF('کدهای پیام‌داروساز'!$A$2:$A$2442,A817)&gt;0,"بله","خیر")</f>
        <v/>
      </c>
    </row>
    <row r="818" ht="15" customHeight="1" s="14">
      <c r="A818" s="24" t="n">
        <v>1341</v>
      </c>
      <c r="B818" s="24" t="inlineStr">
        <is>
          <t>NALOXONE HYDROCHLORIDE INJECTION PARENTERAL 0.4 mg/1mL</t>
        </is>
      </c>
      <c r="C818" s="25">
        <f>IF(COUNTIF('کدهای پیام‌داروساز'!$A$2:$A$2442,A818)&gt;0,"بله","خیر")</f>
        <v/>
      </c>
    </row>
    <row r="819" ht="15" customHeight="1" s="14">
      <c r="A819" s="24" t="n">
        <v>1354</v>
      </c>
      <c r="B819" s="24" t="inlineStr">
        <is>
          <t>PETHIDINE HYDROCHLORIDE INJECTION PARENTERAL 50 mg/1mL 1 mL</t>
        </is>
      </c>
      <c r="C819" s="25">
        <f>IF(COUNTIF('کدهای پیام‌داروساز'!$A$2:$A$2442,A819)&gt;0,"بله","خیر")</f>
        <v/>
      </c>
    </row>
    <row r="820" ht="15" customHeight="1" s="14">
      <c r="A820" s="24" t="n">
        <v>1355</v>
      </c>
      <c r="B820" s="24" t="inlineStr">
        <is>
          <t>PETHIDINE HYDROCHLORIDE INJECTION PARENTERAL 50 mg/1mL 2 mL</t>
        </is>
      </c>
      <c r="C820" s="25">
        <f>IF(COUNTIF('کدهای پیام‌داروساز'!$A$2:$A$2442,A820)&gt;0,"بله","خیر")</f>
        <v/>
      </c>
    </row>
    <row r="821" ht="15" customHeight="1" s="14">
      <c r="A821" s="24" t="n">
        <v>1357</v>
      </c>
      <c r="B821" s="24" t="inlineStr">
        <is>
          <t>PENTAZOCINE (AS LACTATE) INJECTION PARENTERAL 30 mg/1mL</t>
        </is>
      </c>
      <c r="C821" s="25">
        <f>IF(COUNTIF('کدهای پیام‌داروساز'!$A$2:$A$2442,A821)&gt;0,"بله","خیر")</f>
        <v/>
      </c>
    </row>
    <row r="822" ht="15" customHeight="1" s="14">
      <c r="A822" s="24" t="n">
        <v>1359</v>
      </c>
      <c r="B822" s="24" t="inlineStr">
        <is>
          <t>FENTANYL (AS CITRATE) INJECTION PARENTERAL 50 ug/1mL 10 mL</t>
        </is>
      </c>
      <c r="C822" s="25">
        <f>IF(COUNTIF('کدهای پیام‌داروساز'!$A$2:$A$2442,A822)&gt;0,"بله","خیر")</f>
        <v/>
      </c>
    </row>
    <row r="823" ht="15" customHeight="1" s="14">
      <c r="A823" s="24" t="n">
        <v>1365</v>
      </c>
      <c r="B823" s="24" t="inlineStr">
        <is>
          <t>ALFENTANIL INJECTION PARENTERAL 0.5 mg/1mL 10 mL</t>
        </is>
      </c>
      <c r="C823" s="25">
        <f>IF(COUNTIF('کدهای پیام‌داروساز'!$A$2:$A$2442,A823)&gt;0,"بله","خیر")</f>
        <v/>
      </c>
    </row>
    <row r="824" ht="15" customHeight="1" s="14">
      <c r="A824" s="24" t="n">
        <v>1366</v>
      </c>
      <c r="B824" s="24" t="inlineStr">
        <is>
          <t>SUFENTANIL (AS CITRATE) INJECTION PARENTERAL 5 ug/1mL 10 mL</t>
        </is>
      </c>
      <c r="C824" s="25">
        <f>IF(COUNTIF('کدهای پیام‌داروساز'!$A$2:$A$2442,A824)&gt;0,"بله","خیر")</f>
        <v/>
      </c>
    </row>
    <row r="825" ht="15" customHeight="1" s="14">
      <c r="A825" s="24" t="n">
        <v>1369</v>
      </c>
      <c r="B825" s="24" t="inlineStr">
        <is>
          <t>SULFUR SOAP TOPICAL 10 % 75 g</t>
        </is>
      </c>
      <c r="C825" s="25">
        <f>IF(COUNTIF('کدهای پیام‌داروساز'!$A$2:$A$2442,A825)&gt;0,"بله","خیر")</f>
        <v/>
      </c>
    </row>
    <row r="826" ht="15" customHeight="1" s="14">
      <c r="A826" s="24" t="n">
        <v>1371</v>
      </c>
      <c r="B826" s="24" t="inlineStr">
        <is>
          <t>VITAMIN A CAPSULE, LIQUID FILLED ORAL 50000 [iU]</t>
        </is>
      </c>
      <c r="C826" s="25">
        <f>IF(COUNTIF('کدهای پیام‌داروساز'!$A$2:$A$2442,A826)&gt;0,"بله","خیر")</f>
        <v/>
      </c>
    </row>
    <row r="827" ht="15" customHeight="1" s="14">
      <c r="A827" s="24" t="n">
        <v>1372</v>
      </c>
      <c r="B827" s="24" t="inlineStr">
        <is>
          <t>VITAMIN A CAPSULE, LIQUID FILLED ORAL 25000 [iU]</t>
        </is>
      </c>
      <c r="C827" s="25">
        <f>IF(COUNTIF('کدهای پیام‌داروساز'!$A$2:$A$2442,A827)&gt;0,"بله","خیر")</f>
        <v/>
      </c>
    </row>
    <row r="828" ht="15" customHeight="1" s="14">
      <c r="A828" s="24" t="n">
        <v>1373</v>
      </c>
      <c r="B828" s="24" t="inlineStr">
        <is>
          <t>YOHIMBINE HYDROCHLORIDE TABLET ORAL 2 mg</t>
        </is>
      </c>
      <c r="C828" s="25">
        <f>IF(COUNTIF('کدهای پیام‌داروساز'!$A$2:$A$2442,A828)&gt;0,"بله","خیر")</f>
        <v/>
      </c>
    </row>
    <row r="829" ht="15" customHeight="1" s="14">
      <c r="A829" s="24" t="n">
        <v>1374</v>
      </c>
      <c r="B829" s="24" t="inlineStr">
        <is>
          <t>CLINDAMYCIN (AS PHOSPHATE) SOLUTION TOPICAL 10 mg/1mL 60 mL</t>
        </is>
      </c>
      <c r="C829" s="25">
        <f>IF(COUNTIF('کدهای پیام‌داروساز'!$A$2:$A$2442,A829)&gt;0,"بله","خیر")</f>
        <v/>
      </c>
    </row>
    <row r="830" ht="15" customHeight="1" s="14">
      <c r="A830" s="24" t="n">
        <v>1378</v>
      </c>
      <c r="B830" s="24" t="inlineStr">
        <is>
          <t>ALFENTANIL INJECTION PARENTERAL 0.5 mg/1mL 2 mL</t>
        </is>
      </c>
      <c r="C830" s="25">
        <f>IF(COUNTIF('کدهای پیام‌داروساز'!$A$2:$A$2442,A830)&gt;0,"بله","خیر")</f>
        <v/>
      </c>
    </row>
    <row r="831" ht="15" customHeight="1" s="14">
      <c r="A831" s="24" t="n">
        <v>1382</v>
      </c>
      <c r="B831" s="24" t="inlineStr">
        <is>
          <t>ALPRAZOLAM TABLET ORAL 1 mg</t>
        </is>
      </c>
      <c r="C831" s="25">
        <f>IF(COUNTIF('کدهای پیام‌داروساز'!$A$2:$A$2442,A831)&gt;0,"بله","خیر")</f>
        <v/>
      </c>
    </row>
    <row r="832" ht="15" customHeight="1" s="14">
      <c r="A832" s="24" t="n">
        <v>1388</v>
      </c>
      <c r="B832" s="24" t="inlineStr">
        <is>
          <t>AMYL NITRITE INHALANT RESPIRATORY 0.3 mL 0.3 mL</t>
        </is>
      </c>
      <c r="C832" s="25">
        <f>IF(COUNTIF('کدهای پیام‌داروساز'!$A$2:$A$2442,A832)&gt;0,"بله","خیر")</f>
        <v/>
      </c>
    </row>
    <row r="833" ht="15" customHeight="1" s="14">
      <c r="A833" s="24" t="n">
        <v>1392</v>
      </c>
      <c r="B833" s="24" t="inlineStr">
        <is>
          <t>ANTISCORPION VENOM SERUM INJECTION PARENTERAL  5 mL</t>
        </is>
      </c>
      <c r="C833" s="25">
        <f>IF(COUNTIF('کدهای پیام‌داروساز'!$A$2:$A$2442,A833)&gt;0,"بله","خیر")</f>
        <v/>
      </c>
    </row>
    <row r="834" ht="15" customHeight="1" s="14">
      <c r="A834" s="24" t="n">
        <v>1393</v>
      </c>
      <c r="B834" s="24" t="inlineStr">
        <is>
          <t>ANTISNAKE VENOM SERUM, PENTAVALENT INJECTION PARENTERAL  10 mL</t>
        </is>
      </c>
      <c r="C834" s="25">
        <f>IF(COUNTIF('کدهای پیام‌داروساز'!$A$2:$A$2442,A834)&gt;0,"بله","خیر")</f>
        <v/>
      </c>
    </row>
    <row r="835" ht="15" customHeight="1" s="14">
      <c r="A835" s="24" t="n">
        <v>1395</v>
      </c>
      <c r="B835" s="24" t="inlineStr">
        <is>
          <t>ASA (ACETYLSALICYLIC ACID) TABLET, DELAYED RELEASE ORAL 80 mg</t>
        </is>
      </c>
      <c r="C835" s="25">
        <f>IF(COUNTIF('کدهای پیام‌داروساز'!$A$2:$A$2442,A835)&gt;0,"بله","خیر")</f>
        <v/>
      </c>
    </row>
    <row r="836" ht="15" customHeight="1" s="14">
      <c r="A836" s="24" t="n">
        <v>1402</v>
      </c>
      <c r="B836" s="24" t="inlineStr">
        <is>
          <t>BCG INJECTION, SUSPENSION INTRAVESICAL  3 mL</t>
        </is>
      </c>
      <c r="C836" s="25">
        <f>IF(COUNTIF('کدهای پیام‌داروساز'!$A$2:$A$2442,A836)&gt;0,"بله","خیر")</f>
        <v/>
      </c>
    </row>
    <row r="837" ht="15" customHeight="1" s="14">
      <c r="A837" s="24" t="n">
        <v>1403</v>
      </c>
      <c r="B837" s="24" t="inlineStr">
        <is>
          <t>BCG INJECTION, POWDER, LYOPHILIZED, FOR SUSPENSION PERCUTANEOUS 1.5 mg</t>
        </is>
      </c>
      <c r="C837" s="25">
        <f>IF(COUNTIF('کدهای پیام‌داروساز'!$A$2:$A$2442,A837)&gt;0,"بله","خیر")</f>
        <v/>
      </c>
    </row>
    <row r="838" ht="15" customHeight="1" s="14">
      <c r="A838" s="24" t="n">
        <v>1406</v>
      </c>
      <c r="B838" s="24" t="inlineStr">
        <is>
          <t>BENZYDAMINE HYDROCHLORIDE MOUTHWASH IRRIGATION 0.15 % 120 mL</t>
        </is>
      </c>
      <c r="C838" s="25">
        <f>IF(COUNTIF('کدهای پیام‌داروساز'!$A$2:$A$2442,A838)&gt;0,"بله","خیر")</f>
        <v/>
      </c>
    </row>
    <row r="839" ht="15" customHeight="1" s="14">
      <c r="A839" s="24" t="n">
        <v>1410</v>
      </c>
      <c r="B839" s="24" t="inlineStr">
        <is>
          <t>BIPERIDEN HYDROCHLORIDE TABLET, EXTENDED RELEASE ORAL 4 mg</t>
        </is>
      </c>
      <c r="C839" s="25">
        <f>IF(COUNTIF('کدهای پیام‌داروساز'!$A$2:$A$2442,A839)&gt;0,"بله","خیر")</f>
        <v/>
      </c>
    </row>
    <row r="840" ht="15" customHeight="1" s="14">
      <c r="A840" s="24" t="n">
        <v>1413</v>
      </c>
      <c r="B840" s="24" t="inlineStr">
        <is>
          <t>BUPIVACAINE HYDROCHLORIDE INJECTION INTRASPINAL 0.5 % 4 mL</t>
        </is>
      </c>
      <c r="C840" s="25">
        <f>IF(COUNTIF('کدهای پیام‌داروساز'!$A$2:$A$2442,A840)&gt;0,"بله","خیر")</f>
        <v/>
      </c>
    </row>
    <row r="841" ht="15" customHeight="1" s="14">
      <c r="A841" s="24" t="n">
        <v>1414</v>
      </c>
      <c r="B841" s="24" t="inlineStr">
        <is>
          <t>BUPRENORPHINE (AS HYDROCHLORIDE) INJECTION PARENTERAL 0.3 mg/1mL</t>
        </is>
      </c>
      <c r="C841" s="25">
        <f>IF(COUNTIF('کدهای پیام‌داروساز'!$A$2:$A$2442,A841)&gt;0,"بله","خیر")</f>
        <v/>
      </c>
    </row>
    <row r="842" ht="15" customHeight="1" s="14">
      <c r="A842" s="24" t="n">
        <v>1415</v>
      </c>
      <c r="B842" s="24" t="inlineStr">
        <is>
          <t>CALCITONIN, SALMON SPRAY NASAL 100 [iU]/1 {dose} 16 {Puff}</t>
        </is>
      </c>
      <c r="C842" s="25">
        <f>IF(COUNTIF('کدهای پیام‌داروساز'!$A$2:$A$2442,A842)&gt;0,"بله","خیر")</f>
        <v/>
      </c>
    </row>
    <row r="843" ht="15" customHeight="1" s="14">
      <c r="A843" s="24" t="n">
        <v>1420</v>
      </c>
      <c r="B843" s="24" t="inlineStr">
        <is>
          <t>CARBAMAZEPINE TABLET, EXTENDED RELEASE ORAL 400 mg</t>
        </is>
      </c>
      <c r="C843" s="25">
        <f>IF(COUNTIF('کدهای پیام‌داروساز'!$A$2:$A$2442,A843)&gt;0,"بله","خیر")</f>
        <v/>
      </c>
    </row>
    <row r="844" ht="15" customHeight="1" s="14">
      <c r="A844" s="24" t="n">
        <v>1424</v>
      </c>
      <c r="B844" s="24" t="inlineStr">
        <is>
          <t>CETIRIZINE HYDROCHLORIDE TABLET ORAL 10 mg</t>
        </is>
      </c>
      <c r="C844" s="25">
        <f>IF(COUNTIF('کدهای پیام‌داروساز'!$A$2:$A$2442,A844)&gt;0,"بله","خیر")</f>
        <v/>
      </c>
    </row>
    <row r="845" ht="15" customHeight="1" s="14">
      <c r="A845" s="24" t="n">
        <v>1425</v>
      </c>
      <c r="B845" s="24" t="inlineStr">
        <is>
          <t>CHARCOAL ACTIVATED TABLET ORAL 250 mg</t>
        </is>
      </c>
      <c r="C845" s="25">
        <f>IF(COUNTIF('کدهای پیام‌داروساز'!$A$2:$A$2442,A845)&gt;0,"بله","خیر")</f>
        <v/>
      </c>
    </row>
    <row r="846" ht="15" customHeight="1" s="14">
      <c r="A846" s="24" t="n">
        <v>1427</v>
      </c>
      <c r="B846" s="24" t="inlineStr">
        <is>
          <t>CHARCOAL ACTIVATED POWDER, FOR SUSPENSION ORAL 50 g</t>
        </is>
      </c>
      <c r="C846" s="25">
        <f>IF(COUNTIF('کدهای پیام‌داروساز'!$A$2:$A$2442,A846)&gt;0,"بله","خیر")</f>
        <v/>
      </c>
    </row>
    <row r="847" ht="15" customHeight="1" s="14">
      <c r="A847" s="24" t="n">
        <v>1435</v>
      </c>
      <c r="B847" s="24" t="inlineStr">
        <is>
          <t>CLINDAMYCIN (AS PALMITATE HYDROCHLORIDE) SUSPENSION ORAL 75 mg/5mL 80 mL</t>
        </is>
      </c>
      <c r="C847" s="25">
        <f>IF(COUNTIF('کدهای پیام‌داروساز'!$A$2:$A$2442,A847)&gt;0,"بله","خیر")</f>
        <v/>
      </c>
    </row>
    <row r="848" ht="15" customHeight="1" s="14">
      <c r="A848" s="24" t="n">
        <v>1436</v>
      </c>
      <c r="B848" s="24" t="inlineStr">
        <is>
          <t>CLOFAZIMINE CAPSULE ORAL 100 mg</t>
        </is>
      </c>
      <c r="C848" s="25">
        <f>IF(COUNTIF('کدهای پیام‌داروساز'!$A$2:$A$2442,A848)&gt;0,"بله","خیر")</f>
        <v/>
      </c>
    </row>
    <row r="849" ht="15" customHeight="1" s="14">
      <c r="A849" s="24" t="n">
        <v>1437</v>
      </c>
      <c r="B849" s="24" t="inlineStr">
        <is>
          <t>CLOFAZIMINE CAPSULE ORAL 50 mg</t>
        </is>
      </c>
      <c r="C849" s="25">
        <f>IF(COUNTIF('کدهای پیام‌داروساز'!$A$2:$A$2442,A849)&gt;0,"بله","خیر")</f>
        <v/>
      </c>
    </row>
    <row r="850" ht="15" customHeight="1" s="14">
      <c r="A850" s="24" t="n">
        <v>1438</v>
      </c>
      <c r="B850" s="24" t="inlineStr">
        <is>
          <t>CLOMIPRAMINE HYDROCHLORIDE TABLET ORAL 50 mg</t>
        </is>
      </c>
      <c r="C850" s="25">
        <f>IF(COUNTIF('کدهای پیام‌داروساز'!$A$2:$A$2442,A850)&gt;0,"بله","خیر")</f>
        <v/>
      </c>
    </row>
    <row r="851" ht="15" customHeight="1" s="14">
      <c r="A851" s="24" t="n">
        <v>1439</v>
      </c>
      <c r="B851" s="24" t="inlineStr">
        <is>
          <t>CLOMIPRAMINE HYDROCHLORIDE TABLET ORAL 75 mg</t>
        </is>
      </c>
      <c r="C851" s="25">
        <f>IF(COUNTIF('کدهای پیام‌داروساز'!$A$2:$A$2442,A851)&gt;0,"بله","خیر")</f>
        <v/>
      </c>
    </row>
    <row r="852" ht="15" customHeight="1" s="14">
      <c r="A852" s="24" t="n">
        <v>1440</v>
      </c>
      <c r="B852" s="24" t="inlineStr">
        <is>
          <t>CO-AMOXICLAV POWDER, FOR SUSPENSION ORAL 250 mg/62.5 mg/5mL 100 mL</t>
        </is>
      </c>
      <c r="C852" s="25">
        <f>IF(COUNTIF('کدهای پیام‌داروساز'!$A$2:$A$2442,A852)&gt;0,"بله","خیر")</f>
        <v/>
      </c>
    </row>
    <row r="853" ht="15" customHeight="1" s="14">
      <c r="A853" s="24" t="n">
        <v>1442</v>
      </c>
      <c r="B853" s="24" t="inlineStr">
        <is>
          <t>CONTRACEPTIVE DE TABLET ORAL 0.15 mg/20 ug</t>
        </is>
      </c>
      <c r="C853" s="25">
        <f>IF(COUNTIF('کدهای پیام‌داروساز'!$A$2:$A$2442,A853)&gt;0,"بله","خیر")</f>
        <v/>
      </c>
    </row>
    <row r="854" ht="15" customHeight="1" s="14">
      <c r="A854" s="24" t="n">
        <v>1449</v>
      </c>
      <c r="B854" s="24" t="inlineStr">
        <is>
          <t>CROMOLYN SODIUM INHALANT RESPIRATORY 1 mg/1{dose} 120 {dose}</t>
        </is>
      </c>
      <c r="C854" s="25">
        <f>IF(COUNTIF('کدهای پیام‌داروساز'!$A$2:$A$2442,A854)&gt;0,"بله","خیر")</f>
        <v/>
      </c>
    </row>
    <row r="855" ht="15" customHeight="1" s="14">
      <c r="A855" s="24" t="n">
        <v>1452</v>
      </c>
      <c r="B855" s="24" t="inlineStr">
        <is>
          <t>CICLOSPORIN INJECTION, SOLUTION INTRAVENOUS 50 mg/1mL 1 mL</t>
        </is>
      </c>
      <c r="C855" s="25">
        <f>IF(COUNTIF('کدهای پیام‌داروساز'!$A$2:$A$2442,A855)&gt;0,"بله","خیر")</f>
        <v/>
      </c>
    </row>
    <row r="856" ht="15" customHeight="1" s="14">
      <c r="A856" s="24" t="n">
        <v>1453</v>
      </c>
      <c r="B856" s="24" t="inlineStr">
        <is>
          <t>CYSTEAMINE (AS BITARTRATE) CAPSULE ORAL 150 mg</t>
        </is>
      </c>
      <c r="C856" s="25">
        <f>IF(COUNTIF('کدهای پیام‌داروساز'!$A$2:$A$2442,A856)&gt;0,"بله","خیر")</f>
        <v/>
      </c>
    </row>
    <row r="857" ht="15" customHeight="1" s="14">
      <c r="A857" s="24" t="n">
        <v>1454</v>
      </c>
      <c r="B857" s="24" t="inlineStr">
        <is>
          <t>CYTARABINE INJECTION, POWDER, FOR SOLUTION PARENTERAL 1 g</t>
        </is>
      </c>
      <c r="C857" s="25">
        <f>IF(COUNTIF('کدهای پیام‌داروساز'!$A$2:$A$2442,A857)&gt;0,"بله","خیر")</f>
        <v/>
      </c>
    </row>
    <row r="858" ht="15" customHeight="1" s="14">
      <c r="A858" s="24" t="n">
        <v>1456</v>
      </c>
      <c r="B858" s="24" t="inlineStr">
        <is>
          <t>DAPSONE TABLET ORAL 50 mg</t>
        </is>
      </c>
      <c r="C858" s="25">
        <f>IF(COUNTIF('کدهای پیام‌داروساز'!$A$2:$A$2442,A858)&gt;0,"بله","خیر")</f>
        <v/>
      </c>
    </row>
    <row r="859" ht="15" customHeight="1" s="14">
      <c r="A859" s="24" t="n">
        <v>1457</v>
      </c>
      <c r="B859" s="24" t="inlineStr">
        <is>
          <t>DESMOPRESSIN (AS ACETATE) INJECTION PARENTERAL 15 ug/1mL</t>
        </is>
      </c>
      <c r="C859" s="25">
        <f>IF(COUNTIF('کدهای پیام‌داروساز'!$A$2:$A$2442,A859)&gt;0,"بله","خیر")</f>
        <v/>
      </c>
    </row>
    <row r="860" ht="15" customHeight="1" s="14">
      <c r="A860" s="24" t="n">
        <v>1460</v>
      </c>
      <c r="B860" s="24" t="inlineStr">
        <is>
          <t>DIAZEPAM SUPPOSITORY RECTAL 5 mg</t>
        </is>
      </c>
      <c r="C860" s="25">
        <f>IF(COUNTIF('کدهای پیام‌داروساز'!$A$2:$A$2442,A860)&gt;0,"بله","خیر")</f>
        <v/>
      </c>
    </row>
    <row r="861" ht="15" customHeight="1" s="14">
      <c r="A861" s="24" t="n">
        <v>1461</v>
      </c>
      <c r="B861" s="24" t="inlineStr">
        <is>
          <t>DIAZEPAM SUPPOSITORY RECTAL 10 mg</t>
        </is>
      </c>
      <c r="C861" s="25">
        <f>IF(COUNTIF('کدهای پیام‌داروساز'!$A$2:$A$2442,A861)&gt;0,"بله","خیر")</f>
        <v/>
      </c>
    </row>
    <row r="862" ht="15" customHeight="1" s="14">
      <c r="A862" s="24" t="n">
        <v>1462</v>
      </c>
      <c r="B862" s="24" t="inlineStr">
        <is>
          <t>DIAZEPAM SOLUTION ORAL 2 mg/5 mL 60 mL</t>
        </is>
      </c>
      <c r="C862" s="25">
        <f>IF(COUNTIF('کدهای پیام‌داروساز'!$A$2:$A$2442,A862)&gt;0,"بله","خیر")</f>
        <v/>
      </c>
    </row>
    <row r="863" ht="15" customHeight="1" s="14">
      <c r="A863" s="24" t="n">
        <v>1463</v>
      </c>
      <c r="B863" s="24" t="inlineStr">
        <is>
          <t>DIAZOXIDE CAPSULE ORAL 50 mg</t>
        </is>
      </c>
      <c r="C863" s="25">
        <f>IF(COUNTIF('کدهای پیام‌داروساز'!$A$2:$A$2442,A863)&gt;0,"بله","خیر")</f>
        <v/>
      </c>
    </row>
    <row r="864" ht="15" customHeight="1" s="14">
      <c r="A864" s="24" t="n">
        <v>1464</v>
      </c>
      <c r="B864" s="24" t="inlineStr">
        <is>
          <t>DICLOFENAC SODIUM TABLET, EXTENDED RELEASE ORAL 100 mg</t>
        </is>
      </c>
      <c r="C864" s="25">
        <f>IF(COUNTIF('کدهای پیام‌داروساز'!$A$2:$A$2442,A864)&gt;0,"بله","خیر")</f>
        <v/>
      </c>
    </row>
    <row r="865" ht="15" customHeight="1" s="14">
      <c r="A865" s="24" t="n">
        <v>1472</v>
      </c>
      <c r="B865" s="24" t="inlineStr">
        <is>
          <t>DILTIAZEM HYDROCHLORIDE TABLET, EXTENDED RELEASE ORAL 120 mg</t>
        </is>
      </c>
      <c r="C865" s="25">
        <f>IF(COUNTIF('کدهای پیام‌داروساز'!$A$2:$A$2442,A865)&gt;0,"بله","خیر")</f>
        <v/>
      </c>
    </row>
    <row r="866" ht="15" customHeight="1" s="14">
      <c r="A866" s="24" t="n">
        <v>1474</v>
      </c>
      <c r="B866" s="24" t="inlineStr">
        <is>
          <t>DIPHTHERIA TOXOID / TETANUS TOXOID / PERTUSSIS VACCINE INJECTION, SUSPENSION PARENTERAL 10 {dose} 5 mL</t>
        </is>
      </c>
      <c r="C866" s="25">
        <f>IF(COUNTIF('کدهای پیام‌داروساز'!$A$2:$A$2442,A866)&gt;0,"بله","خیر")</f>
        <v/>
      </c>
    </row>
    <row r="867" ht="15" customHeight="1" s="14">
      <c r="A867" s="24" t="n">
        <v>1485</v>
      </c>
      <c r="B867" s="24" t="inlineStr">
        <is>
          <t>EDETATE CALCIUM DISODIUM INJECTION PARENTERAL 50 mg/1mL 10 mL</t>
        </is>
      </c>
      <c r="C867" s="25">
        <f>IF(COUNTIF('کدهای پیام‌داروساز'!$A$2:$A$2442,A867)&gt;0,"بله","خیر")</f>
        <v/>
      </c>
    </row>
    <row r="868" ht="15" customHeight="1" s="14">
      <c r="A868" s="24" t="n">
        <v>1489</v>
      </c>
      <c r="B868" s="24" t="inlineStr">
        <is>
          <t>EPINEPHRINE INJECTION PARENTERAL 1 mg/1mL 1 mL</t>
        </is>
      </c>
      <c r="C868" s="25">
        <f>IF(COUNTIF('کدهای پیام‌داروساز'!$A$2:$A$2442,A868)&gt;0,"بله","خیر")</f>
        <v/>
      </c>
    </row>
    <row r="869" ht="15" customHeight="1" s="14">
      <c r="A869" s="24" t="n">
        <v>1491</v>
      </c>
      <c r="B869" s="24" t="inlineStr">
        <is>
          <t>ERYTHROMYCIN GEL TOPICAL 2 % 30 g</t>
        </is>
      </c>
      <c r="C869" s="25">
        <f>IF(COUNTIF('کدهای پیام‌داروساز'!$A$2:$A$2442,A869)&gt;0,"بله","خیر")</f>
        <v/>
      </c>
    </row>
    <row r="870" ht="15" customHeight="1" s="14">
      <c r="A870" s="24" t="n">
        <v>1492</v>
      </c>
      <c r="B870" s="24" t="inlineStr">
        <is>
          <t>ERYTHROMYCIN SOLUTION TOPICAL 2 % 60 mL</t>
        </is>
      </c>
      <c r="C870" s="25">
        <f>IF(COUNTIF('کدهای پیام‌داروساز'!$A$2:$A$2442,A870)&gt;0,"بله","خیر")</f>
        <v/>
      </c>
    </row>
    <row r="871" ht="15" customHeight="1" s="14">
      <c r="A871" s="24" t="n">
        <v>1494</v>
      </c>
      <c r="B871" s="24" t="inlineStr">
        <is>
          <t>ESMOLOL HYDROCHLORIDE INJECTION, SOLUTION, CONCENTRATE PARENTERAL 250 mg/1mL 10 mL</t>
        </is>
      </c>
      <c r="C871" s="25">
        <f>IF(COUNTIF('کدهای پیام‌داروساز'!$A$2:$A$2442,A871)&gt;0,"بله","خیر")</f>
        <v/>
      </c>
    </row>
    <row r="872" ht="15" customHeight="1" s="14">
      <c r="A872" s="24" t="n">
        <v>1499</v>
      </c>
      <c r="B872" s="24" t="inlineStr">
        <is>
          <t>ETHIODIZED OIL INJECTION PARENTERAL 480 mg/1mL 10 mL</t>
        </is>
      </c>
      <c r="C872" s="25">
        <f>IF(COUNTIF('کدهای پیام‌داروساز'!$A$2:$A$2442,A872)&gt;0,"بله","خیر")</f>
        <v/>
      </c>
    </row>
    <row r="873" ht="15" customHeight="1" s="14">
      <c r="A873" s="24" t="n">
        <v>1501</v>
      </c>
      <c r="B873" s="24" t="inlineStr">
        <is>
          <t>ETOMIDATE INJECTION PARENTERAL 2 mg/1mL 10 mL</t>
        </is>
      </c>
      <c r="C873" s="25">
        <f>IF(COUNTIF('کدهای پیام‌داروساز'!$A$2:$A$2442,A873)&gt;0,"بله","خیر")</f>
        <v/>
      </c>
    </row>
    <row r="874" ht="15" customHeight="1" s="14">
      <c r="A874" s="24" t="n">
        <v>1506</v>
      </c>
      <c r="B874" s="24" t="inlineStr">
        <is>
          <t>FERROUS SULFATE SYRUP ORAL 40 mg/1mL 60 mL</t>
        </is>
      </c>
      <c r="C874" s="25">
        <f>IF(COUNTIF('کدهای پیام‌داروساز'!$A$2:$A$2442,A874)&gt;0,"بله","خیر")</f>
        <v/>
      </c>
    </row>
    <row r="875" ht="15" customHeight="1" s="14">
      <c r="A875" s="24" t="n">
        <v>1509</v>
      </c>
      <c r="B875" s="24" t="inlineStr">
        <is>
          <t>FLUORIDE GEL ORAL 1.23 % 150 g</t>
        </is>
      </c>
      <c r="C875" s="25">
        <f>IF(COUNTIF('کدهای پیام‌داروساز'!$A$2:$A$2442,A875)&gt;0,"بله","خیر")</f>
        <v/>
      </c>
    </row>
    <row r="876" ht="15" customHeight="1" s="14">
      <c r="A876" s="24" t="n">
        <v>1512</v>
      </c>
      <c r="B876" s="24" t="inlineStr">
        <is>
          <t>FLUOXETINE (AS HYDROCHLORIDE) CAPSULE ORAL 10 mg</t>
        </is>
      </c>
      <c r="C876" s="25">
        <f>IF(COUNTIF('کدهای پیام‌داروساز'!$A$2:$A$2442,A876)&gt;0,"بله","خیر")</f>
        <v/>
      </c>
    </row>
    <row r="877" ht="15" customHeight="1" s="14">
      <c r="A877" s="24" t="n">
        <v>1520</v>
      </c>
      <c r="B877" s="24" t="inlineStr">
        <is>
          <t>GEMFIBROZIL TABLET ORAL 450 mg</t>
        </is>
      </c>
      <c r="C877" s="25">
        <f>IF(COUNTIF('کدهای پیام‌داروساز'!$A$2:$A$2442,A877)&gt;0,"بله","خیر")</f>
        <v/>
      </c>
    </row>
    <row r="878" ht="15" customHeight="1" s="14">
      <c r="A878" s="24" t="n">
        <v>1523</v>
      </c>
      <c r="B878" s="24" t="inlineStr">
        <is>
          <t>GLICLAZIDE TABLET ORAL 80 mg</t>
        </is>
      </c>
      <c r="C878" s="25">
        <f>IF(COUNTIF('کدهای پیام‌داروساز'!$A$2:$A$2442,A878)&gt;0,"بله","خیر")</f>
        <v/>
      </c>
    </row>
    <row r="879" ht="15" customHeight="1" s="14">
      <c r="A879" s="24" t="n">
        <v>1530</v>
      </c>
      <c r="B879" s="24" t="inlineStr">
        <is>
          <t>HEPATITIS B IMMUNE GLOBULIN INJECTION PARENTERAL 200 [iU]/1mL 1 mL</t>
        </is>
      </c>
      <c r="C879" s="25">
        <f>IF(COUNTIF('کدهای پیام‌داروساز'!$A$2:$A$2442,A879)&gt;0,"بله","خیر")</f>
        <v/>
      </c>
    </row>
    <row r="880" ht="15" customHeight="1" s="14">
      <c r="A880" s="24" t="n">
        <v>1537</v>
      </c>
      <c r="B880" s="24" t="inlineStr">
        <is>
          <t>IDARUBICIN HYDROCHLORIDE INJECTION, POWDER, LYOPHILIZED, FOR SOLUTION PARENTERAL 5 mg</t>
        </is>
      </c>
      <c r="C880" s="25">
        <f>IF(COUNTIF('کدهای پیام‌داروساز'!$A$2:$A$2442,A880)&gt;0,"بله","خیر")</f>
        <v/>
      </c>
    </row>
    <row r="881" ht="15" customHeight="1" s="14">
      <c r="A881" s="24" t="n">
        <v>1538</v>
      </c>
      <c r="B881" s="24" t="inlineStr">
        <is>
          <t>IDARUBICIN HYDROCHLORIDE INJECTION, POWDER, LYOPHILIZED, FOR SOLUTION PARENTERAL 10 mg</t>
        </is>
      </c>
      <c r="C881" s="25">
        <f>IF(COUNTIF('کدهای پیام‌داروساز'!$A$2:$A$2442,A881)&gt;0,"بله","خیر")</f>
        <v/>
      </c>
    </row>
    <row r="882" ht="15" customHeight="1" s="14">
      <c r="A882" s="24" t="n">
        <v>1544</v>
      </c>
      <c r="B882" s="24" t="inlineStr">
        <is>
          <t>INSULIN BIPHASIC ISOPHANE INJECTION PARENTERAL 70 %/30 % 10 mL</t>
        </is>
      </c>
      <c r="C882" s="25">
        <f>IF(COUNTIF('کدهای پیام‌داروساز'!$A$2:$A$2442,A882)&gt;0,"بله","خیر")</f>
        <v/>
      </c>
    </row>
    <row r="883" ht="15" customHeight="1" s="14">
      <c r="A883" s="24" t="n">
        <v>1545</v>
      </c>
      <c r="B883" s="24" t="inlineStr">
        <is>
          <t>INTERFERON ALFA-2B INJECTION PARENTERAL 3000000 U 1 mL</t>
        </is>
      </c>
      <c r="C883" s="25">
        <f>IF(COUNTIF('کدهای پیام‌داروساز'!$A$2:$A$2442,A883)&gt;0,"بله","خیر")</f>
        <v/>
      </c>
    </row>
    <row r="884" ht="15" customHeight="1" s="14">
      <c r="A884" s="24" t="n">
        <v>1550</v>
      </c>
      <c r="B884" s="24" t="inlineStr">
        <is>
          <t>IOHEXOL INJECTION PARENTERAL 350 mg/1mL 20 mL</t>
        </is>
      </c>
      <c r="C884" s="25">
        <f>IF(COUNTIF('کدهای پیام‌داروساز'!$A$2:$A$2442,A884)&gt;0,"بله","خیر")</f>
        <v/>
      </c>
    </row>
    <row r="885" ht="15" customHeight="1" s="14">
      <c r="A885" s="24" t="n">
        <v>1558</v>
      </c>
      <c r="B885" s="24" t="inlineStr">
        <is>
          <t>ISOPROTERENOL HYDROCHLORIDE INJECTION PARENTERAL 0.2 mg/1mL</t>
        </is>
      </c>
      <c r="C885" s="25">
        <f>IF(COUNTIF('کدهای پیام‌داروساز'!$A$2:$A$2442,A885)&gt;0,"بله","خیر")</f>
        <v/>
      </c>
    </row>
    <row r="886" ht="15" customHeight="1" s="14">
      <c r="A886" s="24" t="n">
        <v>1565</v>
      </c>
      <c r="B886" s="24" t="inlineStr">
        <is>
          <t>LACTULOSE POWDER, FOR SOLUTION ORAL 10 g</t>
        </is>
      </c>
      <c r="C886" s="25">
        <f>IF(COUNTIF('کدهای پیام‌داروساز'!$A$2:$A$2442,A886)&gt;0,"بله","خیر")</f>
        <v/>
      </c>
    </row>
    <row r="887" ht="15" customHeight="1" s="14">
      <c r="A887" s="24" t="n">
        <v>1573</v>
      </c>
      <c r="B887" s="24" t="inlineStr">
        <is>
          <t>LIDOCAINE HYDROCHLORIDE INJECTION PARENTERAL 1 % 5 mL</t>
        </is>
      </c>
      <c r="C887" s="25">
        <f>IF(COUNTIF('کدهای پیام‌داروساز'!$A$2:$A$2442,A887)&gt;0,"بله","خیر")</f>
        <v/>
      </c>
    </row>
    <row r="888" ht="15" customHeight="1" s="14">
      <c r="A888" s="24" t="n">
        <v>1574</v>
      </c>
      <c r="B888" s="24" t="inlineStr">
        <is>
          <t>LORATADINE TABLET ORAL 10 mg</t>
        </is>
      </c>
      <c r="C888" s="25">
        <f>IF(COUNTIF('کدهای پیام‌داروساز'!$A$2:$A$2442,A888)&gt;0,"بله","خیر")</f>
        <v/>
      </c>
    </row>
    <row r="889" ht="15" customHeight="1" s="14">
      <c r="A889" s="24" t="n">
        <v>1575</v>
      </c>
      <c r="B889" s="24" t="inlineStr">
        <is>
          <t>LORAZEPAM INJECTION PARENTERAL 2 mg/1mL</t>
        </is>
      </c>
      <c r="C889" s="25">
        <f>IF(COUNTIF('کدهای پیام‌داروساز'!$A$2:$A$2442,A889)&gt;0,"بله","خیر")</f>
        <v/>
      </c>
    </row>
    <row r="890" ht="15" customHeight="1" s="14">
      <c r="A890" s="24" t="n">
        <v>1576</v>
      </c>
      <c r="B890" s="24" t="inlineStr">
        <is>
          <t>LORAZEPAM INJECTION PARENTERAL 4 mg/1mL</t>
        </is>
      </c>
      <c r="C890" s="25">
        <f>IF(COUNTIF('کدهای پیام‌داروساز'!$A$2:$A$2442,A890)&gt;0,"بله","خیر")</f>
        <v/>
      </c>
    </row>
    <row r="891" ht="15" customHeight="1" s="14">
      <c r="A891" s="24" t="n">
        <v>1578</v>
      </c>
      <c r="B891" s="24" t="inlineStr">
        <is>
          <t>MEASLES / MUMPS / RUBELLA VACCINE INJECTION, POWDER, LYOPHILIZED, FOR SOLUTION PARENTERAL 10 {dose}</t>
        </is>
      </c>
      <c r="C891" s="25">
        <f>IF(COUNTIF('کدهای پیام‌داروساز'!$A$2:$A$2442,A891)&gt;0,"بله","خیر")</f>
        <v/>
      </c>
    </row>
    <row r="892" ht="15" customHeight="1" s="14">
      <c r="A892" s="24" t="n">
        <v>1582</v>
      </c>
      <c r="B892" s="24" t="inlineStr">
        <is>
          <t>MEGESTROL ACETATE TABLET ORAL 20 mg</t>
        </is>
      </c>
      <c r="C892" s="25">
        <f>IF(COUNTIF('کدهای پیام‌داروساز'!$A$2:$A$2442,A892)&gt;0,"بله","خیر")</f>
        <v/>
      </c>
    </row>
    <row r="893" ht="15" customHeight="1" s="14">
      <c r="A893" s="24" t="n">
        <v>1589</v>
      </c>
      <c r="B893" s="24" t="inlineStr">
        <is>
          <t>METHYLENE BLUE INJECTION PARENTERAL 10 mg/1mL 10 mL</t>
        </is>
      </c>
      <c r="C893" s="25">
        <f>IF(COUNTIF('کدهای پیام‌داروساز'!$A$2:$A$2442,A893)&gt;0,"بله","خیر")</f>
        <v/>
      </c>
    </row>
    <row r="894" ht="15" customHeight="1" s="14">
      <c r="A894" s="24" t="n">
        <v>1590</v>
      </c>
      <c r="B894" s="24" t="inlineStr">
        <is>
          <t>METRONIDAZOLE GEL TOPICAL 0.75 % 30 g</t>
        </is>
      </c>
      <c r="C894" s="25">
        <f>IF(COUNTIF('کدهای پیام‌داروساز'!$A$2:$A$2442,A894)&gt;0,"بله","خیر")</f>
        <v/>
      </c>
    </row>
    <row r="895" ht="15" customHeight="1" s="14">
      <c r="A895" s="24" t="n">
        <v>1591</v>
      </c>
      <c r="B895" s="24" t="inlineStr">
        <is>
          <t>MIDAZOLAM INJECTION PARENTERAL 5 mg/1mL 3 mL</t>
        </is>
      </c>
      <c r="C895" s="25">
        <f>IF(COUNTIF('کدهای پیام‌داروساز'!$A$2:$A$2442,A895)&gt;0,"بله","خیر")</f>
        <v/>
      </c>
    </row>
    <row r="896" ht="15" customHeight="1" s="14">
      <c r="A896" s="24" t="n">
        <v>1595</v>
      </c>
      <c r="B896" s="24" t="inlineStr">
        <is>
          <t>MOCLOBEMIDE TABLET ORAL 150 mg</t>
        </is>
      </c>
      <c r="C896" s="25">
        <f>IF(COUNTIF('کدهای پیام‌داروساز'!$A$2:$A$2442,A896)&gt;0,"بله","خیر")</f>
        <v/>
      </c>
    </row>
    <row r="897" ht="15" customHeight="1" s="14">
      <c r="A897" s="24" t="n">
        <v>1599</v>
      </c>
      <c r="B897" s="24" t="inlineStr">
        <is>
          <t>MORPHINE SULFATE TABLET ORAL 10 mg</t>
        </is>
      </c>
      <c r="C897" s="25">
        <f>IF(COUNTIF('کدهای پیام‌داروساز'!$A$2:$A$2442,A897)&gt;0,"بله","خیر")</f>
        <v/>
      </c>
    </row>
    <row r="898" ht="15" customHeight="1" s="14">
      <c r="A898" s="24" t="n">
        <v>1600</v>
      </c>
      <c r="B898" s="24" t="inlineStr">
        <is>
          <t>MORPHINE SULFATE INJECTION PARENTERAL 10 mg/1mL</t>
        </is>
      </c>
      <c r="C898" s="25">
        <f>IF(COUNTIF('کدهای پیام‌داروساز'!$A$2:$A$2442,A898)&gt;0,"بله","خیر")</f>
        <v/>
      </c>
    </row>
    <row r="899" ht="15" customHeight="1" s="14">
      <c r="A899" s="24" t="n">
        <v>1604</v>
      </c>
      <c r="B899" s="24" t="inlineStr">
        <is>
          <t>NADOLOL TABLET ORAL 80 mg</t>
        </is>
      </c>
      <c r="C899" s="25">
        <f>IF(COUNTIF('کدهای پیام‌داروساز'!$A$2:$A$2442,A899)&gt;0,"بله","خیر")</f>
        <v/>
      </c>
    </row>
    <row r="900" ht="15" customHeight="1" s="14">
      <c r="A900" s="24" t="n">
        <v>1606</v>
      </c>
      <c r="B900" s="24" t="inlineStr">
        <is>
          <t>NAPROXEN TABLET, DELAYED RELEASE ORAL 500 mg</t>
        </is>
      </c>
      <c r="C900" s="25">
        <f>IF(COUNTIF('کدهای پیام‌داروساز'!$A$2:$A$2442,A900)&gt;0,"بله","خیر")</f>
        <v/>
      </c>
    </row>
    <row r="901" ht="15" customHeight="1" s="14">
      <c r="A901" s="24" t="n">
        <v>1608</v>
      </c>
      <c r="B901" s="24" t="inlineStr">
        <is>
          <t>NICOTINE GUM, CHEWING ORAL 2 mg</t>
        </is>
      </c>
      <c r="C901" s="25">
        <f>IF(COUNTIF('کدهای پیام‌داروساز'!$A$2:$A$2442,A901)&gt;0,"بله","خیر")</f>
        <v/>
      </c>
    </row>
    <row r="902" ht="15" customHeight="1" s="14">
      <c r="A902" s="24" t="n">
        <v>1620</v>
      </c>
      <c r="B902" s="24" t="inlineStr">
        <is>
          <t>NOREPINEPHRINE (AS BITARTRATE) INJECTION, SOLUTION, CONCENTRATE PARENTERAL 1 mg/1mL 10 mL</t>
        </is>
      </c>
      <c r="C902" s="25">
        <f>IF(COUNTIF('کدهای پیام‌داروساز'!$A$2:$A$2442,A902)&gt;0,"بله","خیر")</f>
        <v/>
      </c>
    </row>
    <row r="903" ht="15" customHeight="1" s="14">
      <c r="A903" s="24" t="n">
        <v>1632</v>
      </c>
      <c r="B903" s="24" t="inlineStr">
        <is>
          <t>PERMETHRIN CREAM TOPICAL 1 % 60 g</t>
        </is>
      </c>
      <c r="C903" s="25">
        <f>IF(COUNTIF('کدهای پیام‌داروساز'!$A$2:$A$2442,A903)&gt;0,"بله","خیر")</f>
        <v/>
      </c>
    </row>
    <row r="904" ht="15" customHeight="1" s="14">
      <c r="A904" s="24" t="n">
        <v>1635</v>
      </c>
      <c r="B904" s="24" t="inlineStr">
        <is>
          <t>PHENYLEPHRINE HYDROCHLORIDE INJECTION PARENTERAL 10 mg/1mL 1 mL</t>
        </is>
      </c>
      <c r="C904" s="25">
        <f>IF(COUNTIF('کدهای پیام‌داروساز'!$A$2:$A$2442,A904)&gt;0,"بله","خیر")</f>
        <v/>
      </c>
    </row>
    <row r="905" ht="15" customHeight="1" s="14">
      <c r="A905" s="24" t="n">
        <v>1637</v>
      </c>
      <c r="B905" s="24" t="inlineStr">
        <is>
          <t>PHENYTOIN SODIUM CAPSULE ORAL 50 mg</t>
        </is>
      </c>
      <c r="C905" s="25">
        <f>IF(COUNTIF('کدهای پیام‌داروساز'!$A$2:$A$2442,A905)&gt;0,"بله","خیر")</f>
        <v/>
      </c>
    </row>
    <row r="906" ht="15" customHeight="1" s="14">
      <c r="A906" s="24" t="n">
        <v>1642</v>
      </c>
      <c r="B906" s="24" t="inlineStr">
        <is>
          <t>POVIDONE IODINE SHAMPOO TOPICAL 7.5 % 140 mL</t>
        </is>
      </c>
      <c r="C906" s="25">
        <f>IF(COUNTIF('کدهای پیام‌داروساز'!$A$2:$A$2442,A906)&gt;0,"بله","خیر")</f>
        <v/>
      </c>
    </row>
    <row r="907" ht="15" customHeight="1" s="14">
      <c r="A907" s="24" t="n">
        <v>1650</v>
      </c>
      <c r="B907" s="24" t="inlineStr">
        <is>
          <t>PRIMIDONE SUSPENSION ORAL 125 mg/5mL 250 mL</t>
        </is>
      </c>
      <c r="C907" s="25">
        <f>IF(COUNTIF('کدهای پیام‌داروساز'!$A$2:$A$2442,A907)&gt;0,"بله","خیر")</f>
        <v/>
      </c>
    </row>
    <row r="908" ht="15" customHeight="1" s="14">
      <c r="A908" s="24" t="n">
        <v>1653</v>
      </c>
      <c r="B908" s="24" t="inlineStr">
        <is>
          <t>PROPOFOL INJECTION, EMULSION PARENTERAL 10 mg/1mL 20 mL</t>
        </is>
      </c>
      <c r="C908" s="25">
        <f>IF(COUNTIF('کدهای پیام‌داروساز'!$A$2:$A$2442,A908)&gt;0,"بله","خیر")</f>
        <v/>
      </c>
    </row>
    <row r="909" ht="15" customHeight="1" s="14">
      <c r="A909" s="24" t="n">
        <v>1655</v>
      </c>
      <c r="B909" s="24" t="inlineStr">
        <is>
          <t>PROTAMINE SULFATE INJECTION PARENTERAL 10 mg/1mL 5 mL</t>
        </is>
      </c>
      <c r="C909" s="25">
        <f>IF(COUNTIF('کدهای پیام‌داروساز'!$A$2:$A$2442,A909)&gt;0,"بله","خیر")</f>
        <v/>
      </c>
    </row>
    <row r="910" ht="15" customHeight="1" s="14">
      <c r="A910" s="24" t="n">
        <v>1657</v>
      </c>
      <c r="B910" s="24" t="inlineStr">
        <is>
          <t>PROTHIONAMIDE TABLET ORAL 250 mg</t>
        </is>
      </c>
      <c r="C910" s="25">
        <f>IF(COUNTIF('کدهای پیام‌داروساز'!$A$2:$A$2442,A910)&gt;0,"بله","خیر")</f>
        <v/>
      </c>
    </row>
    <row r="911" ht="15" customHeight="1" s="14">
      <c r="A911" s="24" t="n">
        <v>1673</v>
      </c>
      <c r="B911" s="24" t="inlineStr">
        <is>
          <t>SIMVASTATIN TABLET ORAL 20 mg</t>
        </is>
      </c>
      <c r="C911" s="25">
        <f>IF(COUNTIF('کدهای پیام‌داروساز'!$A$2:$A$2442,A911)&gt;0,"بله","خیر")</f>
        <v/>
      </c>
    </row>
    <row r="912" ht="15" customHeight="1" s="14">
      <c r="A912" s="24" t="n">
        <v>1679</v>
      </c>
      <c r="B912" s="24" t="inlineStr">
        <is>
          <t>SODIUM NITRITE INJECTION PARENTERAL 30 mg/1mL</t>
        </is>
      </c>
      <c r="C912" s="25">
        <f>IF(COUNTIF('کدهای پیام‌داروساز'!$A$2:$A$2442,A912)&gt;0,"بله","خیر")</f>
        <v/>
      </c>
    </row>
    <row r="913" ht="15" customHeight="1" s="14">
      <c r="A913" s="24" t="n">
        <v>1680</v>
      </c>
      <c r="B913" s="24" t="inlineStr">
        <is>
          <t>SODIUM SALICYLATE TABLET, DELAYED RELEASE ORAL 300 mg</t>
        </is>
      </c>
      <c r="C913" s="25">
        <f>IF(COUNTIF('کدهای پیام‌داروساز'!$A$2:$A$2442,A913)&gt;0,"بله","خیر")</f>
        <v/>
      </c>
    </row>
    <row r="914" ht="15" customHeight="1" s="14">
      <c r="A914" s="24" t="n">
        <v>1682</v>
      </c>
      <c r="B914" s="24" t="inlineStr">
        <is>
          <t>PYRIMETHAMINE / SULFADOXINE TABLET ORAL 500 mg/25 mg</t>
        </is>
      </c>
      <c r="C914" s="25">
        <f>IF(COUNTIF('کدهای پیام‌داروساز'!$A$2:$A$2442,A914)&gt;0,"بله","خیر")</f>
        <v/>
      </c>
    </row>
    <row r="915" ht="15" customHeight="1" s="14">
      <c r="A915" s="24" t="n">
        <v>1696</v>
      </c>
      <c r="B915" s="24" t="inlineStr">
        <is>
          <t>TRETINOIN GEL TOPICAL 0.05 % 15 g</t>
        </is>
      </c>
      <c r="C915" s="25">
        <f>IF(COUNTIF('کدهای پیام‌داروساز'!$A$2:$A$2442,A915)&gt;0,"بله","خیر")</f>
        <v/>
      </c>
    </row>
    <row r="916" ht="15" customHeight="1" s="14">
      <c r="A916" s="24" t="n">
        <v>1697</v>
      </c>
      <c r="B916" s="24" t="inlineStr">
        <is>
          <t>TRICLABENDAZOLE TABLET ORAL 250 mg</t>
        </is>
      </c>
      <c r="C916" s="25">
        <f>IF(COUNTIF('کدهای پیام‌داروساز'!$A$2:$A$2442,A916)&gt;0,"بله","خیر")</f>
        <v/>
      </c>
    </row>
    <row r="917" ht="15" customHeight="1" s="14">
      <c r="A917" s="24" t="n">
        <v>1698</v>
      </c>
      <c r="B917" s="24" t="inlineStr">
        <is>
          <t>TRIHEXYPHENIDYL HYDROCHLORIDE TABLET ORAL 5 mg</t>
        </is>
      </c>
      <c r="C917" s="25">
        <f>IF(COUNTIF('کدهای پیام‌داروساز'!$A$2:$A$2442,A917)&gt;0,"بله","خیر")</f>
        <v/>
      </c>
    </row>
    <row r="918" ht="15" customHeight="1" s="14">
      <c r="A918" s="24" t="n">
        <v>1702</v>
      </c>
      <c r="B918" s="24" t="inlineStr">
        <is>
          <t>VANCOMYCIN (AS HYDROCHLORIDE) CAPSULE, LIQUID FILLED ORAL 250 mg</t>
        </is>
      </c>
      <c r="C918" s="25">
        <f>IF(COUNTIF('کدهای پیام‌داروساز'!$A$2:$A$2442,A918)&gt;0,"بله","خیر")</f>
        <v/>
      </c>
    </row>
    <row r="919" ht="15" customHeight="1" s="14">
      <c r="A919" s="24" t="n">
        <v>1704</v>
      </c>
      <c r="B919" s="24" t="inlineStr">
        <is>
          <t>VARICELLA VIRUS VACCINE INJECTION, POWDER, FOR SUSPENSION PARENTERAL 1350 [PFU]/0.5mL</t>
        </is>
      </c>
      <c r="C919" s="25">
        <f>IF(COUNTIF('کدهای پیام‌داروساز'!$A$2:$A$2442,A919)&gt;0,"بله","خیر")</f>
        <v/>
      </c>
    </row>
    <row r="920" ht="15" customHeight="1" s="14">
      <c r="A920" s="24" t="n">
        <v>1706</v>
      </c>
      <c r="B920" s="24" t="inlineStr">
        <is>
          <t>VERAPAMIL HYDROCHLORIDE TABLET ORAL 80 mg</t>
        </is>
      </c>
      <c r="C920" s="25">
        <f>IF(COUNTIF('کدهای پیام‌داروساز'!$A$2:$A$2442,A920)&gt;0,"بله","خیر")</f>
        <v/>
      </c>
    </row>
    <row r="921" ht="15" customHeight="1" s="14">
      <c r="A921" s="24" t="n">
        <v>1712</v>
      </c>
      <c r="B921" s="24" t="inlineStr">
        <is>
          <t>ZIDOVUDINE SYRUP ORAL 50 mg/5mL 100 mL</t>
        </is>
      </c>
      <c r="C921" s="25">
        <f>IF(COUNTIF('کدهای پیام‌داروساز'!$A$2:$A$2442,A921)&gt;0,"بله","خیر")</f>
        <v/>
      </c>
    </row>
    <row r="922" ht="15" customHeight="1" s="14">
      <c r="A922" s="24" t="n">
        <v>1714</v>
      </c>
      <c r="B922" s="24" t="inlineStr">
        <is>
          <t>PENICILLAMINE CAPSULE ORAL 250 mg</t>
        </is>
      </c>
      <c r="C922" s="25">
        <f>IF(COUNTIF('کدهای پیام‌داروساز'!$A$2:$A$2442,A922)&gt;0,"بله","خیر")</f>
        <v/>
      </c>
    </row>
    <row r="923" ht="15" customHeight="1" s="14">
      <c r="A923" s="24" t="n">
        <v>1718</v>
      </c>
      <c r="B923" s="24" t="inlineStr">
        <is>
          <t>NALTREXONE HYDROCHLORIDE CAPSULE ORAL 25 mg</t>
        </is>
      </c>
      <c r="C923" s="25">
        <f>IF(COUNTIF('کدهای پیام‌داروساز'!$A$2:$A$2442,A923)&gt;0,"بله","خیر")</f>
        <v/>
      </c>
    </row>
    <row r="924" ht="15" customHeight="1" s="14">
      <c r="A924" s="24" t="n">
        <v>1719</v>
      </c>
      <c r="B924" s="24" t="inlineStr">
        <is>
          <t>NALTREXONE HYDROCHLORIDE CAPSULE ORAL 50 mg</t>
        </is>
      </c>
      <c r="C924" s="25">
        <f>IF(COUNTIF('کدهای پیام‌داروساز'!$A$2:$A$2442,A924)&gt;0,"بله","خیر")</f>
        <v/>
      </c>
    </row>
    <row r="925" ht="15" customHeight="1" s="14">
      <c r="A925" s="24" t="n">
        <v>1727</v>
      </c>
      <c r="B925" s="24" t="inlineStr">
        <is>
          <t>NITROGLYCERIN CAPSULE, LIQUID FILLED ORAL 0.4 mg</t>
        </is>
      </c>
      <c r="C925" s="25">
        <f>IF(COUNTIF('کدهای پیام‌داروساز'!$A$2:$A$2442,A925)&gt;0,"بله","خیر")</f>
        <v/>
      </c>
    </row>
    <row r="926" ht="15" customHeight="1" s="14">
      <c r="A926" s="24" t="n">
        <v>1728</v>
      </c>
      <c r="B926" s="24" t="inlineStr">
        <is>
          <t>MESALAZINE TABLET, DELAYED RELEASE ORAL 250 mg</t>
        </is>
      </c>
      <c r="C926" s="25">
        <f>IF(COUNTIF('کدهای پیام‌داروساز'!$A$2:$A$2442,A926)&gt;0,"بله","خیر")</f>
        <v/>
      </c>
    </row>
    <row r="927" ht="15" customHeight="1" s="14">
      <c r="A927" s="24" t="n">
        <v>1736</v>
      </c>
      <c r="B927" s="24" t="inlineStr">
        <is>
          <t>URSODEOXYCHOLIC ACID CAPSULE ORAL 250 mg</t>
        </is>
      </c>
      <c r="C927" s="25">
        <f>IF(COUNTIF('کدهای پیام‌داروساز'!$A$2:$A$2442,A927)&gt;0,"بله","خیر")</f>
        <v/>
      </c>
    </row>
    <row r="928" ht="15" customHeight="1" s="14">
      <c r="A928" s="24" t="n">
        <v>1737</v>
      </c>
      <c r="B928" s="24" t="inlineStr">
        <is>
          <t>ACTIVATED PROTHROMBIN COMPLEX (CONCENTRATED) INJECTION, POWDER, LYOPHILIZED, FOR SOLUTION PARENTERAL 1000 [iU]</t>
        </is>
      </c>
      <c r="C928" s="25">
        <f>IF(COUNTIF('کدهای پیام‌داروساز'!$A$2:$A$2442,A928)&gt;0,"بله","خیر")</f>
        <v/>
      </c>
    </row>
    <row r="929" ht="15" customHeight="1" s="14">
      <c r="A929" s="24" t="n">
        <v>1738</v>
      </c>
      <c r="B929" s="24" t="inlineStr">
        <is>
          <t>CALCITONIN, SALMON SPRAY NASAL 200 [iU]/1{Puff} 14 {Puff}</t>
        </is>
      </c>
      <c r="C929" s="25">
        <f>IF(COUNTIF('کدهای پیام‌داروساز'!$A$2:$A$2442,A929)&gt;0,"بله","خیر")</f>
        <v/>
      </c>
    </row>
    <row r="930" ht="15" customHeight="1" s="14">
      <c r="A930" s="24" t="n">
        <v>1742</v>
      </c>
      <c r="B930" s="24" t="inlineStr">
        <is>
          <t>TROPICAMIDE SOLUTION, DROPS OPHTHALMIC 1 % 10 mL</t>
        </is>
      </c>
      <c r="C930" s="25">
        <f>IF(COUNTIF('کدهای پیام‌داروساز'!$A$2:$A$2442,A930)&gt;0,"بله","خیر")</f>
        <v/>
      </c>
    </row>
    <row r="931" ht="15" customHeight="1" s="14">
      <c r="A931" s="24" t="n">
        <v>1743</v>
      </c>
      <c r="B931" s="24" t="inlineStr">
        <is>
          <t>CLOZAPINE TABLET ORAL 25 mg</t>
        </is>
      </c>
      <c r="C931" s="25">
        <f>IF(COUNTIF('کدهای پیام‌داروساز'!$A$2:$A$2442,A931)&gt;0,"بله","خیر")</f>
        <v/>
      </c>
    </row>
    <row r="932" ht="15" customHeight="1" s="14">
      <c r="A932" s="24" t="n">
        <v>1746</v>
      </c>
      <c r="B932" s="24" t="inlineStr">
        <is>
          <t>VITAMIN B12 INJECTION PARENTERAL 100 ug/1mL</t>
        </is>
      </c>
      <c r="C932" s="25">
        <f>IF(COUNTIF('کدهای پیام‌داروساز'!$A$2:$A$2442,A932)&gt;0,"بله","خیر")</f>
        <v/>
      </c>
    </row>
    <row r="933" ht="15" customHeight="1" s="14">
      <c r="A933" s="24" t="n">
        <v>1747</v>
      </c>
      <c r="B933" s="24" t="inlineStr">
        <is>
          <t>DESMOPRESSIN ACETATE SPRAY NASAL 100 ug/1mL 5 mL</t>
        </is>
      </c>
      <c r="C933" s="25">
        <f>IF(COUNTIF('کدهای پیام‌داروساز'!$A$2:$A$2442,A933)&gt;0,"بله","خیر")</f>
        <v/>
      </c>
    </row>
    <row r="934" ht="15" customHeight="1" s="14">
      <c r="A934" s="24" t="n">
        <v>1748</v>
      </c>
      <c r="B934" s="24" t="inlineStr">
        <is>
          <t>CROMOLYN SODIUM SOLUTION OPHTHALMIC 20 mg/1mL 5 mL</t>
        </is>
      </c>
      <c r="C934" s="25">
        <f>IF(COUNTIF('کدهای پیام‌داروساز'!$A$2:$A$2442,A934)&gt;0,"بله","خیر")</f>
        <v/>
      </c>
    </row>
    <row r="935" ht="15" customHeight="1" s="14">
      <c r="A935" s="24" t="n">
        <v>1753</v>
      </c>
      <c r="B935" s="24" t="inlineStr">
        <is>
          <t>MYCOPHENOLATE MOFETIL TABLET ORAL 500 mg</t>
        </is>
      </c>
      <c r="C935" s="25">
        <f>IF(COUNTIF('کدهای پیام‌داروساز'!$A$2:$A$2442,A935)&gt;0,"بله","خیر")</f>
        <v/>
      </c>
    </row>
    <row r="936" ht="15" customHeight="1" s="14">
      <c r="A936" s="24" t="n">
        <v>1754</v>
      </c>
      <c r="B936" s="24" t="inlineStr">
        <is>
          <t>CO-AMOXICLAV POWDER, FOR SUSPENSION ORAL 125 mg/31.25 mg</t>
        </is>
      </c>
      <c r="C936" s="25">
        <f>IF(COUNTIF('کدهای پیام‌داروساز'!$A$2:$A$2442,A936)&gt;0,"بله","خیر")</f>
        <v/>
      </c>
    </row>
    <row r="937" ht="15" customHeight="1" s="14">
      <c r="A937" s="24" t="n">
        <v>1755</v>
      </c>
      <c r="B937" s="24" t="inlineStr">
        <is>
          <t>MYCOPHENOLATE MOFETIL CAPSULE ORAL 250 mg</t>
        </is>
      </c>
      <c r="C937" s="25">
        <f>IF(COUNTIF('کدهای پیام‌داروساز'!$A$2:$A$2442,A937)&gt;0,"بله","خیر")</f>
        <v/>
      </c>
    </row>
    <row r="938" ht="15" customHeight="1" s="14">
      <c r="A938" s="24" t="n">
        <v>1758</v>
      </c>
      <c r="B938" s="24" t="inlineStr">
        <is>
          <t>CICLOSPORIN CAPSULE, LIQUID FILLED ORAL 50 mg</t>
        </is>
      </c>
      <c r="C938" s="25">
        <f>IF(COUNTIF('کدهای پیام‌داروساز'!$A$2:$A$2442,A938)&gt;0,"بله","خیر")</f>
        <v/>
      </c>
    </row>
    <row r="939" ht="15" customHeight="1" s="14">
      <c r="A939" s="24" t="n">
        <v>1773</v>
      </c>
      <c r="B939" s="24" t="inlineStr">
        <is>
          <t>RISPERIDONE TABLET ORAL 1 mg</t>
        </is>
      </c>
      <c r="C939" s="25">
        <f>IF(COUNTIF('کدهای پیام‌داروساز'!$A$2:$A$2442,A939)&gt;0,"بله","خیر")</f>
        <v/>
      </c>
    </row>
    <row r="940" ht="15" customHeight="1" s="14">
      <c r="A940" s="24" t="n">
        <v>1774</v>
      </c>
      <c r="B940" s="24" t="inlineStr">
        <is>
          <t>RISPERIDONE TABLET ORAL 2 mg</t>
        </is>
      </c>
      <c r="C940" s="25">
        <f>IF(COUNTIF('کدهای پیام‌داروساز'!$A$2:$A$2442,A940)&gt;0,"بله","خیر")</f>
        <v/>
      </c>
    </row>
    <row r="941" ht="15" customHeight="1" s="14">
      <c r="A941" s="24" t="n">
        <v>1775</v>
      </c>
      <c r="B941" s="24" t="inlineStr">
        <is>
          <t>ZIDOVUDINE TABLET ORAL 300 mg</t>
        </is>
      </c>
      <c r="C941" s="25">
        <f>IF(COUNTIF('کدهای پیام‌داروساز'!$A$2:$A$2442,A941)&gt;0,"بله","خیر")</f>
        <v/>
      </c>
    </row>
    <row r="942" ht="15" customHeight="1" s="14">
      <c r="A942" s="24" t="n">
        <v>1777</v>
      </c>
      <c r="B942" s="24" t="inlineStr">
        <is>
          <t>PROPAFENONE HYDROCHLORIDE TABLET ORAL 150 mg</t>
        </is>
      </c>
      <c r="C942" s="25">
        <f>IF(COUNTIF('کدهای پیام‌داروساز'!$A$2:$A$2442,A942)&gt;0,"بله","خیر")</f>
        <v/>
      </c>
    </row>
    <row r="943" ht="15" customHeight="1" s="14">
      <c r="A943" s="24" t="n">
        <v>1778</v>
      </c>
      <c r="B943" s="24" t="inlineStr">
        <is>
          <t>PROPAFENONE HYDROCHLORIDE TABLET ORAL 300 mg</t>
        </is>
      </c>
      <c r="C943" s="25">
        <f>IF(COUNTIF('کدهای پیام‌داروساز'!$A$2:$A$2442,A943)&gt;0,"بله","خیر")</f>
        <v/>
      </c>
    </row>
    <row r="944" ht="15" customHeight="1" s="14">
      <c r="A944" s="24" t="n">
        <v>1779</v>
      </c>
      <c r="B944" s="24" t="inlineStr">
        <is>
          <t>PERMETHRIN SHAMPOO TOPICAL 1 % 60 mL</t>
        </is>
      </c>
      <c r="C944" s="25">
        <f>IF(COUNTIF('کدهای پیام‌داروساز'!$A$2:$A$2442,A944)&gt;0,"بله","خیر")</f>
        <v/>
      </c>
    </row>
    <row r="945" ht="15" customHeight="1" s="14">
      <c r="A945" s="24" t="n">
        <v>1780</v>
      </c>
      <c r="B945" s="24" t="inlineStr">
        <is>
          <t>SILDENAFIL (AS CITRATE) TABLET ORAL 100 mg</t>
        </is>
      </c>
      <c r="C945" s="25">
        <f>IF(COUNTIF('کدهای پیام‌داروساز'!$A$2:$A$2442,A945)&gt;0,"بله","خیر")</f>
        <v/>
      </c>
    </row>
    <row r="946" ht="15" customHeight="1" s="14">
      <c r="A946" s="24" t="n">
        <v>1781</v>
      </c>
      <c r="B946" s="24" t="inlineStr">
        <is>
          <t>SILDENAFIL (AS CITRATE) TABLET ORAL 50 mg</t>
        </is>
      </c>
      <c r="C946" s="25">
        <f>IF(COUNTIF('کدهای پیام‌داروساز'!$A$2:$A$2442,A946)&gt;0,"بله","خیر")</f>
        <v/>
      </c>
    </row>
    <row r="947" ht="15" customHeight="1" s="14">
      <c r="A947" s="24" t="n">
        <v>1782</v>
      </c>
      <c r="B947" s="24" t="inlineStr">
        <is>
          <t>MEPIVACAINE HYDROCHLORIDE INJECTION PARENTERAL 3 % 1.8 mL</t>
        </is>
      </c>
      <c r="C947" s="25">
        <f>IF(COUNTIF('کدهای پیام‌داروساز'!$A$2:$A$2442,A947)&gt;0,"بله","خیر")</f>
        <v/>
      </c>
    </row>
    <row r="948" ht="15" customHeight="1" s="14">
      <c r="A948" s="24" t="n">
        <v>1788</v>
      </c>
      <c r="B948" s="24" t="inlineStr">
        <is>
          <t>CLOPIDOGREL (AS BISULFATE) TABLET ORAL 75 mg</t>
        </is>
      </c>
      <c r="C948" s="25">
        <f>IF(COUNTIF('کدهای پیام‌داروساز'!$A$2:$A$2442,A948)&gt;0,"بله","خیر")</f>
        <v/>
      </c>
    </row>
    <row r="949" ht="15" customHeight="1" s="14">
      <c r="A949" s="24" t="n">
        <v>1812</v>
      </c>
      <c r="B949" s="24" t="inlineStr">
        <is>
          <t>NITROGLYCERIN INJECTION PARENTERAL 1 mg/1mL 5 mL</t>
        </is>
      </c>
      <c r="C949" s="25">
        <f>IF(COUNTIF('کدهای پیام‌داروساز'!$A$2:$A$2442,A949)&gt;0,"بله","خیر")</f>
        <v/>
      </c>
    </row>
    <row r="950" ht="15" customHeight="1" s="14">
      <c r="A950" s="24" t="n">
        <v>1814</v>
      </c>
      <c r="B950" s="24" t="inlineStr">
        <is>
          <t>VITAMIN D3 INJECTION PARENTERAL 300000 [iU]/1mL</t>
        </is>
      </c>
      <c r="C950" s="25">
        <f>IF(COUNTIF('کدهای پیام‌داروساز'!$A$2:$A$2442,A950)&gt;0,"بله","خیر")</f>
        <v/>
      </c>
    </row>
    <row r="951" ht="15" customHeight="1" s="14">
      <c r="A951" s="24" t="n">
        <v>1815</v>
      </c>
      <c r="B951" s="24" t="inlineStr">
        <is>
          <t>LAMIVUDINE TABLET ORAL 100 mg</t>
        </is>
      </c>
      <c r="C951" s="25">
        <f>IF(COUNTIF('کدهای پیام‌داروساز'!$A$2:$A$2442,A951)&gt;0,"بله","خیر")</f>
        <v/>
      </c>
    </row>
    <row r="952" ht="15" customHeight="1" s="14">
      <c r="A952" s="24" t="n">
        <v>1819</v>
      </c>
      <c r="B952" s="24" t="inlineStr">
        <is>
          <t>LAMIVUDINE TABLET ORAL 150 mg</t>
        </is>
      </c>
      <c r="C952" s="25">
        <f>IF(COUNTIF('کدهای پیام‌داروساز'!$A$2:$A$2442,A952)&gt;0,"بله","خیر")</f>
        <v/>
      </c>
    </row>
    <row r="953" ht="15" customHeight="1" s="14">
      <c r="A953" s="24" t="n">
        <v>1822</v>
      </c>
      <c r="B953" s="24" t="inlineStr">
        <is>
          <t>LOSARTAN POTASSIUM TABLET ORAL 25 mg</t>
        </is>
      </c>
      <c r="C953" s="25">
        <f>IF(COUNTIF('کدهای پیام‌داروساز'!$A$2:$A$2442,A953)&gt;0,"بله","خیر")</f>
        <v/>
      </c>
    </row>
    <row r="954" ht="15" customHeight="1" s="14">
      <c r="A954" s="24" t="n">
        <v>1823</v>
      </c>
      <c r="B954" s="24" t="inlineStr">
        <is>
          <t>AMANTADINE SULFATE TABLET ORAL 100 mg</t>
        </is>
      </c>
      <c r="C954" s="25">
        <f>IF(COUNTIF('کدهای پیام‌داروساز'!$A$2:$A$2442,A954)&gt;0,"بله","خیر")</f>
        <v/>
      </c>
    </row>
    <row r="955" ht="15" customHeight="1" s="14">
      <c r="A955" s="24" t="n">
        <v>1825</v>
      </c>
      <c r="B955" s="24" t="inlineStr">
        <is>
          <t>HYDROXYCHLOROQUINE SULFATE TABLET ORAL 200 mg</t>
        </is>
      </c>
      <c r="C955" s="25">
        <f>IF(COUNTIF('کدهای پیام‌داروساز'!$A$2:$A$2442,A955)&gt;0,"بله","خیر")</f>
        <v/>
      </c>
    </row>
    <row r="956" ht="15" customHeight="1" s="14">
      <c r="A956" s="24" t="n">
        <v>1827</v>
      </c>
      <c r="B956" s="24" t="inlineStr">
        <is>
          <t>FLUVOXAMINE MALEATE TABLET ORAL 50 mg</t>
        </is>
      </c>
      <c r="C956" s="25">
        <f>IF(COUNTIF('کدهای پیام‌داروساز'!$A$2:$A$2442,A956)&gt;0,"بله","خیر")</f>
        <v/>
      </c>
    </row>
    <row r="957" ht="15" customHeight="1" s="14">
      <c r="A957" s="24" t="n">
        <v>1829</v>
      </c>
      <c r="B957" s="24" t="inlineStr">
        <is>
          <t>MINOXIDIL SOLUTION TOPICAL 50 mg/1mL 60 mL</t>
        </is>
      </c>
      <c r="C957" s="25">
        <f>IF(COUNTIF('کدهای پیام‌داروساز'!$A$2:$A$2442,A957)&gt;0,"بله","خیر")</f>
        <v/>
      </c>
    </row>
    <row r="958" ht="15" customHeight="1" s="14">
      <c r="A958" s="24" t="n">
        <v>1832</v>
      </c>
      <c r="B958" s="24" t="inlineStr">
        <is>
          <t>NITROGLYCERIN SPRAY SUBLINGUAL 400 ug/1{dose} 200 {dose}</t>
        </is>
      </c>
      <c r="C958" s="25">
        <f>IF(COUNTIF('کدهای پیام‌داروساز'!$A$2:$A$2442,A958)&gt;0,"بله","خیر")</f>
        <v/>
      </c>
    </row>
    <row r="959" ht="15" customHeight="1" s="14">
      <c r="A959" s="24" t="n">
        <v>1835</v>
      </c>
      <c r="B959" s="24" t="inlineStr">
        <is>
          <t>NELFINAVIR TABLET ORAL 250 mg</t>
        </is>
      </c>
      <c r="C959" s="25">
        <f>IF(COUNTIF('کدهای پیام‌داروساز'!$A$2:$A$2442,A959)&gt;0,"بله","خیر")</f>
        <v/>
      </c>
    </row>
    <row r="960" ht="15" customHeight="1" s="14">
      <c r="A960" s="24" t="n">
        <v>1836</v>
      </c>
      <c r="B960" s="24" t="inlineStr">
        <is>
          <t>ADENOSINE INJECTION PARENTERAL 3 mg/1mL 2 mL</t>
        </is>
      </c>
      <c r="C960" s="25">
        <f>IF(COUNTIF('کدهای پیام‌داروساز'!$A$2:$A$2442,A960)&gt;0,"بله","خیر")</f>
        <v/>
      </c>
    </row>
    <row r="961" ht="15" customHeight="1" s="14">
      <c r="A961" s="24" t="n">
        <v>1837</v>
      </c>
      <c r="B961" s="24" t="inlineStr">
        <is>
          <t>CLARITHROMYCIN TABLET ORAL 250 mg</t>
        </is>
      </c>
      <c r="C961" s="25">
        <f>IF(COUNTIF('کدهای پیام‌داروساز'!$A$2:$A$2442,A961)&gt;0,"بله","خیر")</f>
        <v/>
      </c>
    </row>
    <row r="962" ht="15" customHeight="1" s="14">
      <c r="A962" s="24" t="n">
        <v>1838</v>
      </c>
      <c r="B962" s="24" t="inlineStr">
        <is>
          <t>CLARITHROMYCIN POWDER, FOR SUSPENSION ORAL 125 mg/5 mL 100 mL</t>
        </is>
      </c>
      <c r="C962" s="25">
        <f>IF(COUNTIF('کدهای پیام‌داروساز'!$A$2:$A$2442,A962)&gt;0,"بله","خیر")</f>
        <v/>
      </c>
    </row>
    <row r="963" ht="15" customHeight="1" s="14">
      <c r="A963" s="24" t="n">
        <v>1842</v>
      </c>
      <c r="B963" s="24" t="inlineStr">
        <is>
          <t>ALENDRONATE (AS SODIUM) TABLET ORAL 10 mg</t>
        </is>
      </c>
      <c r="C963" s="25">
        <f>IF(COUNTIF('کدهای پیام‌داروساز'!$A$2:$A$2442,A963)&gt;0,"بله","خیر")</f>
        <v/>
      </c>
    </row>
    <row r="964" ht="15" customHeight="1" s="14">
      <c r="A964" s="24" t="n">
        <v>1843</v>
      </c>
      <c r="B964" s="24" t="inlineStr">
        <is>
          <t>POVIDONE IODINE DOUCHE VAGINAL 10 % 250 mL</t>
        </is>
      </c>
      <c r="C964" s="25">
        <f>IF(COUNTIF('کدهای پیام‌داروساز'!$A$2:$A$2442,A964)&gt;0,"بله","خیر")</f>
        <v/>
      </c>
    </row>
    <row r="965" ht="15" customHeight="1" s="14">
      <c r="A965" s="24" t="n">
        <v>1847</v>
      </c>
      <c r="B965" s="24" t="inlineStr">
        <is>
          <t>DICLOFENAC SODIUM SOLUTION, DROPS OPHTHALMIC 0.1 % 5 mL</t>
        </is>
      </c>
      <c r="C965" s="25">
        <f>IF(COUNTIF('کدهای پیام‌داروساز'!$A$2:$A$2442,A965)&gt;0,"بله","خیر")</f>
        <v/>
      </c>
    </row>
    <row r="966" ht="15" customHeight="1" s="14">
      <c r="A966" s="24" t="n">
        <v>1848</v>
      </c>
      <c r="B966" s="24" t="inlineStr">
        <is>
          <t>LOPERAMIDE HYDROCHLORIDE TABLET ORAL 2 mg</t>
        </is>
      </c>
      <c r="C966" s="25">
        <f>IF(COUNTIF('کدهای پیام‌داروساز'!$A$2:$A$2442,A966)&gt;0,"بله","خیر")</f>
        <v/>
      </c>
    </row>
    <row r="967" ht="15" customHeight="1" s="14">
      <c r="A967" s="24" t="n">
        <v>1861</v>
      </c>
      <c r="B967" s="24" t="inlineStr">
        <is>
          <t>APROTININ INJECTION PARENTERAL 10000000 [iU]/1mL 10 mL</t>
        </is>
      </c>
      <c r="C967" s="25">
        <f>IF(COUNTIF('کدهای پیام‌داروساز'!$A$2:$A$2442,A967)&gt;0,"بله","خیر")</f>
        <v/>
      </c>
    </row>
    <row r="968" ht="15" customHeight="1" s="14">
      <c r="A968" s="24" t="n">
        <v>1862</v>
      </c>
      <c r="B968" s="24" t="inlineStr">
        <is>
          <t>CLINDAMYCIN (AS PHOSPHATE) GEL TOPICAL 1 % 15 g</t>
        </is>
      </c>
      <c r="C968" s="25">
        <f>IF(COUNTIF('کدهای پیام‌داروساز'!$A$2:$A$2442,A968)&gt;0,"بله","خیر")</f>
        <v/>
      </c>
    </row>
    <row r="969" ht="15" customHeight="1" s="14">
      <c r="A969" s="24" t="n">
        <v>1866</v>
      </c>
      <c r="B969" s="24" t="inlineStr">
        <is>
          <t>NAFCILLIN INJECTION PARENTERAL 1 g/1mL</t>
        </is>
      </c>
      <c r="C969" s="25">
        <f>IF(COUNTIF('کدهای پیام‌داروساز'!$A$2:$A$2442,A969)&gt;0,"بله","خیر")</f>
        <v/>
      </c>
    </row>
    <row r="970" ht="15" customHeight="1" s="14">
      <c r="A970" s="24" t="n">
        <v>1868</v>
      </c>
      <c r="B970" s="24" t="inlineStr">
        <is>
          <t>ACETYLCYSTEINE TABLET ORAL 200 mg</t>
        </is>
      </c>
      <c r="C970" s="25">
        <f>IF(COUNTIF('کدهای پیام‌داروساز'!$A$2:$A$2442,A970)&gt;0,"بله","خیر")</f>
        <v/>
      </c>
    </row>
    <row r="971" ht="15" customHeight="1" s="14">
      <c r="A971" s="24" t="n">
        <v>1869</v>
      </c>
      <c r="B971" s="24" t="inlineStr">
        <is>
          <t>RISPERIDONE TABLET ORAL 3 mg</t>
        </is>
      </c>
      <c r="C971" s="25">
        <f>IF(COUNTIF('کدهای پیام‌داروساز'!$A$2:$A$2442,A971)&gt;0,"بله","خیر")</f>
        <v/>
      </c>
    </row>
    <row r="972" ht="15" customHeight="1" s="14">
      <c r="A972" s="24" t="n">
        <v>1870</v>
      </c>
      <c r="B972" s="24" t="inlineStr">
        <is>
          <t>RISPERIDONE TABLET ORAL 4 mg</t>
        </is>
      </c>
      <c r="C972" s="25">
        <f>IF(COUNTIF('کدهای پیام‌داروساز'!$A$2:$A$2442,A972)&gt;0,"بله","خیر")</f>
        <v/>
      </c>
    </row>
    <row r="973" ht="15" customHeight="1" s="14">
      <c r="A973" s="24" t="n">
        <v>1871</v>
      </c>
      <c r="B973" s="24" t="inlineStr">
        <is>
          <t>VALPROATE SODIUM TABLET, EXTENDED RELEASE ORAL 333 mg/145 mg</t>
        </is>
      </c>
      <c r="C973" s="25">
        <f>IF(COUNTIF('کدهای پیام‌داروساز'!$A$2:$A$2442,A973)&gt;0,"بله","خیر")</f>
        <v/>
      </c>
    </row>
    <row r="974" ht="15" customHeight="1" s="14">
      <c r="A974" s="24" t="n">
        <v>1872</v>
      </c>
      <c r="B974" s="24" t="inlineStr">
        <is>
          <t>FINASTERIDE TABLET ORAL 1 mg</t>
        </is>
      </c>
      <c r="C974" s="25">
        <f>IF(COUNTIF('کدهای پیام‌داروساز'!$A$2:$A$2442,A974)&gt;0,"بله","خیر")</f>
        <v/>
      </c>
    </row>
    <row r="975" ht="15" customHeight="1" s="14">
      <c r="A975" s="24" t="n">
        <v>1873</v>
      </c>
      <c r="B975" s="24" t="inlineStr">
        <is>
          <t>NITROGLYCERIN PLASTER TRANSDERMAL 5 mg</t>
        </is>
      </c>
      <c r="C975" s="25">
        <f>IF(COUNTIF('کدهای پیام‌داروساز'!$A$2:$A$2442,A975)&gt;0,"بله","خیر")</f>
        <v/>
      </c>
    </row>
    <row r="976" ht="15" customHeight="1" s="14">
      <c r="A976" s="24" t="n">
        <v>1876</v>
      </c>
      <c r="B976" s="24" t="inlineStr">
        <is>
          <t>IMIPENEM / CILASTATIN INJECTION, POWDER, FOR SOLUTION PARENTERAL 500 mg/500 mg</t>
        </is>
      </c>
      <c r="C976" s="25">
        <f>IF(COUNTIF('کدهای پیام‌داروساز'!$A$2:$A$2442,A976)&gt;0,"بله","خیر")</f>
        <v/>
      </c>
    </row>
    <row r="977" ht="15" customHeight="1" s="14">
      <c r="A977" s="24" t="n">
        <v>1877</v>
      </c>
      <c r="B977" s="24" t="inlineStr">
        <is>
          <t>MILRINONE (AS LACTATE) INJECTION, SOLUTION PARENTERAL 1 mg/1mL 10 mL</t>
        </is>
      </c>
      <c r="C977" s="25">
        <f>IF(COUNTIF('کدهای پیام‌داروساز'!$A$2:$A$2442,A977)&gt;0,"بله","خیر")</f>
        <v/>
      </c>
    </row>
    <row r="978" ht="15" customHeight="1" s="14">
      <c r="A978" s="24" t="n">
        <v>1878</v>
      </c>
      <c r="B978" s="24" t="inlineStr">
        <is>
          <t>OXANDROLONE TABLET ORAL 2.5 mg</t>
        </is>
      </c>
      <c r="C978" s="25">
        <f>IF(COUNTIF('کدهای پیام‌داروساز'!$A$2:$A$2442,A978)&gt;0,"بله","خیر")</f>
        <v/>
      </c>
    </row>
    <row r="979" ht="15" customHeight="1" s="14">
      <c r="A979" s="24" t="n">
        <v>1880</v>
      </c>
      <c r="B979" s="24" t="inlineStr">
        <is>
          <t>RIBAVIRIN INJECTION PARENTERAL 100 mg/1mL 1 mL</t>
        </is>
      </c>
      <c r="C979" s="25">
        <f>IF(COUNTIF('کدهای پیام‌داروساز'!$A$2:$A$2442,A979)&gt;0,"بله","خیر")</f>
        <v/>
      </c>
    </row>
    <row r="980" ht="15" customHeight="1" s="14">
      <c r="A980" s="24" t="n">
        <v>1881</v>
      </c>
      <c r="B980" s="24" t="inlineStr">
        <is>
          <t>RIBAVIRIN TABLET ORAL 200 mg</t>
        </is>
      </c>
      <c r="C980" s="25">
        <f>IF(COUNTIF('کدهای پیام‌داروساز'!$A$2:$A$2442,A980)&gt;0,"بله","خیر")</f>
        <v/>
      </c>
    </row>
    <row r="981" ht="15" customHeight="1" s="14">
      <c r="A981" s="24" t="n">
        <v>1883</v>
      </c>
      <c r="B981" s="24" t="inlineStr">
        <is>
          <t>TOPIRAMATE TABLET ORAL 100 mg</t>
        </is>
      </c>
      <c r="C981" s="25">
        <f>IF(COUNTIF('کدهای پیام‌داروساز'!$A$2:$A$2442,A981)&gt;0,"بله","خیر")</f>
        <v/>
      </c>
    </row>
    <row r="982" ht="15" customHeight="1" s="14">
      <c r="A982" s="24" t="n">
        <v>1885</v>
      </c>
      <c r="B982" s="24" t="inlineStr">
        <is>
          <t>TOPIRAMATE TABLET ORAL 25 mg</t>
        </is>
      </c>
      <c r="C982" s="25">
        <f>IF(COUNTIF('کدهای پیام‌داروساز'!$A$2:$A$2442,A982)&gt;0,"بله","خیر")</f>
        <v/>
      </c>
    </row>
    <row r="983" ht="15" customHeight="1" s="14">
      <c r="A983" s="24" t="n">
        <v>1886</v>
      </c>
      <c r="B983" s="24" t="inlineStr">
        <is>
          <t>TOPIRAMATE TABLET ORAL 50 mg</t>
        </is>
      </c>
      <c r="C983" s="25">
        <f>IF(COUNTIF('کدهای پیام‌داروساز'!$A$2:$A$2442,A983)&gt;0,"بله","خیر")</f>
        <v/>
      </c>
    </row>
    <row r="984" ht="15" customHeight="1" s="14">
      <c r="A984" s="24" t="n">
        <v>1888</v>
      </c>
      <c r="B984" s="24" t="inlineStr">
        <is>
          <t>BUSPIRONE HYDROCHLORIDE TABLET ORAL 5 mg</t>
        </is>
      </c>
      <c r="C984" s="25">
        <f>IF(COUNTIF('کدهای پیام‌داروساز'!$A$2:$A$2442,A984)&gt;0,"بله","خیر")</f>
        <v/>
      </c>
    </row>
    <row r="985" ht="15" customHeight="1" s="14">
      <c r="A985" s="24" t="n">
        <v>1889</v>
      </c>
      <c r="B985" s="24" t="inlineStr">
        <is>
          <t>FLUTICASONE PROPIONATE INHALANT RESPIRATORY 125 ug/1{dose} 60 {Puff}</t>
        </is>
      </c>
      <c r="C985" s="25">
        <f>IF(COUNTIF('کدهای پیام‌داروساز'!$A$2:$A$2442,A985)&gt;0,"بله","خیر")</f>
        <v/>
      </c>
    </row>
    <row r="986" ht="15" customHeight="1" s="14">
      <c r="A986" s="24" t="n">
        <v>1891</v>
      </c>
      <c r="B986" s="24" t="inlineStr">
        <is>
          <t>RIBAVIRIN CAPSULE ORAL 200 mg</t>
        </is>
      </c>
      <c r="C986" s="25">
        <f>IF(COUNTIF('کدهای پیام‌داروساز'!$A$2:$A$2442,A986)&gt;0,"بله","خیر")</f>
        <v/>
      </c>
    </row>
    <row r="987" ht="15" customHeight="1" s="14">
      <c r="A987" s="24" t="n">
        <v>1892</v>
      </c>
      <c r="B987" s="24" t="inlineStr">
        <is>
          <t>TERAZOSIN TABLET ORAL 2 mg</t>
        </is>
      </c>
      <c r="C987" s="25">
        <f>IF(COUNTIF('کدهای پیام‌داروساز'!$A$2:$A$2442,A987)&gt;0,"بله","خیر")</f>
        <v/>
      </c>
    </row>
    <row r="988" ht="15" customHeight="1" s="14">
      <c r="A988" s="24" t="n">
        <v>1893</v>
      </c>
      <c r="B988" s="24" t="inlineStr">
        <is>
          <t>TERAZOSIN TABLET ORAL 5 mg</t>
        </is>
      </c>
      <c r="C988" s="25">
        <f>IF(COUNTIF('کدهای پیام‌داروساز'!$A$2:$A$2442,A988)&gt;0,"بله","خیر")</f>
        <v/>
      </c>
    </row>
    <row r="989" ht="15" customHeight="1" s="14">
      <c r="A989" s="24" t="n">
        <v>1894</v>
      </c>
      <c r="B989" s="24" t="inlineStr">
        <is>
          <t>ZAFIRLUKAST TABLET ORAL 20 mg</t>
        </is>
      </c>
      <c r="C989" s="25">
        <f>IF(COUNTIF('کدهای پیام‌داروساز'!$A$2:$A$2442,A989)&gt;0,"بله","خیر")</f>
        <v/>
      </c>
    </row>
    <row r="990" ht="15" customHeight="1" s="14">
      <c r="A990" s="24" t="n">
        <v>1895</v>
      </c>
      <c r="B990" s="24" t="inlineStr">
        <is>
          <t>MONTELUKAST (AS SODIUM) TABLET, CHEWABLE ORAL 5 mg</t>
        </is>
      </c>
      <c r="C990" s="25">
        <f>IF(COUNTIF('کدهای پیام‌داروساز'!$A$2:$A$2442,A990)&gt;0,"بله","خیر")</f>
        <v/>
      </c>
    </row>
    <row r="991" ht="15" customHeight="1" s="14">
      <c r="A991" s="24" t="n">
        <v>1896</v>
      </c>
      <c r="B991" s="24" t="inlineStr">
        <is>
          <t>SERTRALINE (AS HYDROCHLORIDE) TABLET ORAL 50 mg</t>
        </is>
      </c>
      <c r="C991" s="25">
        <f>IF(COUNTIF('کدهای پیام‌داروساز'!$A$2:$A$2442,A991)&gt;0,"بله","خیر")</f>
        <v/>
      </c>
    </row>
    <row r="992" ht="15" customHeight="1" s="14">
      <c r="A992" s="24" t="n">
        <v>1897</v>
      </c>
      <c r="B992" s="24" t="inlineStr">
        <is>
          <t>SERTRALINE (AS HYDROCHLORIDE) TABLET ORAL 100 mg</t>
        </is>
      </c>
      <c r="C992" s="25">
        <f>IF(COUNTIF('کدهای پیام‌داروساز'!$A$2:$A$2442,A992)&gt;0,"بله","خیر")</f>
        <v/>
      </c>
    </row>
    <row r="993" ht="15" customHeight="1" s="14">
      <c r="A993" s="24" t="n">
        <v>1898</v>
      </c>
      <c r="B993" s="24" t="inlineStr">
        <is>
          <t>PAMIDRONATE DISODIUM INJECTION PARENTERAL 3 mg/1mL 10 mL</t>
        </is>
      </c>
      <c r="C993" s="25">
        <f>IF(COUNTIF('کدهای پیام‌داروساز'!$A$2:$A$2442,A993)&gt;0,"بله","خیر")</f>
        <v/>
      </c>
    </row>
    <row r="994" ht="15" customHeight="1" s="14">
      <c r="A994" s="24" t="n">
        <v>1899</v>
      </c>
      <c r="B994" s="24" t="inlineStr">
        <is>
          <t>PAMIDRONATE DISODIUM INJECTION, SOLUTION, CONCENTRATE PARENTERAL 9 mg/1mL 10 mL</t>
        </is>
      </c>
      <c r="C994" s="25">
        <f>IF(COUNTIF('کدهای پیام‌داروساز'!$A$2:$A$2442,A994)&gt;0,"بله","خیر")</f>
        <v/>
      </c>
    </row>
    <row r="995" ht="15" customHeight="1" s="14">
      <c r="A995" s="24" t="n">
        <v>1901</v>
      </c>
      <c r="B995" s="24" t="inlineStr">
        <is>
          <t>LATANOPROST SOLUTION, DROPS OPHTHALMIC 50 ug/1mL 2.5 mL</t>
        </is>
      </c>
      <c r="C995" s="25">
        <f>IF(COUNTIF('کدهای پیام‌داروساز'!$A$2:$A$2442,A995)&gt;0,"بله","خیر")</f>
        <v/>
      </c>
    </row>
    <row r="996" ht="15" customHeight="1" s="14">
      <c r="A996" s="24" t="n">
        <v>1905</v>
      </c>
      <c r="B996" s="24" t="inlineStr">
        <is>
          <t>CITALOPRAM TABLET ORAL 20 mg</t>
        </is>
      </c>
      <c r="C996" s="25">
        <f>IF(COUNTIF('کدهای پیام‌داروساز'!$A$2:$A$2442,A996)&gt;0,"بله","خیر")</f>
        <v/>
      </c>
    </row>
    <row r="997" ht="15" customHeight="1" s="14">
      <c r="A997" s="24" t="n">
        <v>1906</v>
      </c>
      <c r="B997" s="24" t="inlineStr">
        <is>
          <t>CITALOPRAM TABLET ORAL 40 mg</t>
        </is>
      </c>
      <c r="C997" s="25">
        <f>IF(COUNTIF('کدهای پیام‌داروساز'!$A$2:$A$2442,A997)&gt;0,"بله","خیر")</f>
        <v/>
      </c>
    </row>
    <row r="998" ht="15" customHeight="1" s="14">
      <c r="A998" s="24" t="n">
        <v>1907</v>
      </c>
      <c r="B998" s="24" t="inlineStr">
        <is>
          <t>OLANZAPINE TABLET ORAL 5 mg</t>
        </is>
      </c>
      <c r="C998" s="25">
        <f>IF(COUNTIF('کدهای پیام‌داروساز'!$A$2:$A$2442,A998)&gt;0,"بله","خیر")</f>
        <v/>
      </c>
    </row>
    <row r="999" ht="15" customHeight="1" s="14">
      <c r="A999" s="24" t="n">
        <v>1908</v>
      </c>
      <c r="B999" s="24" t="inlineStr">
        <is>
          <t>BUPROPION HYDROCHLORIDE TABLET ORAL 75 mg</t>
        </is>
      </c>
      <c r="C999" s="25">
        <f>IF(COUNTIF('کدهای پیام‌داروساز'!$A$2:$A$2442,A999)&gt;0,"بله","خیر")</f>
        <v/>
      </c>
    </row>
    <row r="1000" ht="15" customHeight="1" s="14">
      <c r="A1000" s="24" t="n">
        <v>1909</v>
      </c>
      <c r="B1000" s="24" t="inlineStr">
        <is>
          <t>BUPROPION HYDROCHLORIDE TABLET ORAL 100 mg</t>
        </is>
      </c>
      <c r="C1000" s="25">
        <f>IF(COUNTIF('کدهای پیام‌داروساز'!$A$2:$A$2442,A1000)&gt;0,"بله","خیر")</f>
        <v/>
      </c>
    </row>
    <row r="1001" ht="15" customHeight="1" s="14">
      <c r="A1001" s="24" t="n">
        <v>1910</v>
      </c>
      <c r="B1001" s="24" t="inlineStr">
        <is>
          <t>ATORVASTATIN (AS CALCIUM) TABLET ORAL 10 mg</t>
        </is>
      </c>
      <c r="C1001" s="25">
        <f>IF(COUNTIF('کدهای پیام‌داروساز'!$A$2:$A$2442,A1001)&gt;0,"بله","خیر")</f>
        <v/>
      </c>
    </row>
    <row r="1002" ht="15" customHeight="1" s="14">
      <c r="A1002" s="24" t="n">
        <v>1911</v>
      </c>
      <c r="B1002" s="24" t="inlineStr">
        <is>
          <t>ATORVASTATIN (AS CALCIUM) TABLET ORAL 20 mg</t>
        </is>
      </c>
      <c r="C1002" s="25">
        <f>IF(COUNTIF('کدهای پیام‌داروساز'!$A$2:$A$2442,A1002)&gt;0,"بله","خیر")</f>
        <v/>
      </c>
    </row>
    <row r="1003" ht="15" customHeight="1" s="14">
      <c r="A1003" s="24" t="n">
        <v>1912</v>
      </c>
      <c r="B1003" s="24" t="inlineStr">
        <is>
          <t>ATORVASTATIN (AS CALCIUM) TABLET ORAL 40 mg</t>
        </is>
      </c>
      <c r="C1003" s="25">
        <f>IF(COUNTIF('کدهای پیام‌داروساز'!$A$2:$A$2442,A1003)&gt;0,"بله","خیر")</f>
        <v/>
      </c>
    </row>
    <row r="1004" ht="15" customHeight="1" s="14">
      <c r="A1004" s="24" t="n">
        <v>1913</v>
      </c>
      <c r="B1004" s="24" t="inlineStr">
        <is>
          <t>CELECOXIB CAPSULE ORAL 100 mg</t>
        </is>
      </c>
      <c r="C1004" s="25">
        <f>IF(COUNTIF('کدهای پیام‌داروساز'!$A$2:$A$2442,A1004)&gt;0,"بله","خیر")</f>
        <v/>
      </c>
    </row>
    <row r="1005" ht="15" customHeight="1" s="14">
      <c r="A1005" s="24" t="n">
        <v>1915</v>
      </c>
      <c r="B1005" s="24" t="inlineStr">
        <is>
          <t>OXALIPLATIN INJECTION, POWDER, LYOPHILIZED, FOR SOLUTION PARENTERAL 50 mg</t>
        </is>
      </c>
      <c r="C1005" s="25">
        <f>IF(COUNTIF('کدهای پیام‌داروساز'!$A$2:$A$2442,A1005)&gt;0,"بله","خیر")</f>
        <v/>
      </c>
    </row>
    <row r="1006" ht="15" customHeight="1" s="14">
      <c r="A1006" s="24" t="n">
        <v>1916</v>
      </c>
      <c r="B1006" s="24" t="inlineStr">
        <is>
          <t>OXALIPLATIN INJECTION, POWDER, LYOPHILIZED, FOR SOLUTION PARENTERAL 100 mg</t>
        </is>
      </c>
      <c r="C1006" s="25">
        <f>IF(COUNTIF('کدهای پیام‌داروساز'!$A$2:$A$2442,A1006)&gt;0,"بله","خیر")</f>
        <v/>
      </c>
    </row>
    <row r="1007" ht="15" customHeight="1" s="14">
      <c r="A1007" s="24" t="n">
        <v>1917</v>
      </c>
      <c r="B1007" s="24" t="inlineStr">
        <is>
          <t>HYDROXYPROGESTERONE CAPROATE INJECTION PARENTERAL 250 mg/1mL 1 mL</t>
        </is>
      </c>
      <c r="C1007" s="25">
        <f>IF(COUNTIF('کدهای پیام‌داروساز'!$A$2:$A$2442,A1007)&gt;0,"بله","خیر")</f>
        <v/>
      </c>
    </row>
    <row r="1008" ht="15" customHeight="1" s="14">
      <c r="A1008" s="24" t="n">
        <v>1921</v>
      </c>
      <c r="B1008" s="24" t="inlineStr">
        <is>
          <t>RILUZOLE TABLET ORAL 50 mg</t>
        </is>
      </c>
      <c r="C1008" s="25">
        <f>IF(COUNTIF('کدهای پیام‌داروساز'!$A$2:$A$2442,A1008)&gt;0,"بله","خیر")</f>
        <v/>
      </c>
    </row>
    <row r="1009" ht="15" customHeight="1" s="14">
      <c r="A1009" s="24" t="n">
        <v>1922</v>
      </c>
      <c r="B1009" s="24" t="inlineStr">
        <is>
          <t>LETROZOLE TABLET ORAL 2.5 mg</t>
        </is>
      </c>
      <c r="C1009" s="25">
        <f>IF(COUNTIF('کدهای پیام‌داروساز'!$A$2:$A$2442,A1009)&gt;0,"بله","خیر")</f>
        <v/>
      </c>
    </row>
    <row r="1010" ht="15" customHeight="1" s="14">
      <c r="A1010" s="24" t="n">
        <v>1923</v>
      </c>
      <c r="B1010" s="24" t="inlineStr">
        <is>
          <t>TAMSULOSIN HYDROCHLORIDE CAPSULE, EXTENDED RELEASE ORAL 0.4 mg</t>
        </is>
      </c>
      <c r="C1010" s="25">
        <f>IF(COUNTIF('کدهای پیام‌داروساز'!$A$2:$A$2442,A1010)&gt;0,"بله","خیر")</f>
        <v/>
      </c>
    </row>
    <row r="1011" ht="15" customHeight="1" s="14">
      <c r="A1011" s="24" t="n">
        <v>1924</v>
      </c>
      <c r="B1011" s="24" t="inlineStr">
        <is>
          <t>CARVEDILOL TABLET ORAL 12.5 mg</t>
        </is>
      </c>
      <c r="C1011" s="25">
        <f>IF(COUNTIF('کدهای پیام‌داروساز'!$A$2:$A$2442,A1011)&gt;0,"بله","خیر")</f>
        <v/>
      </c>
    </row>
    <row r="1012" ht="15" customHeight="1" s="14">
      <c r="A1012" s="24" t="n">
        <v>1925</v>
      </c>
      <c r="B1012" s="24" t="inlineStr">
        <is>
          <t>CARVEDILOL TABLET ORAL 25 mg</t>
        </is>
      </c>
      <c r="C1012" s="25">
        <f>IF(COUNTIF('کدهای پیام‌داروساز'!$A$2:$A$2442,A1012)&gt;0,"بله","خیر")</f>
        <v/>
      </c>
    </row>
    <row r="1013" ht="15" customHeight="1" s="14">
      <c r="A1013" s="24" t="n">
        <v>1926</v>
      </c>
      <c r="B1013" s="24" t="inlineStr">
        <is>
          <t>RALOXIFENE HYDROCHLORIDE TABLET ORAL 60 mg</t>
        </is>
      </c>
      <c r="C1013" s="25">
        <f>IF(COUNTIF('کدهای پیام‌داروساز'!$A$2:$A$2442,A1013)&gt;0,"بله","خیر")</f>
        <v/>
      </c>
    </row>
    <row r="1014" ht="15" customHeight="1" s="14">
      <c r="A1014" s="24" t="n">
        <v>1927</v>
      </c>
      <c r="B1014" s="24" t="inlineStr">
        <is>
          <t>DONEPEZIL HYDROCHLORIDE TABLET ORAL 5 mg</t>
        </is>
      </c>
      <c r="C1014" s="25">
        <f>IF(COUNTIF('کدهای پیام‌داروساز'!$A$2:$A$2442,A1014)&gt;0,"بله","خیر")</f>
        <v/>
      </c>
    </row>
    <row r="1015" ht="15" customHeight="1" s="14">
      <c r="A1015" s="24" t="n">
        <v>1928</v>
      </c>
      <c r="B1015" s="24" t="inlineStr">
        <is>
          <t>DONEPEZIL HYDROCHLORIDE TABLET ORAL 10 mg</t>
        </is>
      </c>
      <c r="C1015" s="25">
        <f>IF(COUNTIF('کدهای پیام‌داروساز'!$A$2:$A$2442,A1015)&gt;0,"بله","خیر")</f>
        <v/>
      </c>
    </row>
    <row r="1016" ht="15" customHeight="1" s="14">
      <c r="A1016" s="24" t="n">
        <v>1930</v>
      </c>
      <c r="B1016" s="24" t="inlineStr">
        <is>
          <t>BRINZOLAMIDE SUSPENSION, DROPS OPHTHALMIC 1 % 5 mL</t>
        </is>
      </c>
      <c r="C1016" s="25">
        <f>IF(COUNTIF('کدهای پیام‌داروساز'!$A$2:$A$2442,A1016)&gt;0,"بله","خیر")</f>
        <v/>
      </c>
    </row>
    <row r="1017" ht="15" customHeight="1" s="14">
      <c r="A1017" s="24" t="n">
        <v>1932</v>
      </c>
      <c r="B1017" s="24" t="inlineStr">
        <is>
          <t>CELECOXIB CAPSULE ORAL 200 mg</t>
        </is>
      </c>
      <c r="C1017" s="25">
        <f>IF(COUNTIF('کدهای پیام‌داروساز'!$A$2:$A$2442,A1017)&gt;0,"بله","خیر")</f>
        <v/>
      </c>
    </row>
    <row r="1018" ht="15" customHeight="1" s="14">
      <c r="A1018" s="24" t="n">
        <v>1933</v>
      </c>
      <c r="B1018" s="24" t="inlineStr">
        <is>
          <t>LOSARTAN POTASSIUM TABLET ORAL 50 mg</t>
        </is>
      </c>
      <c r="C1018" s="25">
        <f>IF(COUNTIF('کدهای پیام‌داروساز'!$A$2:$A$2442,A1018)&gt;0,"بله","خیر")</f>
        <v/>
      </c>
    </row>
    <row r="1019" ht="15" customHeight="1" s="14">
      <c r="A1019" s="24" t="n">
        <v>1934</v>
      </c>
      <c r="B1019" s="24" t="inlineStr">
        <is>
          <t>SODIUM BENZOATE INJECTION PARENTERAL 200 mg/1mL 10 mL</t>
        </is>
      </c>
      <c r="C1019" s="25">
        <f>IF(COUNTIF('کدهای پیام‌داروساز'!$A$2:$A$2442,A1019)&gt;0,"بله","خیر")</f>
        <v/>
      </c>
    </row>
    <row r="1020" ht="15" customHeight="1" s="14">
      <c r="A1020" s="24" t="n">
        <v>1943</v>
      </c>
      <c r="B1020" s="24" t="inlineStr">
        <is>
          <t>ISOFLURANE INHALANT RESPIRATORY 100 % 100 mL</t>
        </is>
      </c>
      <c r="C1020" s="25">
        <f>IF(COUNTIF('کدهای پیام‌داروساز'!$A$2:$A$2442,A1020)&gt;0,"بله","خیر")</f>
        <v/>
      </c>
    </row>
    <row r="1021" ht="15" customHeight="1" s="14">
      <c r="A1021" s="24" t="n">
        <v>1947</v>
      </c>
      <c r="B1021" s="24" t="inlineStr">
        <is>
          <t>CLINDAMYCIN (AS PHOSPHATE) INJECTION PARENTERAL 150 mg/1mL 2 mL</t>
        </is>
      </c>
      <c r="C1021" s="25">
        <f>IF(COUNTIF('کدهای پیام‌داروساز'!$A$2:$A$2442,A1021)&gt;0,"بله","خیر")</f>
        <v/>
      </c>
    </row>
    <row r="1022" ht="15" customHeight="1" s="14">
      <c r="A1022" s="24" t="n">
        <v>1948</v>
      </c>
      <c r="B1022" s="24" t="inlineStr">
        <is>
          <t>FOLIC ACID TABLET ORAL 5 mg</t>
        </is>
      </c>
      <c r="C1022" s="25">
        <f>IF(COUNTIF('کدهای پیام‌داروساز'!$A$2:$A$2442,A1022)&gt;0,"بله","خیر")</f>
        <v/>
      </c>
    </row>
    <row r="1023" ht="15" customHeight="1" s="14">
      <c r="A1023" s="24" t="n">
        <v>1949</v>
      </c>
      <c r="B1023" s="24" t="inlineStr">
        <is>
          <t>PROPRANOLOL HYDROCHLORIDE INJECTION PARENTERAL 1 mg/1mL 1 mL</t>
        </is>
      </c>
      <c r="C1023" s="25">
        <f>IF(COUNTIF('کدهای پیام‌داروساز'!$A$2:$A$2442,A1023)&gt;0,"بله","خیر")</f>
        <v/>
      </c>
    </row>
    <row r="1024" ht="15" customHeight="1" s="14">
      <c r="A1024" s="24" t="n">
        <v>1950</v>
      </c>
      <c r="B1024" s="24" t="inlineStr">
        <is>
          <t>IOHEXOL INJECTION PARENTERAL 240 mg/1mL 100 mL</t>
        </is>
      </c>
      <c r="C1024" s="25">
        <f>IF(COUNTIF('کدهای پیام‌داروساز'!$A$2:$A$2442,A1024)&gt;0,"بله","خیر")</f>
        <v/>
      </c>
    </row>
    <row r="1025" ht="15" customHeight="1" s="14">
      <c r="A1025" s="24" t="n">
        <v>1951</v>
      </c>
      <c r="B1025" s="24" t="inlineStr">
        <is>
          <t>PROPOFOL INJECTION, EMULSION PARENTERAL 10 mg/1mL 50 mL</t>
        </is>
      </c>
      <c r="C1025" s="25">
        <f>IF(COUNTIF('کدهای پیام‌داروساز'!$A$2:$A$2442,A1025)&gt;0,"بله","خیر")</f>
        <v/>
      </c>
    </row>
    <row r="1026" ht="15" customHeight="1" s="14">
      <c r="A1026" s="24" t="n">
        <v>1952</v>
      </c>
      <c r="B1026" s="24" t="inlineStr">
        <is>
          <t>PROPOFOL INJECTION, EMULSION PARENTERAL 10 mg/1mL 100 mL</t>
        </is>
      </c>
      <c r="C1026" s="25">
        <f>IF(COUNTIF('کدهای پیام‌داروساز'!$A$2:$A$2442,A1026)&gt;0,"بله","خیر")</f>
        <v/>
      </c>
    </row>
    <row r="1027" ht="15" customHeight="1" s="14">
      <c r="A1027" s="24" t="n">
        <v>1956</v>
      </c>
      <c r="B1027" s="24" t="inlineStr">
        <is>
          <t>DEFEROXAMINE MESYLATE INJECTION, POWDER, LYOPHILIZED, FOR SOLUTION PARENTERAL 2 g</t>
        </is>
      </c>
      <c r="C1027" s="25">
        <f>IF(COUNTIF('کدهای پیام‌داروساز'!$A$2:$A$2442,A1027)&gt;0,"بله","خیر")</f>
        <v/>
      </c>
    </row>
    <row r="1028" ht="15" customHeight="1" s="14">
      <c r="A1028" s="24" t="n">
        <v>1980</v>
      </c>
      <c r="B1028" s="24" t="inlineStr">
        <is>
          <t>DESMOPRESSIN (AS ACETATE) TABLET ORAL 0.1 mg</t>
        </is>
      </c>
      <c r="C1028" s="25">
        <f>IF(COUNTIF('کدهای پیام‌داروساز'!$A$2:$A$2442,A1028)&gt;0,"بله","خیر")</f>
        <v/>
      </c>
    </row>
    <row r="1029" ht="15" customHeight="1" s="14">
      <c r="A1029" s="24" t="n">
        <v>1982</v>
      </c>
      <c r="B1029" s="24" t="inlineStr">
        <is>
          <t>TRAMADOL HYDROCHLORIDE CAPSULE ORAL 50 mg</t>
        </is>
      </c>
      <c r="C1029" s="25">
        <f>IF(COUNTIF('کدهای پیام‌داروساز'!$A$2:$A$2442,A1029)&gt;0,"بله","خیر")</f>
        <v/>
      </c>
    </row>
    <row r="1030" ht="15" customHeight="1" s="14">
      <c r="A1030" s="24" t="n">
        <v>1983</v>
      </c>
      <c r="B1030" s="24" t="inlineStr">
        <is>
          <t>BUPRENORPHINE (AS HYDROCHLORIDE) TABLET SUBLINGUAL 0.4 mg</t>
        </is>
      </c>
      <c r="C1030" s="25">
        <f>IF(COUNTIF('کدهای پیام‌داروساز'!$A$2:$A$2442,A1030)&gt;0,"بله","خیر")</f>
        <v/>
      </c>
    </row>
    <row r="1031" ht="15" customHeight="1" s="14">
      <c r="A1031" s="24" t="n">
        <v>1987</v>
      </c>
      <c r="B1031" s="24" t="inlineStr">
        <is>
          <t>FENTANYL PATCH TRANSDERMAL 25 ug/1h</t>
        </is>
      </c>
      <c r="C1031" s="25">
        <f>IF(COUNTIF('کدهای پیام‌داروساز'!$A$2:$A$2442,A1031)&gt;0,"بله","خیر")</f>
        <v/>
      </c>
    </row>
    <row r="1032" ht="15" customHeight="1" s="14">
      <c r="A1032" s="24" t="n">
        <v>1988</v>
      </c>
      <c r="B1032" s="24" t="inlineStr">
        <is>
          <t>FENTANYL PATCH TRANSDERMAL 50 ug/1h</t>
        </is>
      </c>
      <c r="C1032" s="25">
        <f>IF(COUNTIF('کدهای پیام‌داروساز'!$A$2:$A$2442,A1032)&gt;0,"بله","خیر")</f>
        <v/>
      </c>
    </row>
    <row r="1033" ht="15" customHeight="1" s="14">
      <c r="A1033" s="24" t="n">
        <v>1990</v>
      </c>
      <c r="B1033" s="24" t="inlineStr">
        <is>
          <t>MEASLES / RUBELLA VACCINE INJECTION, POWDER, LYOPHILIZED, FOR SOLUTION PARENTERAL 10 {dose} 5 mL</t>
        </is>
      </c>
      <c r="C1033" s="25">
        <f>IF(COUNTIF('کدهای پیام‌داروساز'!$A$2:$A$2442,A1033)&gt;0,"بله","خیر")</f>
        <v/>
      </c>
    </row>
    <row r="1034" ht="15" customHeight="1" s="14">
      <c r="A1034" s="24" t="n">
        <v>1991</v>
      </c>
      <c r="B1034" s="24" t="inlineStr">
        <is>
          <t>LAMOTRIGINE TABLET ORAL 25 mg</t>
        </is>
      </c>
      <c r="C1034" s="25">
        <f>IF(COUNTIF('کدهای پیام‌داروساز'!$A$2:$A$2442,A1034)&gt;0,"بله","خیر")</f>
        <v/>
      </c>
    </row>
    <row r="1035" ht="15" customHeight="1" s="14">
      <c r="A1035" s="24" t="n">
        <v>1993</v>
      </c>
      <c r="B1035" s="24" t="inlineStr">
        <is>
          <t>DICLOFENAC SODIUM CAPSULE, EXTENDED RELEASE ORAL 100 mg</t>
        </is>
      </c>
      <c r="C1035" s="25">
        <f>IF(COUNTIF('کدهای پیام‌داروساز'!$A$2:$A$2442,A1035)&gt;0,"بله","خیر")</f>
        <v/>
      </c>
    </row>
    <row r="1036" ht="15" customHeight="1" s="14">
      <c r="A1036" s="24" t="n">
        <v>1995</v>
      </c>
      <c r="B1036" s="24" t="inlineStr">
        <is>
          <t>DOXEPIN TABLET ORAL 10 mg</t>
        </is>
      </c>
      <c r="C1036" s="25">
        <f>IF(COUNTIF('کدهای پیام‌داروساز'!$A$2:$A$2442,A1036)&gt;0,"بله","خیر")</f>
        <v/>
      </c>
    </row>
    <row r="1037" ht="15" customHeight="1" s="14">
      <c r="A1037" s="24" t="n">
        <v>1996</v>
      </c>
      <c r="B1037" s="24" t="inlineStr">
        <is>
          <t>DOXEPIN TABLET ORAL 25 mg</t>
        </is>
      </c>
      <c r="C1037" s="25">
        <f>IF(COUNTIF('کدهای پیام‌داروساز'!$A$2:$A$2442,A1037)&gt;0,"بله","خیر")</f>
        <v/>
      </c>
    </row>
    <row r="1038" ht="15" customHeight="1" s="14">
      <c r="A1038" s="24" t="n">
        <v>1998</v>
      </c>
      <c r="B1038" s="24" t="inlineStr">
        <is>
          <t>RIVASTIGMINE (AS HYDROGEN TARTRATE) CAPSULE ORAL 1.5 mg</t>
        </is>
      </c>
      <c r="C1038" s="25">
        <f>IF(COUNTIF('کدهای پیام‌داروساز'!$A$2:$A$2442,A1038)&gt;0,"بله","خیر")</f>
        <v/>
      </c>
    </row>
    <row r="1039" ht="15" customHeight="1" s="14">
      <c r="A1039" s="24" t="n">
        <v>1999</v>
      </c>
      <c r="B1039" s="24" t="inlineStr">
        <is>
          <t>RIVASTIGMINE (AS HYDROGEN TARTRATE) CAPSULE ORAL 3 mg</t>
        </is>
      </c>
      <c r="C1039" s="25">
        <f>IF(COUNTIF('کدهای پیام‌داروساز'!$A$2:$A$2442,A1039)&gt;0,"بله","خیر")</f>
        <v/>
      </c>
    </row>
    <row r="1040" ht="15" customHeight="1" s="14">
      <c r="A1040" s="24" t="n">
        <v>2000</v>
      </c>
      <c r="B1040" s="24" t="inlineStr">
        <is>
          <t>RIVASTIGMINE (AS HYDROGEN TARTRATE) CAPSULE ORAL 4.5 mg</t>
        </is>
      </c>
      <c r="C1040" s="25">
        <f>IF(COUNTIF('کدهای پیام‌داروساز'!$A$2:$A$2442,A1040)&gt;0,"بله","خیر")</f>
        <v/>
      </c>
    </row>
    <row r="1041" ht="15" customHeight="1" s="14">
      <c r="A1041" s="24" t="n">
        <v>2001</v>
      </c>
      <c r="B1041" s="24" t="inlineStr">
        <is>
          <t>ROPINIROLE (AS HYDROCHLORIDE) TABLET ORAL 0.25 mg</t>
        </is>
      </c>
      <c r="C1041" s="25">
        <f>IF(COUNTIF('کدهای پیام‌داروساز'!$A$2:$A$2442,A1041)&gt;0,"بله","خیر")</f>
        <v/>
      </c>
    </row>
    <row r="1042" ht="15" customHeight="1" s="14">
      <c r="A1042" s="24" t="n">
        <v>2002</v>
      </c>
      <c r="B1042" s="24" t="inlineStr">
        <is>
          <t>ROPINIROLE (AS HYDROCHLORIDE) TABLET ORAL 1 mg</t>
        </is>
      </c>
      <c r="C1042" s="25">
        <f>IF(COUNTIF('کدهای پیام‌داروساز'!$A$2:$A$2442,A1042)&gt;0,"بله","خیر")</f>
        <v/>
      </c>
    </row>
    <row r="1043" ht="15" customHeight="1" s="14">
      <c r="A1043" s="24" t="n">
        <v>2003</v>
      </c>
      <c r="B1043" s="24" t="inlineStr">
        <is>
          <t>ROPINIROLE (AS HYDROCHLORIDE) TABLET ORAL 5 mg</t>
        </is>
      </c>
      <c r="C1043" s="25">
        <f>IF(COUNTIF('کدهای پیام‌داروساز'!$A$2:$A$2442,A1043)&gt;0,"بله","خیر")</f>
        <v/>
      </c>
    </row>
    <row r="1044" ht="15" customHeight="1" s="14">
      <c r="A1044" s="24" t="n">
        <v>2004</v>
      </c>
      <c r="B1044" s="24" t="inlineStr">
        <is>
          <t>SUMATRIPTAN (AS SUCCINATE) TABLET ORAL 50 mg</t>
        </is>
      </c>
      <c r="C1044" s="25">
        <f>IF(COUNTIF('کدهای پیام‌داروساز'!$A$2:$A$2442,A1044)&gt;0,"بله","خیر")</f>
        <v/>
      </c>
    </row>
    <row r="1045" ht="15" customHeight="1" s="14">
      <c r="A1045" s="24" t="n">
        <v>2005</v>
      </c>
      <c r="B1045" s="24" t="inlineStr">
        <is>
          <t>SUMATRIPTAN (AS SUCCINATE) TABLET ORAL 100 mg</t>
        </is>
      </c>
      <c r="C1045" s="25">
        <f>IF(COUNTIF('کدهای پیام‌داروساز'!$A$2:$A$2442,A1045)&gt;0,"بله","خیر")</f>
        <v/>
      </c>
    </row>
    <row r="1046" ht="15" customHeight="1" s="14">
      <c r="A1046" s="24" t="n">
        <v>2006</v>
      </c>
      <c r="B1046" s="24" t="inlineStr">
        <is>
          <t>HYDROQUINONE CREAM TOPICAL 4 % 30 g</t>
        </is>
      </c>
      <c r="C1046" s="25">
        <f>IF(COUNTIF('کدهای پیام‌داروساز'!$A$2:$A$2442,A1046)&gt;0,"بله","خیر")</f>
        <v/>
      </c>
    </row>
    <row r="1047" ht="15" customHeight="1" s="14">
      <c r="A1047" s="24" t="n">
        <v>2009</v>
      </c>
      <c r="B1047" s="24" t="inlineStr">
        <is>
          <t>OFLOXACIN TABLET ORAL 300 mg</t>
        </is>
      </c>
      <c r="C1047" s="25">
        <f>IF(COUNTIF('کدهای پیام‌داروساز'!$A$2:$A$2442,A1047)&gt;0,"بله","خیر")</f>
        <v/>
      </c>
    </row>
    <row r="1048" ht="15" customHeight="1" s="14">
      <c r="A1048" s="24" t="n">
        <v>2011</v>
      </c>
      <c r="B1048" s="24" t="inlineStr">
        <is>
          <t>LORATADINE SYRUP ORAL 5 mg/5 mL 60 mL</t>
        </is>
      </c>
      <c r="C1048" s="25">
        <f>IF(COUNTIF('کدهای پیام‌داروساز'!$A$2:$A$2442,A1048)&gt;0,"بله","خیر")</f>
        <v/>
      </c>
    </row>
    <row r="1049" ht="15" customHeight="1" s="14">
      <c r="A1049" s="24" t="n">
        <v>2012</v>
      </c>
      <c r="B1049" s="24" t="inlineStr">
        <is>
          <t>ACETAMINOPHEN TABLET ORAL 500 mg</t>
        </is>
      </c>
      <c r="C1049" s="25">
        <f>IF(COUNTIF('کدهای پیام‌داروساز'!$A$2:$A$2442,A1049)&gt;0,"بله","خیر")</f>
        <v/>
      </c>
    </row>
    <row r="1050" ht="15" customHeight="1" s="14">
      <c r="A1050" s="24" t="n">
        <v>2014</v>
      </c>
      <c r="B1050" s="24" t="inlineStr">
        <is>
          <t>CHLORPHENIRAMINE MALEATE SYRUP ORAL 2 mg/5 mL 60 mL</t>
        </is>
      </c>
      <c r="C1050" s="25">
        <f>IF(COUNTIF('کدهای پیام‌داروساز'!$A$2:$A$2442,A1050)&gt;0,"بله","خیر")</f>
        <v/>
      </c>
    </row>
    <row r="1051" ht="15" customHeight="1" s="14">
      <c r="A1051" s="24" t="n">
        <v>2015</v>
      </c>
      <c r="B1051" s="24" t="inlineStr">
        <is>
          <t>ACARBOSE TABLET ORAL 100 mg</t>
        </is>
      </c>
      <c r="C1051" s="25">
        <f>IF(COUNTIF('کدهای پیام‌داروساز'!$A$2:$A$2442,A1051)&gt;0,"بله","خیر")</f>
        <v/>
      </c>
    </row>
    <row r="1052" ht="15" customHeight="1" s="14">
      <c r="A1052" s="24" t="n">
        <v>2016</v>
      </c>
      <c r="B1052" s="24" t="inlineStr">
        <is>
          <t>ACARBOSE TABLET ORAL 50 mg</t>
        </is>
      </c>
      <c r="C1052" s="25">
        <f>IF(COUNTIF('کدهای پیام‌داروساز'!$A$2:$A$2442,A1052)&gt;0,"بله","خیر")</f>
        <v/>
      </c>
    </row>
    <row r="1053" ht="15" customHeight="1" s="14">
      <c r="A1053" s="24" t="n">
        <v>2017</v>
      </c>
      <c r="B1053" s="24" t="inlineStr">
        <is>
          <t>ALLOPURINOL TABLET ORAL 300 mg</t>
        </is>
      </c>
      <c r="C1053" s="25">
        <f>IF(COUNTIF('کدهای پیام‌داروساز'!$A$2:$A$2442,A1053)&gt;0,"بله","خیر")</f>
        <v/>
      </c>
    </row>
    <row r="1054" ht="15" customHeight="1" s="14">
      <c r="A1054" s="24" t="n">
        <v>2020</v>
      </c>
      <c r="B1054" s="24" t="inlineStr">
        <is>
          <t>AMOXICILLIN TABLET, CHEWABLE ORAL 250 mg</t>
        </is>
      </c>
      <c r="C1054" s="25">
        <f>IF(COUNTIF('کدهای پیام‌داروساز'!$A$2:$A$2442,A1054)&gt;0,"بله","خیر")</f>
        <v/>
      </c>
    </row>
    <row r="1055" ht="15" customHeight="1" s="14">
      <c r="A1055" s="24" t="n">
        <v>2021</v>
      </c>
      <c r="B1055" s="24" t="inlineStr">
        <is>
          <t>AMOXICILLIN TABLET ORAL 500 mg</t>
        </is>
      </c>
      <c r="C1055" s="25">
        <f>IF(COUNTIF('کدهای پیام‌داروساز'!$A$2:$A$2442,A1055)&gt;0,"بله","خیر")</f>
        <v/>
      </c>
    </row>
    <row r="1056" ht="15" customHeight="1" s="14">
      <c r="A1056" s="24" t="n">
        <v>2027</v>
      </c>
      <c r="B1056" s="24" t="inlineStr">
        <is>
          <t>BENZYDAMINE HYDROCHLORIDE MOUTHWASH IRRIGATION 0.15 % 240 mL</t>
        </is>
      </c>
      <c r="C1056" s="25">
        <f>IF(COUNTIF('کدهای پیام‌داروساز'!$A$2:$A$2442,A1056)&gt;0,"بله","خیر")</f>
        <v/>
      </c>
    </row>
    <row r="1057" ht="15" customHeight="1" s="14">
      <c r="A1057" s="24" t="n">
        <v>2029</v>
      </c>
      <c r="B1057" s="24" t="inlineStr">
        <is>
          <t>CEFUROXIME (AS AXETIL) TABLET ORAL 125 mg</t>
        </is>
      </c>
      <c r="C1057" s="25">
        <f>IF(COUNTIF('کدهای پیام‌داروساز'!$A$2:$A$2442,A1057)&gt;0,"بله","خیر")</f>
        <v/>
      </c>
    </row>
    <row r="1058" ht="15" customHeight="1" s="14">
      <c r="A1058" s="24" t="n">
        <v>2031</v>
      </c>
      <c r="B1058" s="24" t="inlineStr">
        <is>
          <t>CEFUROXIME (AS AXETIL) TABLET ORAL 250 mg</t>
        </is>
      </c>
      <c r="C1058" s="25">
        <f>IF(COUNTIF('کدهای پیام‌داروساز'!$A$2:$A$2442,A1058)&gt;0,"بله","خیر")</f>
        <v/>
      </c>
    </row>
    <row r="1059" ht="15" customHeight="1" s="14">
      <c r="A1059" s="24" t="n">
        <v>2032</v>
      </c>
      <c r="B1059" s="24" t="inlineStr">
        <is>
          <t>CEFUROXIME (AS AXETIL) TABLET ORAL 500 mg</t>
        </is>
      </c>
      <c r="C1059" s="25">
        <f>IF(COUNTIF('کدهای پیام‌داروساز'!$A$2:$A$2442,A1059)&gt;0,"بله","خیر")</f>
        <v/>
      </c>
    </row>
    <row r="1060" ht="15" customHeight="1" s="14">
      <c r="A1060" s="24" t="n">
        <v>2033</v>
      </c>
      <c r="B1060" s="24" t="inlineStr">
        <is>
          <t>BUPROPION HYDROCHLORIDE TABLET, EXTENDED RELEASE ORAL 150 mg</t>
        </is>
      </c>
      <c r="C1060" s="25">
        <f>IF(COUNTIF('کدهای پیام‌داروساز'!$A$2:$A$2442,A1060)&gt;0,"بله","خیر")</f>
        <v/>
      </c>
    </row>
    <row r="1061" ht="15" customHeight="1" s="14">
      <c r="A1061" s="24" t="n">
        <v>2034</v>
      </c>
      <c r="B1061" s="24" t="inlineStr">
        <is>
          <t>CLARITHROMYCIN TABLET ORAL 500 mg</t>
        </is>
      </c>
      <c r="C1061" s="25">
        <f>IF(COUNTIF('کدهای پیام‌داروساز'!$A$2:$A$2442,A1061)&gt;0,"بله","خیر")</f>
        <v/>
      </c>
    </row>
    <row r="1062" ht="15" customHeight="1" s="14">
      <c r="A1062" s="24" t="n">
        <v>2035</v>
      </c>
      <c r="B1062" s="24" t="inlineStr">
        <is>
          <t>OLANZAPINE TABLET ORAL 10 mg</t>
        </is>
      </c>
      <c r="C1062" s="25">
        <f>IF(COUNTIF('کدهای پیام‌داروساز'!$A$2:$A$2442,A1062)&gt;0,"بله","خیر")</f>
        <v/>
      </c>
    </row>
    <row r="1063" ht="15" customHeight="1" s="14">
      <c r="A1063" s="24" t="n">
        <v>2040</v>
      </c>
      <c r="B1063" s="24" t="inlineStr">
        <is>
          <t>DEXTROSE / SODIUM CHLORIDE INJECTION, SOLUTION INTRAVENOUS 5 %/0.9 % 250 mL</t>
        </is>
      </c>
      <c r="C1063" s="25">
        <f>IF(COUNTIF('کدهای پیام‌داروساز'!$A$2:$A$2442,A1063)&gt;0,"بله","خیر")</f>
        <v/>
      </c>
    </row>
    <row r="1064" ht="15" customHeight="1" s="14">
      <c r="A1064" s="24" t="n">
        <v>2041</v>
      </c>
      <c r="B1064" s="24" t="inlineStr">
        <is>
          <t>DICLOFENAC SODIUM TABLET, DELAYED RELEASE ORAL 50 mg</t>
        </is>
      </c>
      <c r="C1064" s="25">
        <f>IF(COUNTIF('کدهای پیام‌داروساز'!$A$2:$A$2442,A1064)&gt;0,"بله","خیر")</f>
        <v/>
      </c>
    </row>
    <row r="1065" ht="15" customHeight="1" s="14">
      <c r="A1065" s="24" t="n">
        <v>2043</v>
      </c>
      <c r="B1065" s="24" t="inlineStr">
        <is>
          <t>ENOXAPARIN SODIUM INJECTION PARENTERAL 100 mg/1mL 0.4 mL</t>
        </is>
      </c>
      <c r="C1065" s="25">
        <f>IF(COUNTIF('کدهای پیام‌داروساز'!$A$2:$A$2442,A1065)&gt;0,"بله","خیر")</f>
        <v/>
      </c>
    </row>
    <row r="1066" ht="15" customHeight="1" s="14">
      <c r="A1066" s="24" t="n">
        <v>2045</v>
      </c>
      <c r="B1066" s="24" t="inlineStr">
        <is>
          <t>ESTRADIOL GEL TOPICAL 0.06 % 80 g</t>
        </is>
      </c>
      <c r="C1066" s="25">
        <f>IF(COUNTIF('کدهای پیام‌داروساز'!$A$2:$A$2442,A1066)&gt;0,"بله","خیر")</f>
        <v/>
      </c>
    </row>
    <row r="1067" ht="15" customHeight="1" s="14">
      <c r="A1067" s="24" t="n">
        <v>2051</v>
      </c>
      <c r="B1067" s="24" t="inlineStr">
        <is>
          <t>FLUOXETINE (AS HYDROCHLORIDE) SYRUP ORAL 4 mg/1mL 60 mL</t>
        </is>
      </c>
      <c r="C1067" s="25">
        <f>IF(COUNTIF('کدهای پیام‌داروساز'!$A$2:$A$2442,A1067)&gt;0,"بله","خیر")</f>
        <v/>
      </c>
    </row>
    <row r="1068" ht="15" customHeight="1" s="14">
      <c r="A1068" s="24" t="n">
        <v>2052</v>
      </c>
      <c r="B1068" s="24" t="inlineStr">
        <is>
          <t>FLUTICASONE PROPIONATE INHALANT RESPIRATORY 250 ug/1{dose} 60 {Puff}</t>
        </is>
      </c>
      <c r="C1068" s="25">
        <f>IF(COUNTIF('کدهای پیام‌داروساز'!$A$2:$A$2442,A1068)&gt;0,"بله","خیر")</f>
        <v/>
      </c>
    </row>
    <row r="1069" ht="15" customHeight="1" s="14">
      <c r="A1069" s="24" t="n">
        <v>2053</v>
      </c>
      <c r="B1069" s="24" t="inlineStr">
        <is>
          <t>FLUTICASONE PROPIONATE INHALANT RESPIRATORY 50 ug/1{dose} 120 {Puff}</t>
        </is>
      </c>
      <c r="C1069" s="25">
        <f>IF(COUNTIF('کدهای پیام‌داروساز'!$A$2:$A$2442,A1069)&gt;0,"بله","خیر")</f>
        <v/>
      </c>
    </row>
    <row r="1070" ht="15" customHeight="1" s="14">
      <c r="A1070" s="24" t="n">
        <v>2054</v>
      </c>
      <c r="B1070" s="24" t="inlineStr">
        <is>
          <t>GLYCERIN SUPPOSITORY RECTAL 1 g</t>
        </is>
      </c>
      <c r="C1070" s="25">
        <f>IF(COUNTIF('کدهای پیام‌داروساز'!$A$2:$A$2442,A1070)&gt;0,"بله","خیر")</f>
        <v/>
      </c>
    </row>
    <row r="1071" ht="15" customHeight="1" s="14">
      <c r="A1071" s="24" t="n">
        <v>2055</v>
      </c>
      <c r="B1071" s="24" t="inlineStr">
        <is>
          <t>GLYCERIN SUPPOSITORY RECTAL 2 g</t>
        </is>
      </c>
      <c r="C1071" s="25">
        <f>IF(COUNTIF('کدهای پیام‌داروساز'!$A$2:$A$2442,A1071)&gt;0,"بله","خیر")</f>
        <v/>
      </c>
    </row>
    <row r="1072" ht="15" customHeight="1" s="14">
      <c r="A1072" s="24" t="n">
        <v>2056</v>
      </c>
      <c r="B1072" s="24" t="inlineStr">
        <is>
          <t>HYDROCORTISONE ACETATE CREAM TOPICAL 1 % 15 g</t>
        </is>
      </c>
      <c r="C1072" s="25">
        <f>IF(COUNTIF('کدهای پیام‌داروساز'!$A$2:$A$2442,A1072)&gt;0,"بله","خیر")</f>
        <v/>
      </c>
    </row>
    <row r="1073" ht="15" customHeight="1" s="14">
      <c r="A1073" s="24" t="n">
        <v>2059</v>
      </c>
      <c r="B1073" s="24" t="inlineStr">
        <is>
          <t>IOHEXOL INJECTION PARENTERAL 300 mg/1mL 50 mL</t>
        </is>
      </c>
      <c r="C1073" s="25">
        <f>IF(COUNTIF('کدهای پیام‌داروساز'!$A$2:$A$2442,A1073)&gt;0,"بله","خیر")</f>
        <v/>
      </c>
    </row>
    <row r="1074" ht="15" customHeight="1" s="14">
      <c r="A1074" s="24" t="n">
        <v>2060</v>
      </c>
      <c r="B1074" s="24" t="inlineStr">
        <is>
          <t>IOHEXOL INJECTION PARENTERAL 300 mg/1mL 100 mL</t>
        </is>
      </c>
      <c r="C1074" s="25">
        <f>IF(COUNTIF('کدهای پیام‌داروساز'!$A$2:$A$2442,A1074)&gt;0,"بله","خیر")</f>
        <v/>
      </c>
    </row>
    <row r="1075" ht="15" customHeight="1" s="14">
      <c r="A1075" s="24" t="n">
        <v>2062</v>
      </c>
      <c r="B1075" s="24" t="inlineStr">
        <is>
          <t>IOHEXOL INJECTION PARENTERAL 350 mg/1mL 50 mL</t>
        </is>
      </c>
      <c r="C1075" s="25">
        <f>IF(COUNTIF('کدهای پیام‌داروساز'!$A$2:$A$2442,A1075)&gt;0,"بله","خیر")</f>
        <v/>
      </c>
    </row>
    <row r="1076" ht="15" customHeight="1" s="14">
      <c r="A1076" s="24" t="n">
        <v>2063</v>
      </c>
      <c r="B1076" s="24" t="inlineStr">
        <is>
          <t>IOHEXOL INJECTION PARENTERAL 350 mg/1mL 100 mL</t>
        </is>
      </c>
      <c r="C1076" s="25">
        <f>IF(COUNTIF('کدهای پیام‌داروساز'!$A$2:$A$2442,A1076)&gt;0,"بله","خیر")</f>
        <v/>
      </c>
    </row>
    <row r="1077" ht="15" customHeight="1" s="14">
      <c r="A1077" s="24" t="n">
        <v>2066</v>
      </c>
      <c r="B1077" s="24" t="inlineStr">
        <is>
          <t>LAMIVUDINE SOLUTION ORAL 10 mg/1mL 100 mL</t>
        </is>
      </c>
      <c r="C1077" s="25">
        <f>IF(COUNTIF('کدهای پیام‌داروساز'!$A$2:$A$2442,A1077)&gt;0,"بله","خیر")</f>
        <v/>
      </c>
    </row>
    <row r="1078" ht="15" customHeight="1" s="14">
      <c r="A1078" s="24" t="n">
        <v>2067</v>
      </c>
      <c r="B1078" s="24" t="inlineStr">
        <is>
          <t>LEVOTHYROXINE SODIUM TABLET ORAL 50 ug</t>
        </is>
      </c>
      <c r="C1078" s="25">
        <f>IF(COUNTIF('کدهای پیام‌داروساز'!$A$2:$A$2442,A1078)&gt;0,"بله","خیر")</f>
        <v/>
      </c>
    </row>
    <row r="1079" ht="15" customHeight="1" s="14">
      <c r="A1079" s="24" t="n">
        <v>2070</v>
      </c>
      <c r="B1079" s="24" t="inlineStr">
        <is>
          <t>MEQUINOL OINTMENT TOPICAL 10 % 30 g</t>
        </is>
      </c>
      <c r="C1079" s="25">
        <f>IF(COUNTIF('کدهای پیام‌داروساز'!$A$2:$A$2442,A1079)&gt;0,"بله","خیر")</f>
        <v/>
      </c>
    </row>
    <row r="1080" ht="15" customHeight="1" s="14">
      <c r="A1080" s="24" t="n">
        <v>2071</v>
      </c>
      <c r="B1080" s="24" t="inlineStr">
        <is>
          <t>MEQUINOL / TRETINOIN SOLUTION TOPICAL 2 %/0.01 % 60 mL</t>
        </is>
      </c>
      <c r="C1080" s="25">
        <f>IF(COUNTIF('کدهای پیام‌داروساز'!$A$2:$A$2442,A1080)&gt;0,"بله","خیر")</f>
        <v/>
      </c>
    </row>
    <row r="1081" ht="15" customHeight="1" s="14">
      <c r="A1081" s="24" t="n">
        <v>2073</v>
      </c>
      <c r="B1081" s="24" t="inlineStr">
        <is>
          <t>METOPROLOL TARTRATE INJECTION PARENTERAL 1 mg/1mL 5 mL</t>
        </is>
      </c>
      <c r="C1081" s="25">
        <f>IF(COUNTIF('کدهای پیام‌داروساز'!$A$2:$A$2442,A1081)&gt;0,"بله","خیر")</f>
        <v/>
      </c>
    </row>
    <row r="1082" ht="15" customHeight="1" s="14">
      <c r="A1082" s="24" t="n">
        <v>2074</v>
      </c>
      <c r="B1082" s="24" t="inlineStr">
        <is>
          <t>METRONIDAZOLE GEL VAGINAL 0.75 % 70 g</t>
        </is>
      </c>
      <c r="C1082" s="25">
        <f>IF(COUNTIF('کدهای پیام‌داروساز'!$A$2:$A$2442,A1082)&gt;0,"بله","خیر")</f>
        <v/>
      </c>
    </row>
    <row r="1083" ht="15" customHeight="1" s="14">
      <c r="A1083" s="24" t="n">
        <v>2076</v>
      </c>
      <c r="B1083" s="24" t="inlineStr">
        <is>
          <t>NAPROXEN SUPPOSITORY RECTAL 500 mg</t>
        </is>
      </c>
      <c r="C1083" s="25">
        <f>IF(COUNTIF('کدهای پیام‌داروساز'!$A$2:$A$2442,A1083)&gt;0,"بله","خیر")</f>
        <v/>
      </c>
    </row>
    <row r="1084" ht="15" customHeight="1" s="14">
      <c r="A1084" s="24" t="n">
        <v>2079</v>
      </c>
      <c r="B1084" s="24" t="inlineStr">
        <is>
          <t>ARSENIC TRIOXIDE INJECTION PARENTERAL 0.1 % 10 mL</t>
        </is>
      </c>
      <c r="C1084" s="25">
        <f>IF(COUNTIF('کدهای پیام‌داروساز'!$A$2:$A$2442,A1084)&gt;0,"بله","خیر")</f>
        <v/>
      </c>
    </row>
    <row r="1085" ht="15" customHeight="1" s="14">
      <c r="A1085" s="24" t="n">
        <v>2080</v>
      </c>
      <c r="B1085" s="24" t="inlineStr">
        <is>
          <t>IMIGLUCERASE INJECTION, POWDER, FOR SOLUTION PARENTERAL 200 [iU]</t>
        </is>
      </c>
      <c r="C1085" s="25">
        <f>IF(COUNTIF('کدهای پیام‌داروساز'!$A$2:$A$2442,A1085)&gt;0,"بله","خیر")</f>
        <v/>
      </c>
    </row>
    <row r="1086" ht="15" customHeight="1" s="14">
      <c r="A1086" s="24" t="n">
        <v>2081</v>
      </c>
      <c r="B1086" s="24" t="inlineStr">
        <is>
          <t>PIPERACILLIN (AS SODIUM) / TAZOBACTAM (AS SODIUM) INJECTION, POWDER, FOR SOLUTION PARENTERAL 2 g/0.25 g</t>
        </is>
      </c>
      <c r="C1086" s="25">
        <f>IF(COUNTIF('کدهای پیام‌داروساز'!$A$2:$A$2442,A1086)&gt;0,"بله","خیر")</f>
        <v/>
      </c>
    </row>
    <row r="1087" ht="15" customHeight="1" s="14">
      <c r="A1087" s="24" t="n">
        <v>2082</v>
      </c>
      <c r="B1087" s="24" t="inlineStr">
        <is>
          <t>PROGESTERONE SUPPOSITORY VAGINAL 400 mg</t>
        </is>
      </c>
      <c r="C1087" s="25">
        <f>IF(COUNTIF('کدهای پیام‌داروساز'!$A$2:$A$2442,A1087)&gt;0,"بله","خیر")</f>
        <v/>
      </c>
    </row>
    <row r="1088" ht="15" customHeight="1" s="14">
      <c r="A1088" s="24" t="n">
        <v>2083</v>
      </c>
      <c r="B1088" s="24" t="inlineStr">
        <is>
          <t>TACROLIMUS CAPSULE ORAL 1 mg</t>
        </is>
      </c>
      <c r="C1088" s="25">
        <f>IF(COUNTIF('کدهای پیام‌داروساز'!$A$2:$A$2442,A1088)&gt;0,"بله","خیر")</f>
        <v/>
      </c>
    </row>
    <row r="1089" ht="15" customHeight="1" s="14">
      <c r="A1089" s="24" t="n">
        <v>2084</v>
      </c>
      <c r="B1089" s="24" t="inlineStr">
        <is>
          <t>TACROLIMUS CAPSULE ORAL 5 mg</t>
        </is>
      </c>
      <c r="C1089" s="25">
        <f>IF(COUNTIF('کدهای پیام‌داروساز'!$A$2:$A$2442,A1089)&gt;0,"بله","خیر")</f>
        <v/>
      </c>
    </row>
    <row r="1090" ht="15" customHeight="1" s="14">
      <c r="A1090" s="24" t="n">
        <v>2087</v>
      </c>
      <c r="B1090" s="24" t="inlineStr">
        <is>
          <t>TACROLIMUS INJECTION, SOLUTION, CONCENTRATE PARENTERAL 5 mg/1mL</t>
        </is>
      </c>
      <c r="C1090" s="25">
        <f>IF(COUNTIF('کدهای پیام‌داروساز'!$A$2:$A$2442,A1090)&gt;0,"بله","خیر")</f>
        <v/>
      </c>
    </row>
    <row r="1091" ht="15" customHeight="1" s="14">
      <c r="A1091" s="24" t="n">
        <v>2089</v>
      </c>
      <c r="B1091" s="24" t="inlineStr">
        <is>
          <t>IRINOTECAN HYDROCHLORIDE INJECTION, SOLUTION, CONCENTRATE PARENTERAL 20 mg/1mL 2 mL</t>
        </is>
      </c>
      <c r="C1091" s="25">
        <f>IF(COUNTIF('کدهای پیام‌داروساز'!$A$2:$A$2442,A1091)&gt;0,"بله","خیر")</f>
        <v/>
      </c>
    </row>
    <row r="1092" ht="15" customHeight="1" s="14">
      <c r="A1092" s="24" t="n">
        <v>2090</v>
      </c>
      <c r="B1092" s="24" t="inlineStr">
        <is>
          <t>IRINOTECAN HYDROCHLORIDE INJECTION, SOLUTION, CONCENTRATE PARENTERAL 20 mg/1mL 5 mL</t>
        </is>
      </c>
      <c r="C1092" s="25">
        <f>IF(COUNTIF('کدهای پیام‌داروساز'!$A$2:$A$2442,A1092)&gt;0,"بله","خیر")</f>
        <v/>
      </c>
    </row>
    <row r="1093" ht="15" customHeight="1" s="14">
      <c r="A1093" s="24" t="n">
        <v>2091</v>
      </c>
      <c r="B1093" s="24" t="inlineStr">
        <is>
          <t>ONDANSETRON (AS HYDROCHLORIDE) INJECTION PARENTERAL 2 mg/1 mL 2 mL</t>
        </is>
      </c>
      <c r="C1093" s="25">
        <f>IF(COUNTIF('کدهای پیام‌داروساز'!$A$2:$A$2442,A1093)&gt;0,"بله","خیر")</f>
        <v/>
      </c>
    </row>
    <row r="1094" ht="15" customHeight="1" s="14">
      <c r="A1094" s="24" t="n">
        <v>2092</v>
      </c>
      <c r="B1094" s="24" t="inlineStr">
        <is>
          <t>ONDANSETRON (AS HYDROCHLORIDE) INJECTION PARENTERAL 2 mg/1 mL 4 mL</t>
        </is>
      </c>
      <c r="C1094" s="25">
        <f>IF(COUNTIF('کدهای پیام‌داروساز'!$A$2:$A$2442,A1094)&gt;0,"بله","خیر")</f>
        <v/>
      </c>
    </row>
    <row r="1095" ht="15" customHeight="1" s="14">
      <c r="A1095" s="24" t="n">
        <v>2093</v>
      </c>
      <c r="B1095" s="24" t="inlineStr">
        <is>
          <t>ONDANSETRON (AS HYDROCHLORIDE) TABLET ORAL 4 mg</t>
        </is>
      </c>
      <c r="C1095" s="25">
        <f>IF(COUNTIF('کدهای پیام‌داروساز'!$A$2:$A$2442,A1095)&gt;0,"بله","خیر")</f>
        <v/>
      </c>
    </row>
    <row r="1096" ht="15" customHeight="1" s="14">
      <c r="A1096" s="24" t="n">
        <v>2094</v>
      </c>
      <c r="B1096" s="24" t="inlineStr">
        <is>
          <t>PIROXICAM SUPPOSITORY RECTAL 20 mg</t>
        </is>
      </c>
      <c r="C1096" s="25">
        <f>IF(COUNTIF('کدهای پیام‌داروساز'!$A$2:$A$2442,A1096)&gt;0,"بله","خیر")</f>
        <v/>
      </c>
    </row>
    <row r="1097" ht="15" customHeight="1" s="14">
      <c r="A1097" s="24" t="n">
        <v>2098</v>
      </c>
      <c r="B1097" s="24" t="inlineStr">
        <is>
          <t>SILDENAFIL (AS CITRATE) TABLET ORAL 25 mg</t>
        </is>
      </c>
      <c r="C1097" s="25">
        <f>IF(COUNTIF('کدهای پیام‌داروساز'!$A$2:$A$2442,A1097)&gt;0,"بله","خیر")</f>
        <v/>
      </c>
    </row>
    <row r="1098" ht="15" customHeight="1" s="14">
      <c r="A1098" s="24" t="n">
        <v>2099</v>
      </c>
      <c r="B1098" s="24" t="inlineStr">
        <is>
          <t>SPIRONOLACTONE TABLET ORAL 100 mg</t>
        </is>
      </c>
      <c r="C1098" s="25">
        <f>IF(COUNTIF('کدهای پیام‌داروساز'!$A$2:$A$2442,A1098)&gt;0,"بله","خیر")</f>
        <v/>
      </c>
    </row>
    <row r="1099" ht="15" customHeight="1" s="14">
      <c r="A1099" s="24" t="n">
        <v>2102</v>
      </c>
      <c r="B1099" s="24" t="inlineStr">
        <is>
          <t>TRAMADOL HYDROCHLORIDE TABLET ORAL 50 mg</t>
        </is>
      </c>
      <c r="C1099" s="25">
        <f>IF(COUNTIF('کدهای پیام‌داروساز'!$A$2:$A$2442,A1099)&gt;0,"بله","خیر")</f>
        <v/>
      </c>
    </row>
    <row r="1100" ht="15" customHeight="1" s="14">
      <c r="A1100" s="24" t="n">
        <v>2103</v>
      </c>
      <c r="B1100" s="24" t="inlineStr">
        <is>
          <t>TRAMADOL HYDROCHLORIDE TABLET ORAL 100 mg</t>
        </is>
      </c>
      <c r="C1100" s="25">
        <f>IF(COUNTIF('کدهای پیام‌داروساز'!$A$2:$A$2442,A1100)&gt;0,"بله","خیر")</f>
        <v/>
      </c>
    </row>
    <row r="1101" ht="15" customHeight="1" s="14">
      <c r="A1101" s="24" t="n">
        <v>2106</v>
      </c>
      <c r="B1101" s="24" t="inlineStr">
        <is>
          <t>TRANEXAMIC ACID TABLET ORAL 500 mg</t>
        </is>
      </c>
      <c r="C1101" s="25">
        <f>IF(COUNTIF('کدهای پیام‌داروساز'!$A$2:$A$2442,A1101)&gt;0,"بله","خیر")</f>
        <v/>
      </c>
    </row>
    <row r="1102" ht="15" customHeight="1" s="14">
      <c r="A1102" s="24" t="n">
        <v>2109</v>
      </c>
      <c r="B1102" s="24" t="inlineStr">
        <is>
          <t>CISATRACURIUM (AS BESYLATE) INJECTION PARENTERAL 2 mg/1mL 5 mL</t>
        </is>
      </c>
      <c r="C1102" s="25">
        <f>IF(COUNTIF('کدهای پیام‌داروساز'!$A$2:$A$2442,A1102)&gt;0,"بله","خیر")</f>
        <v/>
      </c>
    </row>
    <row r="1103" ht="15" customHeight="1" s="14">
      <c r="A1103" s="24" t="n">
        <v>2110</v>
      </c>
      <c r="B1103" s="24" t="inlineStr">
        <is>
          <t>AZITHROMYCIN TABLET ORAL 250 mg</t>
        </is>
      </c>
      <c r="C1103" s="25">
        <f>IF(COUNTIF('کدهای پیام‌داروساز'!$A$2:$A$2442,A1103)&gt;0,"بله","خیر")</f>
        <v/>
      </c>
    </row>
    <row r="1104" ht="15" customHeight="1" s="14">
      <c r="A1104" s="24" t="n">
        <v>2114</v>
      </c>
      <c r="B1104" s="24" t="inlineStr">
        <is>
          <t>CARBAMAZEPINE TABLET, EXTENDED RELEASE ORAL 200 mg</t>
        </is>
      </c>
      <c r="C1104" s="25">
        <f>IF(COUNTIF('کدهای پیام‌داروساز'!$A$2:$A$2442,A1104)&gt;0,"بله","خیر")</f>
        <v/>
      </c>
    </row>
    <row r="1105" ht="15" customHeight="1" s="14">
      <c r="A1105" s="24" t="n">
        <v>2120</v>
      </c>
      <c r="B1105" s="24" t="inlineStr">
        <is>
          <t>CLOXACILLIN (AS SODIUM) INJECTION, POWDER, FOR SOLUTION PARENTERAL 1 g</t>
        </is>
      </c>
      <c r="C1105" s="25">
        <f>IF(COUNTIF('کدهای پیام‌داروساز'!$A$2:$A$2442,A1105)&gt;0,"بله","خیر")</f>
        <v/>
      </c>
    </row>
    <row r="1106" ht="15" customHeight="1" s="14">
      <c r="A1106" s="24" t="n">
        <v>2123</v>
      </c>
      <c r="B1106" s="24" t="inlineStr">
        <is>
          <t>DESMOPRESSIN (AS ACETATE) TABLET ORAL 0.2 mg</t>
        </is>
      </c>
      <c r="C1106" s="25">
        <f>IF(COUNTIF('کدهای پیام‌داروساز'!$A$2:$A$2442,A1106)&gt;0,"بله","خیر")</f>
        <v/>
      </c>
    </row>
    <row r="1107" ht="15" customHeight="1" s="14">
      <c r="A1107" s="24" t="n">
        <v>2125</v>
      </c>
      <c r="B1107" s="24" t="inlineStr">
        <is>
          <t>DEXTROSE / SODIUM CHLORIDE INJECTION, SOLUTION INTRAVENOUS 5 %/0.45 % 500 mL</t>
        </is>
      </c>
      <c r="C1107" s="25">
        <f>IF(COUNTIF('کدهای پیام‌داروساز'!$A$2:$A$2442,A1107)&gt;0,"بله","خیر")</f>
        <v/>
      </c>
    </row>
    <row r="1108" ht="15" customHeight="1" s="14">
      <c r="A1108" s="24" t="n">
        <v>2127</v>
      </c>
      <c r="B1108" s="24" t="inlineStr">
        <is>
          <t>FLUCONAZOLE TABLET ORAL 100 mg</t>
        </is>
      </c>
      <c r="C1108" s="25">
        <f>IF(COUNTIF('کدهای پیام‌داروساز'!$A$2:$A$2442,A1108)&gt;0,"بله","خیر")</f>
        <v/>
      </c>
    </row>
    <row r="1109" ht="15" customHeight="1" s="14">
      <c r="A1109" s="24" t="n">
        <v>2128</v>
      </c>
      <c r="B1109" s="24" t="inlineStr">
        <is>
          <t>FLUCONAZOLE TABLET ORAL 150 mg</t>
        </is>
      </c>
      <c r="C1109" s="25">
        <f>IF(COUNTIF('کدهای پیام‌داروساز'!$A$2:$A$2442,A1109)&gt;0,"بله","خیر")</f>
        <v/>
      </c>
    </row>
    <row r="1110" ht="15" customHeight="1" s="14">
      <c r="A1110" s="24" t="n">
        <v>2129</v>
      </c>
      <c r="B1110" s="24" t="inlineStr">
        <is>
          <t>FLUCONAZOLE TABLET ORAL 50 mg</t>
        </is>
      </c>
      <c r="C1110" s="25">
        <f>IF(COUNTIF('کدهای پیام‌داروساز'!$A$2:$A$2442,A1110)&gt;0,"بله","خیر")</f>
        <v/>
      </c>
    </row>
    <row r="1111" ht="15" customHeight="1" s="14">
      <c r="A1111" s="24" t="n">
        <v>2134</v>
      </c>
      <c r="B1111" s="24" t="inlineStr">
        <is>
          <t>FUROSEMIDE INJECTION INTRAVENOUS 10 mg/1mL 4 mL</t>
        </is>
      </c>
      <c r="C1111" s="25">
        <f>IF(COUNTIF('کدهای پیام‌داروساز'!$A$2:$A$2442,A1111)&gt;0,"بله","خیر")</f>
        <v/>
      </c>
    </row>
    <row r="1112" ht="15" customHeight="1" s="14">
      <c r="A1112" s="24" t="n">
        <v>2135</v>
      </c>
      <c r="B1112" s="24" t="inlineStr">
        <is>
          <t>GEMCITABINE (AS HYDROCHLORIDE) INJECTION, POWDER, LYOPHILIZED, FOR SOLUTION PARENTERAL 1 g</t>
        </is>
      </c>
      <c r="C1112" s="25">
        <f>IF(COUNTIF('کدهای پیام‌داروساز'!$A$2:$A$2442,A1112)&gt;0,"بله","خیر")</f>
        <v/>
      </c>
    </row>
    <row r="1113" ht="15" customHeight="1" s="14">
      <c r="A1113" s="24" t="n">
        <v>2136</v>
      </c>
      <c r="B1113" s="24" t="inlineStr">
        <is>
          <t>GEMCITABINE (AS HYDROCHLORIDE) INJECTION, POWDER, LYOPHILIZED, FOR SOLUTION PARENTERAL 200 mg</t>
        </is>
      </c>
      <c r="C1113" s="25">
        <f>IF(COUNTIF('کدهای پیام‌داروساز'!$A$2:$A$2442,A1113)&gt;0,"بله","خیر")</f>
        <v/>
      </c>
    </row>
    <row r="1114" ht="15" customHeight="1" s="14">
      <c r="A1114" s="24" t="n">
        <v>2137</v>
      </c>
      <c r="B1114" s="24" t="inlineStr">
        <is>
          <t>ICHTHYOL OINTMENT TOPICAL 10 % 15 g</t>
        </is>
      </c>
      <c r="C1114" s="25">
        <f>IF(COUNTIF('کدهای پیام‌داروساز'!$A$2:$A$2442,A1114)&gt;0,"بله","خیر")</f>
        <v/>
      </c>
    </row>
    <row r="1115" ht="15" customHeight="1" s="14">
      <c r="A1115" s="24" t="n">
        <v>2138</v>
      </c>
      <c r="B1115" s="24" t="inlineStr">
        <is>
          <t>IFOSFAMIDE INJECTION, POWDER, FOR SOLUTION PARENTERAL 2 g</t>
        </is>
      </c>
      <c r="C1115" s="25">
        <f>IF(COUNTIF('کدهای پیام‌داروساز'!$A$2:$A$2442,A1115)&gt;0,"بله","خیر")</f>
        <v/>
      </c>
    </row>
    <row r="1116" ht="15" customHeight="1" s="14">
      <c r="A1116" s="24" t="n">
        <v>2141</v>
      </c>
      <c r="B1116" s="24" t="inlineStr">
        <is>
          <t>IODIXANOL INJECTION PARENTERAL 270 mg/1mL 20 mL</t>
        </is>
      </c>
      <c r="C1116" s="25">
        <f>IF(COUNTIF('کدهای پیام‌داروساز'!$A$2:$A$2442,A1116)&gt;0,"بله","خیر")</f>
        <v/>
      </c>
    </row>
    <row r="1117" ht="15" customHeight="1" s="14">
      <c r="A1117" s="24" t="n">
        <v>2146</v>
      </c>
      <c r="B1117" s="24" t="inlineStr">
        <is>
          <t>IOPROMIDE INJECTION PARENTERAL 370 mg/1mL 50 mL</t>
        </is>
      </c>
      <c r="C1117" s="25">
        <f>IF(COUNTIF('کدهای پیام‌داروساز'!$A$2:$A$2442,A1117)&gt;0,"بله","خیر")</f>
        <v/>
      </c>
    </row>
    <row r="1118" ht="15" customHeight="1" s="14">
      <c r="A1118" s="24" t="n">
        <v>2147</v>
      </c>
      <c r="B1118" s="24" t="inlineStr">
        <is>
          <t>IOPROMIDE INJECTION PARENTERAL 370 mg/1mL 100 mL</t>
        </is>
      </c>
      <c r="C1118" s="25">
        <f>IF(COUNTIF('کدهای پیام‌داروساز'!$A$2:$A$2442,A1118)&gt;0,"بله","خیر")</f>
        <v/>
      </c>
    </row>
    <row r="1119" ht="15" customHeight="1" s="14">
      <c r="A1119" s="24" t="n">
        <v>2148</v>
      </c>
      <c r="B1119" s="24" t="inlineStr">
        <is>
          <t>IPRATROPIUM BROMIDE / SALBUTAMOL (AS SULFATE) AEROSOL, METERED RESPIRATORY 20 ug/100 ug 200 {dose}</t>
        </is>
      </c>
      <c r="C1119" s="25">
        <f>IF(COUNTIF('کدهای پیام‌داروساز'!$A$2:$A$2442,A1119)&gt;0,"بله","خیر")</f>
        <v/>
      </c>
    </row>
    <row r="1120" ht="15" customHeight="1" s="14">
      <c r="A1120" s="24" t="n">
        <v>2149</v>
      </c>
      <c r="B1120" s="24" t="inlineStr">
        <is>
          <t>LIPID INFUSION 20% (2) INJECTION, SOLUTION INTRAVENOUS 5 %/6 %/6 %/3 % 250 mL</t>
        </is>
      </c>
      <c r="C1120" s="25">
        <f>IF(COUNTIF('کدهای پیام‌داروساز'!$A$2:$A$2442,A1120)&gt;0,"بله","خیر")</f>
        <v/>
      </c>
    </row>
    <row r="1121" ht="15" customHeight="1" s="14">
      <c r="A1121" s="24" t="n">
        <v>2151</v>
      </c>
      <c r="B1121" s="24" t="inlineStr">
        <is>
          <t>LOPERAMIDE HYDROCHLORIDE CAPSULE ORAL 2 mg</t>
        </is>
      </c>
      <c r="C1121" s="25">
        <f>IF(COUNTIF('کدهای پیام‌داروساز'!$A$2:$A$2442,A1121)&gt;0,"بله","خیر")</f>
        <v/>
      </c>
    </row>
    <row r="1122" ht="15" customHeight="1" s="14">
      <c r="A1122" s="24" t="n">
        <v>2153</v>
      </c>
      <c r="B1122" s="24" t="inlineStr">
        <is>
          <t>MELPHALAN (AS HYDROCHLORIDE) INJECTION, POWDER, FOR SOLUTION PARENTERAL 50 mg</t>
        </is>
      </c>
      <c r="C1122" s="25">
        <f>IF(COUNTIF('کدهای پیام‌داروساز'!$A$2:$A$2442,A1122)&gt;0,"بله","خیر")</f>
        <v/>
      </c>
    </row>
    <row r="1123" ht="15" customHeight="1" s="14">
      <c r="A1123" s="24" t="n">
        <v>2156</v>
      </c>
      <c r="B1123" s="24" t="inlineStr">
        <is>
          <t>MESALAZINE TABLET, EXTENDED RELEASE ORAL 500 mg</t>
        </is>
      </c>
      <c r="C1123" s="25">
        <f>IF(COUNTIF('کدهای پیام‌داروساز'!$A$2:$A$2442,A1123)&gt;0,"بله","خیر")</f>
        <v/>
      </c>
    </row>
    <row r="1124" ht="15" customHeight="1" s="14">
      <c r="A1124" s="24" t="n">
        <v>2158</v>
      </c>
      <c r="B1124" s="24" t="inlineStr">
        <is>
          <t>METHOTREXATE SODIUM INJECTION PARENTERAL 25 mg/1mL 2 mL</t>
        </is>
      </c>
      <c r="C1124" s="25">
        <f>IF(COUNTIF('کدهای پیام‌داروساز'!$A$2:$A$2442,A1124)&gt;0,"بله","خیر")</f>
        <v/>
      </c>
    </row>
    <row r="1125" ht="15" customHeight="1" s="14">
      <c r="A1125" s="24" t="n">
        <v>2161</v>
      </c>
      <c r="B1125" s="24" t="inlineStr">
        <is>
          <t>METHOTREXATE SODIUM INJECTION PARENTERAL 10 mg/1mL 5 mL</t>
        </is>
      </c>
      <c r="C1125" s="25">
        <f>IF(COUNTIF('کدهای پیام‌داروساز'!$A$2:$A$2442,A1125)&gt;0,"بله","خیر")</f>
        <v/>
      </c>
    </row>
    <row r="1126" ht="15" customHeight="1" s="14">
      <c r="A1126" s="24" t="n">
        <v>2163</v>
      </c>
      <c r="B1126" s="24" t="inlineStr">
        <is>
          <t>MITOMYCIN INJECTION, POWDER, FOR SOLUTION PARENTERAL 10 mg</t>
        </is>
      </c>
      <c r="C1126" s="25">
        <f>IF(COUNTIF('کدهای پیام‌داروساز'!$A$2:$A$2442,A1126)&gt;0,"بله","خیر")</f>
        <v/>
      </c>
    </row>
    <row r="1127" ht="15" customHeight="1" s="14">
      <c r="A1127" s="24" t="n">
        <v>2164</v>
      </c>
      <c r="B1127" s="24" t="inlineStr">
        <is>
          <t>MITOMYCIN INJECTION, POWDER, FOR SOLUTION PARENTERAL 5 mg</t>
        </is>
      </c>
      <c r="C1127" s="25">
        <f>IF(COUNTIF('کدهای پیام‌داروساز'!$A$2:$A$2442,A1127)&gt;0,"بله","خیر")</f>
        <v/>
      </c>
    </row>
    <row r="1128" ht="15" customHeight="1" s="14">
      <c r="A1128" s="24" t="n">
        <v>2174</v>
      </c>
      <c r="B1128" s="24" t="inlineStr">
        <is>
          <t>POLYETHYLENE GLYCOL POWDER ORAL  70 g</t>
        </is>
      </c>
      <c r="C1128" s="25">
        <f>IF(COUNTIF('کدهای پیام‌داروساز'!$A$2:$A$2442,A1128)&gt;0,"بله","خیر")</f>
        <v/>
      </c>
    </row>
    <row r="1129" ht="15" customHeight="1" s="14">
      <c r="A1129" s="24" t="n">
        <v>2182</v>
      </c>
      <c r="B1129" s="24" t="inlineStr">
        <is>
          <t>REMIFENTANIL (AS HYDROCHLORIDE) INJECTION, POWDER, FOR SOLUTION PARENTERAL 1 mg</t>
        </is>
      </c>
      <c r="C1129" s="25">
        <f>IF(COUNTIF('کدهای پیام‌داروساز'!$A$2:$A$2442,A1129)&gt;0,"بله","خیر")</f>
        <v/>
      </c>
    </row>
    <row r="1130" ht="15" customHeight="1" s="14">
      <c r="A1130" s="24" t="n">
        <v>2183</v>
      </c>
      <c r="B1130" s="24" t="inlineStr">
        <is>
          <t>REMIFENTANIL (AS HYDROCHLORIDE) INJECTION, POWDER, FOR SOLUTION PARENTERAL 2 mg</t>
        </is>
      </c>
      <c r="C1130" s="25">
        <f>IF(COUNTIF('کدهای پیام‌داروساز'!$A$2:$A$2442,A1130)&gt;0,"بله","خیر")</f>
        <v/>
      </c>
    </row>
    <row r="1131" ht="15" customHeight="1" s="14">
      <c r="A1131" s="24" t="n">
        <v>2184</v>
      </c>
      <c r="B1131" s="24" t="inlineStr">
        <is>
          <t>REMIFENTANIL (AS HYDROCHLORIDE) INJECTION, POWDER, FOR SOLUTION PARENTERAL 5 mg</t>
        </is>
      </c>
      <c r="C1131" s="25">
        <f>IF(COUNTIF('کدهای پیام‌داروساز'!$A$2:$A$2442,A1131)&gt;0,"بله","خیر")</f>
        <v/>
      </c>
    </row>
    <row r="1132" ht="15" customHeight="1" s="14">
      <c r="A1132" s="24" t="n">
        <v>2186</v>
      </c>
      <c r="B1132" s="24" t="inlineStr">
        <is>
          <t>SODIUM CHLORIDE INJECTION, SOLUTION PARENTERAL 0.45 % 500 mL</t>
        </is>
      </c>
      <c r="C1132" s="25">
        <f>IF(COUNTIF('کدهای پیام‌داروساز'!$A$2:$A$2442,A1132)&gt;0,"بله","خیر")</f>
        <v/>
      </c>
    </row>
    <row r="1133" ht="15" customHeight="1" s="14">
      <c r="A1133" s="24" t="n">
        <v>2190</v>
      </c>
      <c r="B1133" s="24" t="inlineStr">
        <is>
          <t>TRAMADOL HYDROCHLORIDE TABLET, EXTENDED RELEASE ORAL 100 mg</t>
        </is>
      </c>
      <c r="C1133" s="25">
        <f>IF(COUNTIF('کدهای پیام‌داروساز'!$A$2:$A$2442,A1133)&gt;0,"بله","خیر")</f>
        <v/>
      </c>
    </row>
    <row r="1134" ht="15" customHeight="1" s="14">
      <c r="A1134" s="24" t="n">
        <v>2194</v>
      </c>
      <c r="B1134" s="24" t="inlineStr">
        <is>
          <t>VINCRISTINE SULFATE INJECTION PARENTERAL 1 mg/1mL 1 mL</t>
        </is>
      </c>
      <c r="C1134" s="25">
        <f>IF(COUNTIF('کدهای پیام‌داروساز'!$A$2:$A$2442,A1134)&gt;0,"بله","خیر")</f>
        <v/>
      </c>
    </row>
    <row r="1135" ht="15" customHeight="1" s="14">
      <c r="A1135" s="24" t="n">
        <v>2203</v>
      </c>
      <c r="B1135" s="24" t="inlineStr">
        <is>
          <t>THEOPHYLLINE CAPSULE, COATED, EXTENDED RELEASE ORAL 200 mg</t>
        </is>
      </c>
      <c r="C1135" s="25">
        <f>IF(COUNTIF('کدهای پیام‌داروساز'!$A$2:$A$2442,A1135)&gt;0,"بله","خیر")</f>
        <v/>
      </c>
    </row>
    <row r="1136" ht="15" customHeight="1" s="14">
      <c r="A1136" s="24" t="n">
        <v>2205</v>
      </c>
      <c r="B1136" s="24" t="inlineStr">
        <is>
          <t>CO-AMOXICLAV POWDER, FOR SUSPENSION ORAL 200 mg/28.5 mg/5 mL 100 mL</t>
        </is>
      </c>
      <c r="C1136" s="25">
        <f>IF(COUNTIF('کدهای پیام‌داروساز'!$A$2:$A$2442,A1136)&gt;0,"بله","خیر")</f>
        <v/>
      </c>
    </row>
    <row r="1137" ht="15" customHeight="1" s="14">
      <c r="A1137" s="24" t="n">
        <v>2206</v>
      </c>
      <c r="B1137" s="24" t="inlineStr">
        <is>
          <t>CO-AMOXICLAV POWDER, FOR SUSPENSION ORAL 400 mg/57 mg/5 mL 100 mL</t>
        </is>
      </c>
      <c r="C1137" s="25">
        <f>IF(COUNTIF('کدهای پیام‌داروساز'!$A$2:$A$2442,A1137)&gt;0,"بله","خیر")</f>
        <v/>
      </c>
    </row>
    <row r="1138" ht="15" customHeight="1" s="14">
      <c r="A1138" s="24" t="n">
        <v>2230</v>
      </c>
      <c r="B1138" s="24" t="inlineStr">
        <is>
          <t>CLOTRIMAZOLE CREAM VAGINAL 2 % 20 g</t>
        </is>
      </c>
      <c r="C1138" s="25">
        <f>IF(COUNTIF('کدهای پیام‌داروساز'!$A$2:$A$2442,A1138)&gt;0,"بله","خیر")</f>
        <v/>
      </c>
    </row>
    <row r="1139" ht="15" customHeight="1" s="14">
      <c r="A1139" s="24" t="n">
        <v>2231</v>
      </c>
      <c r="B1139" s="24" t="inlineStr">
        <is>
          <t>CETIRIZINE HYDROCHLORIDE TABLET ORAL 5 mg</t>
        </is>
      </c>
      <c r="C1139" s="25">
        <f>IF(COUNTIF('کدهای پیام‌داروساز'!$A$2:$A$2442,A1139)&gt;0,"بله","خیر")</f>
        <v/>
      </c>
    </row>
    <row r="1140" ht="15" customHeight="1" s="14">
      <c r="A1140" s="24" t="n">
        <v>2232</v>
      </c>
      <c r="B1140" s="24" t="inlineStr">
        <is>
          <t>CETIRIZINE HYDROCHLORIDE SYRUP ORAL 1 mg/1mL 60 mL</t>
        </is>
      </c>
      <c r="C1140" s="25">
        <f>IF(COUNTIF('کدهای پیام‌داروساز'!$A$2:$A$2442,A1140)&gt;0,"بله","خیر")</f>
        <v/>
      </c>
    </row>
    <row r="1141" ht="15" customHeight="1" s="14">
      <c r="A1141" s="24" t="n">
        <v>2234</v>
      </c>
      <c r="B1141" s="24" t="inlineStr">
        <is>
          <t>CLINDAMYCIN (AS PHOSPHATE) CREAM VAGINAL 2 % 40 g</t>
        </is>
      </c>
      <c r="C1141" s="25">
        <f>IF(COUNTIF('کدهای پیام‌داروساز'!$A$2:$A$2442,A1141)&gt;0,"بله","خیر")</f>
        <v/>
      </c>
    </row>
    <row r="1142" ht="15" customHeight="1" s="14">
      <c r="A1142" s="24" t="n">
        <v>2236</v>
      </c>
      <c r="B1142" s="24" t="inlineStr">
        <is>
          <t>DEXTROAMPHETAMINE SULFATE TABLET ORAL 5 mg</t>
        </is>
      </c>
      <c r="C1142" s="25">
        <f>IF(COUNTIF('کدهای پیام‌داروساز'!$A$2:$A$2442,A1142)&gt;0,"بله","خیر")</f>
        <v/>
      </c>
    </row>
    <row r="1143" ht="15" customHeight="1" s="14">
      <c r="A1143" s="24" t="n">
        <v>2237</v>
      </c>
      <c r="B1143" s="24" t="inlineStr">
        <is>
          <t>DIAZEPAM ENEMA RECTAL 10 mg</t>
        </is>
      </c>
      <c r="C1143" s="25">
        <f>IF(COUNTIF('کدهای پیام‌داروساز'!$A$2:$A$2442,A1143)&gt;0,"بله","خیر")</f>
        <v/>
      </c>
    </row>
    <row r="1144" ht="15" customHeight="1" s="14">
      <c r="A1144" s="24" t="n">
        <v>2238</v>
      </c>
      <c r="B1144" s="24" t="inlineStr">
        <is>
          <t>GLYCINE SOLUTION IRRIGATION 1.5 % 1000 mL</t>
        </is>
      </c>
      <c r="C1144" s="25">
        <f>IF(COUNTIF('کدهای پیام‌داروساز'!$A$2:$A$2442,A1144)&gt;0,"بله","خیر")</f>
        <v/>
      </c>
    </row>
    <row r="1145" ht="15" customHeight="1" s="14">
      <c r="A1145" s="24" t="n">
        <v>2241</v>
      </c>
      <c r="B1145" s="24" t="inlineStr">
        <is>
          <t>GADODIAMIDE INJECTION PARENTERAL 287 mg/1mL 15 mL</t>
        </is>
      </c>
      <c r="C1145" s="25">
        <f>IF(COUNTIF('کدهای پیام‌داروساز'!$A$2:$A$2442,A1145)&gt;0,"بله","خیر")</f>
        <v/>
      </c>
    </row>
    <row r="1146" ht="15" customHeight="1" s="14">
      <c r="A1146" s="24" t="n">
        <v>2243</v>
      </c>
      <c r="B1146" s="24" t="inlineStr">
        <is>
          <t>ACETAMINOPHEN / CODEINE PHOSPHATE TABLET ORAL 300 mg/20 mg</t>
        </is>
      </c>
      <c r="C1146" s="25">
        <f>IF(COUNTIF('کدهای پیام‌داروساز'!$A$2:$A$2442,A1146)&gt;0,"بله","خیر")</f>
        <v/>
      </c>
    </row>
    <row r="1147" ht="15" customHeight="1" s="14">
      <c r="A1147" s="24" t="n">
        <v>2246</v>
      </c>
      <c r="B1147" s="24" t="inlineStr">
        <is>
          <t>MESALAZINE SUPPOSITORY RECTAL 500 mg</t>
        </is>
      </c>
      <c r="C1147" s="25">
        <f>IF(COUNTIF('کدهای پیام‌داروساز'!$A$2:$A$2442,A1147)&gt;0,"بله","خیر")</f>
        <v/>
      </c>
    </row>
    <row r="1148" ht="15" customHeight="1" s="14">
      <c r="A1148" s="24" t="n">
        <v>2247</v>
      </c>
      <c r="B1148" s="24" t="inlineStr">
        <is>
          <t>DIAZEPAM ENEMA RECTAL 5 mg</t>
        </is>
      </c>
      <c r="C1148" s="25">
        <f>IF(COUNTIF('کدهای پیام‌داروساز'!$A$2:$A$2442,A1148)&gt;0,"بله","خیر")</f>
        <v/>
      </c>
    </row>
    <row r="1149" ht="15" customHeight="1" s="14">
      <c r="A1149" s="24" t="n">
        <v>2248</v>
      </c>
      <c r="B1149" s="24" t="inlineStr">
        <is>
          <t>SODIUM BENZOATE TABLET ORAL 500 mg</t>
        </is>
      </c>
      <c r="C1149" s="25">
        <f>IF(COUNTIF('کدهای پیام‌داروساز'!$A$2:$A$2442,A1149)&gt;0,"بله","خیر")</f>
        <v/>
      </c>
    </row>
    <row r="1150" ht="15" customHeight="1" s="14">
      <c r="A1150" s="24" t="n">
        <v>2250</v>
      </c>
      <c r="B1150" s="24" t="inlineStr">
        <is>
          <t>CIPROFLOXACIN (AS LACTATE) INJECTION, SOLUTION INTRAVENOUS 10 mg/1mL 20 mL</t>
        </is>
      </c>
      <c r="C1150" s="25">
        <f>IF(COUNTIF('کدهای پیام‌داروساز'!$A$2:$A$2442,A1150)&gt;0,"بله","خیر")</f>
        <v/>
      </c>
    </row>
    <row r="1151" ht="15" customHeight="1" s="14">
      <c r="A1151" s="24" t="n">
        <v>2256</v>
      </c>
      <c r="B1151" s="24" t="inlineStr">
        <is>
          <t>DIPHTHERIA TOXOID / TETANUS TOXOID / PERTUSSIS VACCINE INJECTION, SUSPENSION PARENTERAL 1 {dose} 0.5 mL</t>
        </is>
      </c>
      <c r="C1151" s="25">
        <f>IF(COUNTIF('کدهای پیام‌داروساز'!$A$2:$A$2442,A1151)&gt;0,"بله","خیر")</f>
        <v/>
      </c>
    </row>
    <row r="1152" ht="15" customHeight="1" s="14">
      <c r="A1152" s="24" t="n">
        <v>2259</v>
      </c>
      <c r="B1152" s="24" t="inlineStr">
        <is>
          <t>DALTEPARIN SODIUM INJECTION PARENTERAL 25000 [iU]/1mL 0.2 mL</t>
        </is>
      </c>
      <c r="C1152" s="25">
        <f>IF(COUNTIF('کدهای پیام‌داروساز'!$A$2:$A$2442,A1152)&gt;0,"بله","خیر")</f>
        <v/>
      </c>
    </row>
    <row r="1153" ht="15" customHeight="1" s="14">
      <c r="A1153" s="24" t="n">
        <v>2262</v>
      </c>
      <c r="B1153" s="24" t="inlineStr">
        <is>
          <t>DALTEPARIN SODIUM INJECTION PARENTERAL 12500 [iU]/1mL 0.2 mL</t>
        </is>
      </c>
      <c r="C1153" s="25">
        <f>IF(COUNTIF('کدهای پیام‌داروساز'!$A$2:$A$2442,A1153)&gt;0,"بله","خیر")</f>
        <v/>
      </c>
    </row>
    <row r="1154" ht="15" customHeight="1" s="14">
      <c r="A1154" s="24" t="n">
        <v>2278</v>
      </c>
      <c r="B1154" s="24" t="inlineStr">
        <is>
          <t>SALMETEROL (AS XINAFOATE) AEROSOL, METERED RESPIRATORY 25 ug/1{dose} 200 {dose}</t>
        </is>
      </c>
      <c r="C1154" s="25">
        <f>IF(COUNTIF('کدهای پیام‌داروساز'!$A$2:$A$2442,A1154)&gt;0,"بله","خیر")</f>
        <v/>
      </c>
    </row>
    <row r="1155" ht="15" customHeight="1" s="14">
      <c r="A1155" s="24" t="n">
        <v>2280</v>
      </c>
      <c r="B1155" s="24" t="inlineStr">
        <is>
          <t>OXCARBAZEPINE TABLET ORAL 150 mg</t>
        </is>
      </c>
      <c r="C1155" s="25">
        <f>IF(COUNTIF('کدهای پیام‌داروساز'!$A$2:$A$2442,A1155)&gt;0,"بله","خیر")</f>
        <v/>
      </c>
    </row>
    <row r="1156" ht="15" customHeight="1" s="14">
      <c r="A1156" s="24" t="n">
        <v>2283</v>
      </c>
      <c r="B1156" s="24" t="inlineStr">
        <is>
          <t>ORLISTAT CAPSULE ORAL 120 mg</t>
        </is>
      </c>
      <c r="C1156" s="25">
        <f>IF(COUNTIF('کدهای پیام‌داروساز'!$A$2:$A$2442,A1156)&gt;0,"بله","خیر")</f>
        <v/>
      </c>
    </row>
    <row r="1157" ht="15" customHeight="1" s="14">
      <c r="A1157" s="24" t="n">
        <v>2284</v>
      </c>
      <c r="B1157" s="24" t="inlineStr">
        <is>
          <t>POTASSIUM CITRATE TABLET, EXTENDED RELEASE ORAL 5 meq</t>
        </is>
      </c>
      <c r="C1157" s="25">
        <f>IF(COUNTIF('کدهای پیام‌داروساز'!$A$2:$A$2442,A1157)&gt;0,"بله","خیر")</f>
        <v/>
      </c>
    </row>
    <row r="1158" ht="15" customHeight="1" s="14">
      <c r="A1158" s="24" t="n">
        <v>2286</v>
      </c>
      <c r="B1158" s="24" t="inlineStr">
        <is>
          <t>RIZATRIPTAN (AS BENZOATE) TABLET ORAL 5 mg</t>
        </is>
      </c>
      <c r="C1158" s="25">
        <f>IF(COUNTIF('کدهای پیام‌داروساز'!$A$2:$A$2442,A1158)&gt;0,"بله","خیر")</f>
        <v/>
      </c>
    </row>
    <row r="1159" ht="15" customHeight="1" s="14">
      <c r="A1159" s="24" t="n">
        <v>2287</v>
      </c>
      <c r="B1159" s="24" t="inlineStr">
        <is>
          <t>CABERGOLINE TABLET ORAL 0.5 mg</t>
        </is>
      </c>
      <c r="C1159" s="25">
        <f>IF(COUNTIF('کدهای پیام‌داروساز'!$A$2:$A$2442,A1159)&gt;0,"بله","خیر")</f>
        <v/>
      </c>
    </row>
    <row r="1160" ht="15" customHeight="1" s="14">
      <c r="A1160" s="24" t="n">
        <v>2289</v>
      </c>
      <c r="B1160" s="24" t="inlineStr">
        <is>
          <t>IMATINIB (AS MESYLATE) CAPSULE ORAL 100 mg</t>
        </is>
      </c>
      <c r="C1160" s="25">
        <f>IF(COUNTIF('کدهای پیام‌داروساز'!$A$2:$A$2442,A1160)&gt;0,"بله","خیر")</f>
        <v/>
      </c>
    </row>
    <row r="1161" ht="15" customHeight="1" s="14">
      <c r="A1161" s="24" t="n">
        <v>2291</v>
      </c>
      <c r="B1161" s="24" t="inlineStr">
        <is>
          <t>PHENOL GLYCERIN SOLUTION, DROPS AURICULAR (OTIC) 6.4 g/93.6 g 10 mL</t>
        </is>
      </c>
      <c r="C1161" s="25">
        <f>IF(COUNTIF('کدهای پیام‌داروساز'!$A$2:$A$2442,A1161)&gt;0,"بله","خیر")</f>
        <v/>
      </c>
    </row>
    <row r="1162" ht="15" customHeight="1" s="14">
      <c r="A1162" s="24" t="n">
        <v>2292</v>
      </c>
      <c r="B1162" s="24" t="inlineStr">
        <is>
          <t>ENOXAPARIN SODIUM INJECTION PARENTERAL 100 mg/1mL 0.6 mL</t>
        </is>
      </c>
      <c r="C1162" s="25">
        <f>IF(COUNTIF('کدهای پیام‌داروساز'!$A$2:$A$2442,A1162)&gt;0,"بله","خیر")</f>
        <v/>
      </c>
    </row>
    <row r="1163" ht="15" customHeight="1" s="14">
      <c r="A1163" s="24" t="n">
        <v>2293</v>
      </c>
      <c r="B1163" s="24" t="inlineStr">
        <is>
          <t>ENOXAPARIN SODIUM INJECTION PARENTERAL 100 mg/1mL 0.8 mL</t>
        </is>
      </c>
      <c r="C1163" s="25">
        <f>IF(COUNTIF('کدهای پیام‌داروساز'!$A$2:$A$2442,A1163)&gt;0,"بله","خیر")</f>
        <v/>
      </c>
    </row>
    <row r="1164" ht="15" customHeight="1" s="14">
      <c r="A1164" s="24" t="n">
        <v>2294</v>
      </c>
      <c r="B1164" s="24" t="inlineStr">
        <is>
          <t>ENOXAPARIN SODIUM INJECTION PARENTERAL 100 mg/1mL 0.2 mL</t>
        </is>
      </c>
      <c r="C1164" s="25">
        <f>IF(COUNTIF('کدهای پیام‌داروساز'!$A$2:$A$2442,A1164)&gt;0,"بله","خیر")</f>
        <v/>
      </c>
    </row>
    <row r="1165" ht="15" customHeight="1" s="14">
      <c r="A1165" s="24" t="n">
        <v>2297</v>
      </c>
      <c r="B1165" s="24" t="inlineStr">
        <is>
          <t>GENTIAN VIOLET SOLUTION TOPICAL 1 % 10 mL</t>
        </is>
      </c>
      <c r="C1165" s="25">
        <f>IF(COUNTIF('کدهای پیام‌داروساز'!$A$2:$A$2442,A1165)&gt;0,"بله","خیر")</f>
        <v/>
      </c>
    </row>
    <row r="1166" ht="15" customHeight="1" s="14">
      <c r="A1166" s="24" t="n">
        <v>2316</v>
      </c>
      <c r="B1166" s="24" t="inlineStr">
        <is>
          <t>BUPIVACAINE HYDROCHLORIDE INJECTION PARENTERAL 0.25 % 10 mL</t>
        </is>
      </c>
      <c r="C1166" s="25">
        <f>IF(COUNTIF('کدهای پیام‌داروساز'!$A$2:$A$2442,A1166)&gt;0,"بله","خیر")</f>
        <v/>
      </c>
    </row>
    <row r="1167" ht="15" customHeight="1" s="14">
      <c r="A1167" s="24" t="n">
        <v>2317</v>
      </c>
      <c r="B1167" s="24" t="inlineStr">
        <is>
          <t>BUPIVACAINE HYDROCHLORIDE INJECTION PARENTERAL 0.5 % 20 mL</t>
        </is>
      </c>
      <c r="C1167" s="25">
        <f>IF(COUNTIF('کدهای پیام‌داروساز'!$A$2:$A$2442,A1167)&gt;0,"بله","خیر")</f>
        <v/>
      </c>
    </row>
    <row r="1168" ht="15" customHeight="1" s="14">
      <c r="A1168" s="24" t="n">
        <v>2319</v>
      </c>
      <c r="B1168" s="24" t="inlineStr">
        <is>
          <t>METOPROLOL TARTRATE TABLET ORAL 50 mg</t>
        </is>
      </c>
      <c r="C1168" s="25">
        <f>IF(COUNTIF('کدهای پیام‌داروساز'!$A$2:$A$2442,A1168)&gt;0,"بله","خیر")</f>
        <v/>
      </c>
    </row>
    <row r="1169" ht="15" customHeight="1" s="14">
      <c r="A1169" s="24" t="n">
        <v>2321</v>
      </c>
      <c r="B1169" s="24" t="inlineStr">
        <is>
          <t>NITROGLYCERIN TABLET, EXTENDED RELEASE ORAL 6.5 mg</t>
        </is>
      </c>
      <c r="C1169" s="25">
        <f>IF(COUNTIF('کدهای پیام‌داروساز'!$A$2:$A$2442,A1169)&gt;0,"بله","خیر")</f>
        <v/>
      </c>
    </row>
    <row r="1170" ht="15" customHeight="1" s="14">
      <c r="A1170" s="24" t="n">
        <v>2332</v>
      </c>
      <c r="B1170" s="24" t="inlineStr">
        <is>
          <t>PANTOPRAZOLE (AS SODIUM SESQUIHYDRATE) TABLET, DELAYED RELEASE ORAL 20 mg</t>
        </is>
      </c>
      <c r="C1170" s="25">
        <f>IF(COUNTIF('کدهای پیام‌داروساز'!$A$2:$A$2442,A1170)&gt;0,"بله","خیر")</f>
        <v/>
      </c>
    </row>
    <row r="1171" ht="15" customHeight="1" s="14">
      <c r="A1171" s="24" t="n">
        <v>2333</v>
      </c>
      <c r="B1171" s="24" t="inlineStr">
        <is>
          <t>PANTOPRAZOLE (AS SODIUM SESQUIHYDRATE) TABLET, DELAYED RELEASE ORAL 40 mg</t>
        </is>
      </c>
      <c r="C1171" s="25">
        <f>IF(COUNTIF('کدهای پیام‌داروساز'!$A$2:$A$2442,A1171)&gt;0,"بله","خیر")</f>
        <v/>
      </c>
    </row>
    <row r="1172" ht="15" customHeight="1" s="14">
      <c r="A1172" s="24" t="n">
        <v>2336</v>
      </c>
      <c r="B1172" s="24" t="inlineStr">
        <is>
          <t>PANTOPRAZOLE (AS SODIUM) INJECTION, POWDER, LYOPHILIZED, FOR SOLUTION PARENTERAL 40 mg</t>
        </is>
      </c>
      <c r="C1172" s="25">
        <f>IF(COUNTIF('کدهای پیام‌داروساز'!$A$2:$A$2442,A1172)&gt;0,"بله","خیر")</f>
        <v/>
      </c>
    </row>
    <row r="1173" ht="15" customHeight="1" s="14">
      <c r="A1173" s="24" t="n">
        <v>2354</v>
      </c>
      <c r="B1173" s="24" t="inlineStr">
        <is>
          <t>DALTEPARIN SODIUM INJECTION PARENTERAL 7500 [iU]/0.3mL</t>
        </is>
      </c>
      <c r="C1173" s="25">
        <f>IF(COUNTIF('کدهای پیام‌داروساز'!$A$2:$A$2442,A1173)&gt;0,"بله","خیر")</f>
        <v/>
      </c>
    </row>
    <row r="1174" ht="15" customHeight="1" s="14">
      <c r="A1174" s="24" t="n">
        <v>2366</v>
      </c>
      <c r="B1174" s="24" t="inlineStr">
        <is>
          <t>ACICLOVIR INJECTION, POWDER, FOR SOLUTION PARENTERAL 500 mg</t>
        </is>
      </c>
      <c r="C1174" s="25">
        <f>IF(COUNTIF('کدهای پیام‌داروساز'!$A$2:$A$2442,A1174)&gt;0,"بله","خیر")</f>
        <v/>
      </c>
    </row>
    <row r="1175" ht="15" customHeight="1" s="14">
      <c r="A1175" s="24" t="n">
        <v>2369</v>
      </c>
      <c r="B1175" s="24" t="inlineStr">
        <is>
          <t>ACETYLCYSTEINE TABLET, EFFERVESCENT ORAL 600 mg</t>
        </is>
      </c>
      <c r="C1175" s="25">
        <f>IF(COUNTIF('کدهای پیام‌داروساز'!$A$2:$A$2442,A1175)&gt;0,"بله","خیر")</f>
        <v/>
      </c>
    </row>
    <row r="1176" ht="15" customHeight="1" s="14">
      <c r="A1176" s="24" t="n">
        <v>2371</v>
      </c>
      <c r="B1176" s="24" t="inlineStr">
        <is>
          <t>ANTITHYMOCYTE IMMUNOGLOBULIN INJECTION, POWDER, LYOPHILIZED, FOR SOLUTION PARENTERAL 25 mg</t>
        </is>
      </c>
      <c r="C1176" s="25">
        <f>IF(COUNTIF('کدهای پیام‌داروساز'!$A$2:$A$2442,A1176)&gt;0,"بله","خیر")</f>
        <v/>
      </c>
    </row>
    <row r="1177" ht="15" customHeight="1" s="14">
      <c r="A1177" s="24" t="n">
        <v>2372</v>
      </c>
      <c r="B1177" s="24" t="inlineStr">
        <is>
          <t>BERACTANT INJECTION, SUSPENSION ENDOTRACHEAL 25 mg/1mL 8 mL</t>
        </is>
      </c>
      <c r="C1177" s="25">
        <f>IF(COUNTIF('کدهای پیام‌داروساز'!$A$2:$A$2442,A1177)&gt;0,"بله","خیر")</f>
        <v/>
      </c>
    </row>
    <row r="1178" ht="15" customHeight="1" s="14">
      <c r="A1178" s="24" t="n">
        <v>2373</v>
      </c>
      <c r="B1178" s="24" t="inlineStr">
        <is>
          <t>AZITHROMYCIN POWDER, FOR SUSPENSION ORAL 200 mg/5mL 30 mL</t>
        </is>
      </c>
      <c r="C1178" s="25">
        <f>IF(COUNTIF('کدهای پیام‌داروساز'!$A$2:$A$2442,A1178)&gt;0,"بله","خیر")</f>
        <v/>
      </c>
    </row>
    <row r="1179" ht="15" customHeight="1" s="14">
      <c r="A1179" s="24" t="n">
        <v>2374</v>
      </c>
      <c r="B1179" s="24" t="inlineStr">
        <is>
          <t>CABERGOLINE TABLET ORAL 1 mg</t>
        </is>
      </c>
      <c r="C1179" s="25">
        <f>IF(COUNTIF('کدهای پیام‌داروساز'!$A$2:$A$2442,A1179)&gt;0,"بله","خیر")</f>
        <v/>
      </c>
    </row>
    <row r="1180" ht="15" customHeight="1" s="14">
      <c r="A1180" s="24" t="n">
        <v>2377</v>
      </c>
      <c r="B1180" s="24" t="inlineStr">
        <is>
          <t>CLADRIBINE INJECTION, SOLUTION INTRAVENOUS 2 mg/1mL 5 mL</t>
        </is>
      </c>
      <c r="C1180" s="25">
        <f>IF(COUNTIF('کدهای پیام‌داروساز'!$A$2:$A$2442,A1180)&gt;0,"بله","خیر")</f>
        <v/>
      </c>
    </row>
    <row r="1181" ht="15" customHeight="1" s="14">
      <c r="A1181" s="24" t="n">
        <v>2380</v>
      </c>
      <c r="B1181" s="24" t="inlineStr">
        <is>
          <t>GELATIN MODIFIED (1) INJECTION PARENTERAL 4 % 500 mL</t>
        </is>
      </c>
      <c r="C1181" s="25">
        <f>IF(COUNTIF('کدهای پیام‌داروساز'!$A$2:$A$2442,A1181)&gt;0,"بله","خیر")</f>
        <v/>
      </c>
    </row>
    <row r="1182" ht="15" customHeight="1" s="14">
      <c r="A1182" s="24" t="n">
        <v>2383</v>
      </c>
      <c r="B1182" s="24" t="inlineStr">
        <is>
          <t>LEVODOPA / CARBIDOPA TABLET, EXTENDED RELEASE ORAL 100 mg/25 mg</t>
        </is>
      </c>
      <c r="C1182" s="25">
        <f>IF(COUNTIF('کدهای پیام‌داروساز'!$A$2:$A$2442,A1182)&gt;0,"بله","خیر")</f>
        <v/>
      </c>
    </row>
    <row r="1183" ht="15" customHeight="1" s="14">
      <c r="A1183" s="24" t="n">
        <v>2388</v>
      </c>
      <c r="B1183" s="24" t="inlineStr">
        <is>
          <t>METHOTREXATE SODIUM INJECTION PARENTERAL 10 mg/1mL 1 mL</t>
        </is>
      </c>
      <c r="C1183" s="25">
        <f>IF(COUNTIF('کدهای پیام‌داروساز'!$A$2:$A$2442,A1183)&gt;0,"بله","خیر")</f>
        <v/>
      </c>
    </row>
    <row r="1184" ht="15" customHeight="1" s="14">
      <c r="A1184" s="24" t="n">
        <v>2391</v>
      </c>
      <c r="B1184" s="24" t="inlineStr">
        <is>
          <t>OCTREOTIDE (AS ACETATE) INJECTION, POWDER, FOR SUSPENSION, EXTENDED RELEASE PARENTERAL 20 mg</t>
        </is>
      </c>
      <c r="C1184" s="25">
        <f>IF(COUNTIF('کدهای پیام‌داروساز'!$A$2:$A$2442,A1184)&gt;0,"بله","خیر")</f>
        <v/>
      </c>
    </row>
    <row r="1185" ht="15" customHeight="1" s="14">
      <c r="A1185" s="24" t="n">
        <v>2392</v>
      </c>
      <c r="B1185" s="24" t="inlineStr">
        <is>
          <t>OCTREOTIDE (AS ACETATE) INJECTION PARENTERAL 100 ug/1mL 1 mL</t>
        </is>
      </c>
      <c r="C1185" s="25">
        <f>IF(COUNTIF('کدهای پیام‌داروساز'!$A$2:$A$2442,A1185)&gt;0,"بله","خیر")</f>
        <v/>
      </c>
    </row>
    <row r="1186" ht="15" customHeight="1" s="14">
      <c r="A1186" s="24" t="n">
        <v>2394</v>
      </c>
      <c r="B1186" s="24" t="inlineStr">
        <is>
          <t>ONDANSETRON (AS HYDROCHLORIDE) SOLUTION ORAL 4 mg/5mL 60 mL</t>
        </is>
      </c>
      <c r="C1186" s="25">
        <f>IF(COUNTIF('کدهای پیام‌داروساز'!$A$2:$A$2442,A1186)&gt;0,"بله","خیر")</f>
        <v/>
      </c>
    </row>
    <row r="1187" ht="15" customHeight="1" s="14">
      <c r="A1187" s="24" t="n">
        <v>2395</v>
      </c>
      <c r="B1187" s="24" t="inlineStr">
        <is>
          <t>PACLITAXEL INJECTION PARENTERAL 6 mg/1mL 25 mL</t>
        </is>
      </c>
      <c r="C1187" s="25">
        <f>IF(COUNTIF('کدهای پیام‌داروساز'!$A$2:$A$2442,A1187)&gt;0,"بله","خیر")</f>
        <v/>
      </c>
    </row>
    <row r="1188" ht="15" customHeight="1" s="14">
      <c r="A1188" s="24" t="n">
        <v>2396</v>
      </c>
      <c r="B1188" s="24" t="inlineStr">
        <is>
          <t>PACLITAXEL INJECTION PARENTERAL 6 mg/1mL 16.7 mL</t>
        </is>
      </c>
      <c r="C1188" s="25">
        <f>IF(COUNTIF('کدهای پیام‌داروساز'!$A$2:$A$2442,A1188)&gt;0,"بله","خیر")</f>
        <v/>
      </c>
    </row>
    <row r="1189" ht="15" customHeight="1" s="14">
      <c r="A1189" s="24" t="n">
        <v>2397</v>
      </c>
      <c r="B1189" s="24" t="inlineStr">
        <is>
          <t>SODIUM ACID PHOSPHATE (PHOSPHATE SODIUM) TABLET, EFFERVESCENT ORAL 500 mg</t>
        </is>
      </c>
      <c r="C1189" s="25">
        <f>IF(COUNTIF('کدهای پیام‌داروساز'!$A$2:$A$2442,A1189)&gt;0,"بله","خیر")</f>
        <v/>
      </c>
    </row>
    <row r="1190" ht="15" customHeight="1" s="14">
      <c r="A1190" s="24" t="n">
        <v>2400</v>
      </c>
      <c r="B1190" s="24" t="inlineStr">
        <is>
          <t>SUCCIMER CAPSULE ORAL 100 mg</t>
        </is>
      </c>
      <c r="C1190" s="25">
        <f>IF(COUNTIF('کدهای پیام‌داروساز'!$A$2:$A$2442,A1190)&gt;0,"بله","خیر")</f>
        <v/>
      </c>
    </row>
    <row r="1191" ht="15" customHeight="1" s="14">
      <c r="A1191" s="24" t="n">
        <v>2401</v>
      </c>
      <c r="B1191" s="24" t="inlineStr">
        <is>
          <t>SUCCINYLCHOLINE CHLORIDE INJECTION PARENTERAL 20 mg/1mL</t>
        </is>
      </c>
      <c r="C1191" s="25">
        <f>IF(COUNTIF('کدهای پیام‌داروساز'!$A$2:$A$2442,A1191)&gt;0,"بله","خیر")</f>
        <v/>
      </c>
    </row>
    <row r="1192" ht="15" customHeight="1" s="14">
      <c r="A1192" s="24" t="n">
        <v>2403</v>
      </c>
      <c r="B1192" s="24" t="inlineStr">
        <is>
          <t>THEOPHYLLINE TABLET, EXTENDED RELEASE ORAL 100 mg</t>
        </is>
      </c>
      <c r="C1192" s="25">
        <f>IF(COUNTIF('کدهای پیام‌داروساز'!$A$2:$A$2442,A1192)&gt;0,"بله","خیر")</f>
        <v/>
      </c>
    </row>
    <row r="1193" ht="15" customHeight="1" s="14">
      <c r="A1193" s="24" t="n">
        <v>2405</v>
      </c>
      <c r="B1193" s="24" t="inlineStr">
        <is>
          <t>ALENDRONATE (AS SODIUM) TABLET ORAL 35 mg</t>
        </is>
      </c>
      <c r="C1193" s="25">
        <f>IF(COUNTIF('کدهای پیام‌داروساز'!$A$2:$A$2442,A1193)&gt;0,"بله","خیر")</f>
        <v/>
      </c>
    </row>
    <row r="1194" ht="15" customHeight="1" s="14">
      <c r="A1194" s="24" t="n">
        <v>2406</v>
      </c>
      <c r="B1194" s="24" t="inlineStr">
        <is>
          <t>ALENDRONATE (AS SODIUM) TABLET ORAL 70 mg</t>
        </is>
      </c>
      <c r="C1194" s="25">
        <f>IF(COUNTIF('کدهای پیام‌داروساز'!$A$2:$A$2442,A1194)&gt;0,"بله","خیر")</f>
        <v/>
      </c>
    </row>
    <row r="1195" ht="15" customHeight="1" s="14">
      <c r="A1195" s="24" t="n">
        <v>2407</v>
      </c>
      <c r="B1195" s="24" t="inlineStr">
        <is>
          <t>AZITHROMYCIN TABLET ORAL 500 mg</t>
        </is>
      </c>
      <c r="C1195" s="25">
        <f>IF(COUNTIF('کدهای پیام‌داروساز'!$A$2:$A$2442,A1195)&gt;0,"بله","خیر")</f>
        <v/>
      </c>
    </row>
    <row r="1196" ht="15" customHeight="1" s="14">
      <c r="A1196" s="24" t="n">
        <v>2408</v>
      </c>
      <c r="B1196" s="24" t="inlineStr">
        <is>
          <t>AZITHROMYCIN CAPSULE ORAL 500 mg</t>
        </is>
      </c>
      <c r="C1196" s="25">
        <f>IF(COUNTIF('کدهای پیام‌داروساز'!$A$2:$A$2442,A1196)&gt;0,"بله","خیر")</f>
        <v/>
      </c>
    </row>
    <row r="1197" ht="15" customHeight="1" s="14">
      <c r="A1197" s="24" t="n">
        <v>2414</v>
      </c>
      <c r="B1197" s="24" t="inlineStr">
        <is>
          <t>CALCIUM DOBESILATE CAPSULE ORAL 500 mg</t>
        </is>
      </c>
      <c r="C1197" s="25">
        <f>IF(COUNTIF('کدهای پیام‌داروساز'!$A$2:$A$2442,A1197)&gt;0,"بله","خیر")</f>
        <v/>
      </c>
    </row>
    <row r="1198" ht="15" customHeight="1" s="14">
      <c r="A1198" s="24" t="n">
        <v>2416</v>
      </c>
      <c r="B1198" s="24" t="inlineStr">
        <is>
          <t>CEFEPIME (AS HYDROCHLORIDE) INJECTION, POWDER, FOR SOLUTION PARENTERAL 1 g</t>
        </is>
      </c>
      <c r="C1198" s="25">
        <f>IF(COUNTIF('کدهای پیام‌داروساز'!$A$2:$A$2442,A1198)&gt;0,"بله","خیر")</f>
        <v/>
      </c>
    </row>
    <row r="1199" ht="15" customHeight="1" s="14">
      <c r="A1199" s="24" t="n">
        <v>2417</v>
      </c>
      <c r="B1199" s="24" t="inlineStr">
        <is>
          <t>CEFEPIME (AS HYDROCHLORIDE) INJECTION, POWDER, FOR SOLUTION PARENTERAL 2 g</t>
        </is>
      </c>
      <c r="C1199" s="25">
        <f>IF(COUNTIF('کدهای پیام‌داروساز'!$A$2:$A$2442,A1199)&gt;0,"بله","خیر")</f>
        <v/>
      </c>
    </row>
    <row r="1200" ht="15" customHeight="1" s="14">
      <c r="A1200" s="24" t="n">
        <v>2418</v>
      </c>
      <c r="B1200" s="24" t="inlineStr">
        <is>
          <t>CEFEPIME (AS HYDROCHLORIDE) INJECTION, POWDER, FOR SOLUTION PARENTERAL 500 mg</t>
        </is>
      </c>
      <c r="C1200" s="25">
        <f>IF(COUNTIF('کدهای پیام‌داروساز'!$A$2:$A$2442,A1200)&gt;0,"بله","خیر")</f>
        <v/>
      </c>
    </row>
    <row r="1201" ht="15" customHeight="1" s="14">
      <c r="A1201" s="24" t="n">
        <v>2419</v>
      </c>
      <c r="B1201" s="24" t="inlineStr">
        <is>
          <t>CEFIXIME POWDER, FOR SUSPENSION ORAL 100 mg/5 mL 100 mL</t>
        </is>
      </c>
      <c r="C1201" s="25">
        <f>IF(COUNTIF('کدهای پیام‌داروساز'!$A$2:$A$2442,A1201)&gt;0,"بله","خیر")</f>
        <v/>
      </c>
    </row>
    <row r="1202" ht="15" customHeight="1" s="14">
      <c r="A1202" s="24" t="n">
        <v>2421</v>
      </c>
      <c r="B1202" s="24" t="inlineStr">
        <is>
          <t>CEFUROXIME (AS SODIUM) INJECTION, POWDER, FOR SOLUTION PARENTERAL 1.5 g</t>
        </is>
      </c>
      <c r="C1202" s="25">
        <f>IF(COUNTIF('کدهای پیام‌داروساز'!$A$2:$A$2442,A1202)&gt;0,"بله","خیر")</f>
        <v/>
      </c>
    </row>
    <row r="1203" ht="15" customHeight="1" s="14">
      <c r="A1203" s="24" t="n">
        <v>2423</v>
      </c>
      <c r="B1203" s="24" t="inlineStr">
        <is>
          <t>CEFUROXIME (AS SODIUM) INJECTION, POWDER, FOR SOLUTION PARENTERAL 750 mg</t>
        </is>
      </c>
      <c r="C1203" s="25">
        <f>IF(COUNTIF('کدهای پیام‌داروساز'!$A$2:$A$2442,A1203)&gt;0,"بله","خیر")</f>
        <v/>
      </c>
    </row>
    <row r="1204" ht="15" customHeight="1" s="14">
      <c r="A1204" s="24" t="n">
        <v>2425</v>
      </c>
      <c r="B1204" s="24" t="inlineStr">
        <is>
          <t>CLOBETASOL PROPIONATE LOTION TOPICAL 0.05 % 25 mL</t>
        </is>
      </c>
      <c r="C1204" s="25">
        <f>IF(COUNTIF('کدهای پیام‌داروساز'!$A$2:$A$2442,A1204)&gt;0,"بله","خیر")</f>
        <v/>
      </c>
    </row>
    <row r="1205" ht="15" customHeight="1" s="14">
      <c r="A1205" s="24" t="n">
        <v>2426</v>
      </c>
      <c r="B1205" s="24" t="inlineStr">
        <is>
          <t>CLOTRIMAZOLE TABLET VAGINAL 500 mg</t>
        </is>
      </c>
      <c r="C1205" s="25">
        <f>IF(COUNTIF('کدهای پیام‌داروساز'!$A$2:$A$2442,A1205)&gt;0,"بله","خیر")</f>
        <v/>
      </c>
    </row>
    <row r="1206" ht="15" customHeight="1" s="14">
      <c r="A1206" s="24" t="n">
        <v>2429</v>
      </c>
      <c r="B1206" s="24" t="inlineStr">
        <is>
          <t>ERYTHROMYCIN GEL TOPICAL 4 % 30 g</t>
        </is>
      </c>
      <c r="C1206" s="25">
        <f>IF(COUNTIF('کدهای پیام‌داروساز'!$A$2:$A$2442,A1206)&gt;0,"بله","خیر")</f>
        <v/>
      </c>
    </row>
    <row r="1207" ht="15" customHeight="1" s="14">
      <c r="A1207" s="24" t="n">
        <v>2430</v>
      </c>
      <c r="B1207" s="24" t="inlineStr">
        <is>
          <t>ERYTHROMYCIN SOLUTION TOPICAL 4 % 60 mL</t>
        </is>
      </c>
      <c r="C1207" s="25">
        <f>IF(COUNTIF('کدهای پیام‌داروساز'!$A$2:$A$2442,A1207)&gt;0,"بله","خیر")</f>
        <v/>
      </c>
    </row>
    <row r="1208" ht="15" customHeight="1" s="14">
      <c r="A1208" s="24" t="n">
        <v>2432</v>
      </c>
      <c r="B1208" s="24" t="inlineStr">
        <is>
          <t>FLUCONAZOLE CAPSULE ORAL 200 mg</t>
        </is>
      </c>
      <c r="C1208" s="25">
        <f>IF(COUNTIF('کدهای پیام‌داروساز'!$A$2:$A$2442,A1208)&gt;0,"بله","خیر")</f>
        <v/>
      </c>
    </row>
    <row r="1209" ht="15" customHeight="1" s="14">
      <c r="A1209" s="24" t="n">
        <v>2433</v>
      </c>
      <c r="B1209" s="24" t="inlineStr">
        <is>
          <t>FLUCONAZOLE TABLET ORAL 200 mg</t>
        </is>
      </c>
      <c r="C1209" s="25">
        <f>IF(COUNTIF('کدهای پیام‌داروساز'!$A$2:$A$2442,A1209)&gt;0,"بله","خیر")</f>
        <v/>
      </c>
    </row>
    <row r="1210" ht="15" customHeight="1" s="14">
      <c r="A1210" s="24" t="n">
        <v>2435</v>
      </c>
      <c r="B1210" s="24" t="inlineStr">
        <is>
          <t>IMIPENEM / CILASTATIN INJECTION, POWDER, FOR SOLUTION PARENTERAL 250 mg/250 mg</t>
        </is>
      </c>
      <c r="C1210" s="25">
        <f>IF(COUNTIF('کدهای پیام‌داروساز'!$A$2:$A$2442,A1210)&gt;0,"بله","خیر")</f>
        <v/>
      </c>
    </row>
    <row r="1211" ht="15" customHeight="1" s="14">
      <c r="A1211" s="24" t="n">
        <v>2436</v>
      </c>
      <c r="B1211" s="24" t="inlineStr">
        <is>
          <t>IMIPENEM / CILASTATIN INJECTION, POWDER, FOR SOLUTION PARENTERAL 750 mg/750 mg</t>
        </is>
      </c>
      <c r="C1211" s="25">
        <f>IF(COUNTIF('کدهای پیام‌داروساز'!$A$2:$A$2442,A1211)&gt;0,"بله","خیر")</f>
        <v/>
      </c>
    </row>
    <row r="1212" ht="15" customHeight="1" s="14">
      <c r="A1212" s="24" t="n">
        <v>2441</v>
      </c>
      <c r="B1212" s="24" t="inlineStr">
        <is>
          <t>LEVONORGESTREL TABLET ORAL 750 ug</t>
        </is>
      </c>
      <c r="C1212" s="25">
        <f>IF(COUNTIF('کدهای پیام‌داروساز'!$A$2:$A$2442,A1212)&gt;0,"بله","خیر")</f>
        <v/>
      </c>
    </row>
    <row r="1213" ht="15" customHeight="1" s="14">
      <c r="A1213" s="24" t="n">
        <v>2442</v>
      </c>
      <c r="B1213" s="24" t="inlineStr">
        <is>
          <t>MEGESTROL ACETATE SUSPENSION ORAL 40 mg/1mL 240 mL</t>
        </is>
      </c>
      <c r="C1213" s="25">
        <f>IF(COUNTIF('کدهای پیام‌داروساز'!$A$2:$A$2442,A1213)&gt;0,"بله","خیر")</f>
        <v/>
      </c>
    </row>
    <row r="1214" ht="15" customHeight="1" s="14">
      <c r="A1214" s="24" t="n">
        <v>2443</v>
      </c>
      <c r="B1214" s="24" t="inlineStr">
        <is>
          <t>MESALAZINE GRANULE, EXTENDED RELEASE ORAL 1 g</t>
        </is>
      </c>
      <c r="C1214" s="25">
        <f>IF(COUNTIF('کدهای پیام‌داروساز'!$A$2:$A$2442,A1214)&gt;0,"بله","خیر")</f>
        <v/>
      </c>
    </row>
    <row r="1215" ht="15" customHeight="1" s="14">
      <c r="A1215" s="24" t="n">
        <v>2444</v>
      </c>
      <c r="B1215" s="24" t="inlineStr">
        <is>
          <t>METHADONE HYDROCHLORIDE SOLUTION ORAL 25 mg/5 mL 250 mL</t>
        </is>
      </c>
      <c r="C1215" s="25">
        <f>IF(COUNTIF('کدهای پیام‌داروساز'!$A$2:$A$2442,A1215)&gt;0,"بله","خیر")</f>
        <v/>
      </c>
    </row>
    <row r="1216" ht="15" customHeight="1" s="14">
      <c r="A1216" s="24" t="n">
        <v>2447</v>
      </c>
      <c r="B1216" s="24" t="inlineStr">
        <is>
          <t>OXCARBAZEPINE TABLET ORAL 300 mg</t>
        </is>
      </c>
      <c r="C1216" s="25">
        <f>IF(COUNTIF('کدهای پیام‌داروساز'!$A$2:$A$2442,A1216)&gt;0,"بله","خیر")</f>
        <v/>
      </c>
    </row>
    <row r="1217" ht="15" customHeight="1" s="14">
      <c r="A1217" s="24" t="n">
        <v>2448</v>
      </c>
      <c r="B1217" s="24" t="inlineStr">
        <is>
          <t>OXCARBAZEPINE TABLET ORAL 600 mg</t>
        </is>
      </c>
      <c r="C1217" s="25">
        <f>IF(COUNTIF('کدهای پیام‌داروساز'!$A$2:$A$2442,A1217)&gt;0,"بله","خیر")</f>
        <v/>
      </c>
    </row>
    <row r="1218" ht="15" customHeight="1" s="14">
      <c r="A1218" s="24" t="n">
        <v>2449</v>
      </c>
      <c r="B1218" s="24" t="inlineStr">
        <is>
          <t>PERMETHRIN CREAM TOPICAL 5 % 30 g</t>
        </is>
      </c>
      <c r="C1218" s="25">
        <f>IF(COUNTIF('کدهای پیام‌داروساز'!$A$2:$A$2442,A1218)&gt;0,"بله","خیر")</f>
        <v/>
      </c>
    </row>
    <row r="1219" ht="15" customHeight="1" s="14">
      <c r="A1219" s="24" t="n">
        <v>2450</v>
      </c>
      <c r="B1219" s="24" t="inlineStr">
        <is>
          <t>POTASSIUM CITRATE TABLET, EXTENDED RELEASE ORAL 10 meq</t>
        </is>
      </c>
      <c r="C1219" s="25">
        <f>IF(COUNTIF('کدهای پیام‌داروساز'!$A$2:$A$2442,A1219)&gt;0,"بله","خیر")</f>
        <v/>
      </c>
    </row>
    <row r="1220" ht="15" customHeight="1" s="14">
      <c r="A1220" s="24" t="n">
        <v>2455</v>
      </c>
      <c r="B1220" s="24" t="inlineStr">
        <is>
          <t>RIZATRIPTAN (AS BENZOATE) TABLET ORAL 10 mg</t>
        </is>
      </c>
      <c r="C1220" s="25">
        <f>IF(COUNTIF('کدهای پیام‌داروساز'!$A$2:$A$2442,A1220)&gt;0,"بله","خیر")</f>
        <v/>
      </c>
    </row>
    <row r="1221" ht="15" customHeight="1" s="14">
      <c r="A1221" s="24" t="n">
        <v>2456</v>
      </c>
      <c r="B1221" s="24" t="inlineStr">
        <is>
          <t>SERTACONAZOLE NITRATE CREAM TOPICAL 2 % 30 g</t>
        </is>
      </c>
      <c r="C1221" s="25">
        <f>IF(COUNTIF('کدهای پیام‌داروساز'!$A$2:$A$2442,A1221)&gt;0,"بله","خیر")</f>
        <v/>
      </c>
    </row>
    <row r="1222" ht="15" customHeight="1" s="14">
      <c r="A1222" s="24" t="n">
        <v>2458</v>
      </c>
      <c r="B1222" s="24" t="inlineStr">
        <is>
          <t>SIMVASTATIN TABLET ORAL 10 mg</t>
        </is>
      </c>
      <c r="C1222" s="25">
        <f>IF(COUNTIF('کدهای پیام‌داروساز'!$A$2:$A$2442,A1222)&gt;0,"بله","خیر")</f>
        <v/>
      </c>
    </row>
    <row r="1223" ht="15" customHeight="1" s="14">
      <c r="A1223" s="24" t="n">
        <v>2465</v>
      </c>
      <c r="B1223" s="24" t="inlineStr">
        <is>
          <t>TAMOXIFEN TABLET ORAL 20 mg</t>
        </is>
      </c>
      <c r="C1223" s="25">
        <f>IF(COUNTIF('کدهای پیام‌داروساز'!$A$2:$A$2442,A1223)&gt;0,"بله","خیر")</f>
        <v/>
      </c>
    </row>
    <row r="1224" ht="15" customHeight="1" s="14">
      <c r="A1224" s="24" t="n">
        <v>2467</v>
      </c>
      <c r="B1224" s="24" t="inlineStr">
        <is>
          <t>YOHIMBINE HYDROCHLORIDE TABLET ORAL 5.4 mg</t>
        </is>
      </c>
      <c r="C1224" s="25">
        <f>IF(COUNTIF('کدهای پیام‌داروساز'!$A$2:$A$2442,A1224)&gt;0,"بله","خیر")</f>
        <v/>
      </c>
    </row>
    <row r="1225" ht="15" customHeight="1" s="14">
      <c r="A1225" s="24" t="n">
        <v>2470</v>
      </c>
      <c r="B1225" s="24" t="inlineStr">
        <is>
          <t>BIOTIN TABLET ORAL 5 mg</t>
        </is>
      </c>
      <c r="C1225" s="25">
        <f>IF(COUNTIF('کدهای پیام‌داروساز'!$A$2:$A$2442,A1225)&gt;0,"بله","خیر")</f>
        <v/>
      </c>
    </row>
    <row r="1226" ht="15" customHeight="1" s="14">
      <c r="A1226" s="24" t="n">
        <v>2473</v>
      </c>
      <c r="B1226" s="24" t="inlineStr">
        <is>
          <t>RITUXIMAB INJECTION PARENTERAL 10 mg/1mL 10 mL</t>
        </is>
      </c>
      <c r="C1226" s="25">
        <f>IF(COUNTIF('کدهای پیام‌داروساز'!$A$2:$A$2442,A1226)&gt;0,"بله","خیر")</f>
        <v/>
      </c>
    </row>
    <row r="1227" ht="15" customHeight="1" s="14">
      <c r="A1227" s="24" t="n">
        <v>2474</v>
      </c>
      <c r="B1227" s="24" t="inlineStr">
        <is>
          <t>RITUXIMAB INJECTION PARENTERAL 10 mg/1mL 50 mL</t>
        </is>
      </c>
      <c r="C1227" s="25">
        <f>IF(COUNTIF('کدهای پیام‌داروساز'!$A$2:$A$2442,A1227)&gt;0,"بله","خیر")</f>
        <v/>
      </c>
    </row>
    <row r="1228" ht="15" customHeight="1" s="14">
      <c r="A1228" s="24" t="n">
        <v>2475</v>
      </c>
      <c r="B1228" s="24" t="inlineStr">
        <is>
          <t>CARVEDILOL TABLET ORAL 6.25 mg</t>
        </is>
      </c>
      <c r="C1228" s="25">
        <f>IF(COUNTIF('کدهای پیام‌داروساز'!$A$2:$A$2442,A1228)&gt;0,"بله","خیر")</f>
        <v/>
      </c>
    </row>
    <row r="1229" ht="15" customHeight="1" s="14">
      <c r="A1229" s="24" t="n">
        <v>2476</v>
      </c>
      <c r="B1229" s="24" t="inlineStr">
        <is>
          <t>CYSTEAMINE (AS BITARTRATE) CAPSULE ORAL 50 mg</t>
        </is>
      </c>
      <c r="C1229" s="25">
        <f>IF(COUNTIF('کدهای پیام‌داروساز'!$A$2:$A$2442,A1229)&gt;0,"بله","خیر")</f>
        <v/>
      </c>
    </row>
    <row r="1230" ht="15" customHeight="1" s="14">
      <c r="A1230" s="24" t="n">
        <v>2481</v>
      </c>
      <c r="B1230" s="24" t="inlineStr">
        <is>
          <t>TRASTUZUMAB INJECTION, POWDER, LYOPHILIZED, FOR SOLUTION PARENTERAL 440 mg</t>
        </is>
      </c>
      <c r="C1230" s="25">
        <f>IF(COUNTIF('کدهای پیام‌داروساز'!$A$2:$A$2442,A1230)&gt;0,"بله","خیر")</f>
        <v/>
      </c>
    </row>
    <row r="1231" ht="15" customHeight="1" s="14">
      <c r="A1231" s="24" t="n">
        <v>2492</v>
      </c>
      <c r="B1231" s="24" t="inlineStr">
        <is>
          <t>CAPECITABINE TABLET ORAL 150 mg</t>
        </is>
      </c>
      <c r="C1231" s="25">
        <f>IF(COUNTIF('کدهای پیام‌داروساز'!$A$2:$A$2442,A1231)&gt;0,"بله","خیر")</f>
        <v/>
      </c>
    </row>
    <row r="1232" ht="15" customHeight="1" s="14">
      <c r="A1232" s="24" t="n">
        <v>2493</v>
      </c>
      <c r="B1232" s="24" t="inlineStr">
        <is>
          <t>CAPECITABINE TABLET ORAL 500 mg</t>
        </is>
      </c>
      <c r="C1232" s="25">
        <f>IF(COUNTIF('کدهای پیام‌داروساز'!$A$2:$A$2442,A1232)&gt;0,"بله","خیر")</f>
        <v/>
      </c>
    </row>
    <row r="1233" ht="15" customHeight="1" s="14">
      <c r="A1233" s="24" t="n">
        <v>2497</v>
      </c>
      <c r="B1233" s="24" t="inlineStr">
        <is>
          <t>URSODEOXYCHOLIC ACID CAPSULE ORAL 300 mg</t>
        </is>
      </c>
      <c r="C1233" s="25">
        <f>IF(COUNTIF('کدهای پیام‌داروساز'!$A$2:$A$2442,A1233)&gt;0,"بله","خیر")</f>
        <v/>
      </c>
    </row>
    <row r="1234" ht="15" customHeight="1" s="14">
      <c r="A1234" s="24" t="n">
        <v>2506</v>
      </c>
      <c r="B1234" s="24" t="inlineStr">
        <is>
          <t>DIMERCAPROL INJECTION INTRAMUSCULAR 100 mg/1mL 2 mL</t>
        </is>
      </c>
      <c r="C1234" s="25">
        <f>IF(COUNTIF('کدهای پیام‌داروساز'!$A$2:$A$2442,A1234)&gt;0,"بله","خیر")</f>
        <v/>
      </c>
    </row>
    <row r="1235" ht="15" customHeight="1" s="14">
      <c r="A1235" s="24" t="n">
        <v>2516</v>
      </c>
      <c r="B1235" s="24" t="inlineStr">
        <is>
          <t>CISATRACURIUM (AS BESYLATE) INJECTION PARENTERAL 2 mg/1mL 10 mL</t>
        </is>
      </c>
      <c r="C1235" s="25">
        <f>IF(COUNTIF('کدهای پیام‌داروساز'!$A$2:$A$2442,A1235)&gt;0,"بله","خیر")</f>
        <v/>
      </c>
    </row>
    <row r="1236" ht="15" customHeight="1" s="14">
      <c r="A1236" s="24" t="n">
        <v>2517</v>
      </c>
      <c r="B1236" s="24" t="inlineStr">
        <is>
          <t>IODIXANOL INJECTION PARENTERAL 320 mg/1mL 50 mL</t>
        </is>
      </c>
      <c r="C1236" s="25">
        <f>IF(COUNTIF('کدهای پیام‌داروساز'!$A$2:$A$2442,A1236)&gt;0,"بله","خیر")</f>
        <v/>
      </c>
    </row>
    <row r="1237" ht="15" customHeight="1" s="14">
      <c r="A1237" s="24" t="n">
        <v>2534</v>
      </c>
      <c r="B1237" s="24" t="inlineStr">
        <is>
          <t>PROGESTERONE SUPPOSITORY VAGINAL 200 mg</t>
        </is>
      </c>
      <c r="C1237" s="25">
        <f>IF(COUNTIF('کدهای پیام‌داروساز'!$A$2:$A$2442,A1237)&gt;0,"بله","خیر")</f>
        <v/>
      </c>
    </row>
    <row r="1238" ht="15" customHeight="1" s="14">
      <c r="A1238" s="24" t="n">
        <v>2548</v>
      </c>
      <c r="B1238" s="24" t="inlineStr">
        <is>
          <t>SEVOFLURANE INHALANT RESPIRATORY 250 mL</t>
        </is>
      </c>
      <c r="C1238" s="25">
        <f>IF(COUNTIF('کدهای پیام‌داروساز'!$A$2:$A$2442,A1238)&gt;0,"بله","خیر")</f>
        <v/>
      </c>
    </row>
    <row r="1239" ht="15" customHeight="1" s="14">
      <c r="A1239" s="24" t="n">
        <v>2570</v>
      </c>
      <c r="B1239" s="24" t="inlineStr">
        <is>
          <t>FOLLITROPIN ALFA INJECTION, POWDER, FOR SOLUTION PARENTERAL 75 [iU]</t>
        </is>
      </c>
      <c r="C1239" s="25">
        <f>IF(COUNTIF('کدهای پیام‌داروساز'!$A$2:$A$2442,A1239)&gt;0,"بله","خیر")</f>
        <v/>
      </c>
    </row>
    <row r="1240" ht="15" customHeight="1" s="14">
      <c r="A1240" s="24" t="n">
        <v>2584</v>
      </c>
      <c r="B1240" s="24" t="inlineStr">
        <is>
          <t>LIDOCAINE SPRAY TOPICAL 10 mg/1{dose} 50 mL</t>
        </is>
      </c>
      <c r="C1240" s="25">
        <f>IF(COUNTIF('کدهای پیام‌داروساز'!$A$2:$A$2442,A1240)&gt;0,"بله","خیر")</f>
        <v/>
      </c>
    </row>
    <row r="1241" ht="15" customHeight="1" s="14">
      <c r="A1241" s="24" t="n">
        <v>2592</v>
      </c>
      <c r="B1241" s="24" t="inlineStr">
        <is>
          <t>CALAMINE LOTION TOPICAL 8 % 60 mL</t>
        </is>
      </c>
      <c r="C1241" s="25">
        <f>IF(COUNTIF('کدهای پیام‌داروساز'!$A$2:$A$2442,A1241)&gt;0,"بله","خیر")</f>
        <v/>
      </c>
    </row>
    <row r="1242" ht="15" customHeight="1" s="14">
      <c r="A1242" s="24" t="n">
        <v>2666</v>
      </c>
      <c r="B1242" s="24" t="inlineStr">
        <is>
          <t>INTERFERON BETA-1A INJECTION PARENTERAL 12000000 [iU] 0.5 mL</t>
        </is>
      </c>
      <c r="C1242" s="25">
        <f>IF(COUNTIF('کدهای پیام‌داروساز'!$A$2:$A$2442,A1242)&gt;0,"بله","خیر")</f>
        <v/>
      </c>
    </row>
    <row r="1243" ht="15" customHeight="1" s="14">
      <c r="A1243" s="24" t="n">
        <v>2667</v>
      </c>
      <c r="B1243" s="24" t="inlineStr">
        <is>
          <t>INTERFERON BETA-1A INJECTION, POWDER, FOR SOLUTION PARENTERAL 6000000 [iU]</t>
        </is>
      </c>
      <c r="C1243" s="25">
        <f>IF(COUNTIF('کدهای پیام‌داروساز'!$A$2:$A$2442,A1243)&gt;0,"بله","خیر")</f>
        <v/>
      </c>
    </row>
    <row r="1244" ht="15" customHeight="1" s="14">
      <c r="A1244" s="24" t="n">
        <v>2682</v>
      </c>
      <c r="B1244" s="24" t="inlineStr">
        <is>
          <t>FACTOR VIIA INJECTION, POWDER, LYOPHILIZED, FOR SOLUTION PARENTERAL 1.2 mg</t>
        </is>
      </c>
      <c r="C1244" s="25">
        <f>IF(COUNTIF('کدهای پیام‌داروساز'!$A$2:$A$2442,A1244)&gt;0,"بله","خیر")</f>
        <v/>
      </c>
    </row>
    <row r="1245" ht="15" customHeight="1" s="14">
      <c r="A1245" s="24" t="n">
        <v>2705</v>
      </c>
      <c r="B1245" s="24" t="inlineStr">
        <is>
          <t>METHADONE HYDROCHLORIDE TABLET ORAL 20 mg</t>
        </is>
      </c>
      <c r="C1245" s="25">
        <f>IF(COUNTIF('کدهای پیام‌داروساز'!$A$2:$A$2442,A1245)&gt;0,"بله","خیر")</f>
        <v/>
      </c>
    </row>
    <row r="1246" ht="15" customHeight="1" s="14">
      <c r="A1246" s="24" t="n">
        <v>2706</v>
      </c>
      <c r="B1246" s="24" t="inlineStr">
        <is>
          <t>METHADONE HYDROCHLORIDE TABLET ORAL 40 mg</t>
        </is>
      </c>
      <c r="C1246" s="25">
        <f>IF(COUNTIF('کدهای پیام‌داروساز'!$A$2:$A$2442,A1246)&gt;0,"بله","خیر")</f>
        <v/>
      </c>
    </row>
    <row r="1247" ht="15" customHeight="1" s="14">
      <c r="A1247" s="24" t="n">
        <v>2708</v>
      </c>
      <c r="B1247" s="24" t="inlineStr">
        <is>
          <t>TRAMADOL HYDROCHLORIDE INJECTION PARENTERAL 50 mg/1mL 1 mL</t>
        </is>
      </c>
      <c r="C1247" s="25">
        <f>IF(COUNTIF('کدهای پیام‌داروساز'!$A$2:$A$2442,A1247)&gt;0,"بله","خیر")</f>
        <v/>
      </c>
    </row>
    <row r="1248" ht="15" customHeight="1" s="14">
      <c r="A1248" s="24" t="n">
        <v>2710</v>
      </c>
      <c r="B1248" s="24" t="inlineStr">
        <is>
          <t>FLUTICASONE PROPIONATE INHALANT RESPIRATORY 250 ug/1{dose} 120 {Puff}</t>
        </is>
      </c>
      <c r="C1248" s="25">
        <f>IF(COUNTIF('کدهای پیام‌داروساز'!$A$2:$A$2442,A1248)&gt;0,"بله","خیر")</f>
        <v/>
      </c>
    </row>
    <row r="1249" ht="15" customHeight="1" s="14">
      <c r="A1249" s="24" t="n">
        <v>2711</v>
      </c>
      <c r="B1249" s="24" t="inlineStr">
        <is>
          <t>FLUTICASONE PROPIONATE INHALANT RESPIRATORY 125 ug/1{dose} 120 {Puff}</t>
        </is>
      </c>
      <c r="C1249" s="25">
        <f>IF(COUNTIF('کدهای پیام‌داروساز'!$A$2:$A$2442,A1249)&gt;0,"بله","خیر")</f>
        <v/>
      </c>
    </row>
    <row r="1250" ht="15" customHeight="1" s="14">
      <c r="A1250" s="24" t="n">
        <v>2738</v>
      </c>
      <c r="B1250" s="24" t="inlineStr">
        <is>
          <t>RIVASTIGMINE (AS HYDROGEN TARTRATE) CAPSULE ORAL 6 mg</t>
        </is>
      </c>
      <c r="C1250" s="25">
        <f>IF(COUNTIF('کدهای پیام‌داروساز'!$A$2:$A$2442,A1250)&gt;0,"بله","خیر")</f>
        <v/>
      </c>
    </row>
    <row r="1251" ht="15" customHeight="1" s="14">
      <c r="A1251" s="24" t="n">
        <v>2745</v>
      </c>
      <c r="B1251" s="24" t="inlineStr">
        <is>
          <t>ADAPALENE SOLUTION TOPICAL 0.1 % 30 mL</t>
        </is>
      </c>
      <c r="C1251" s="25">
        <f>IF(COUNTIF('کدهای پیام‌داروساز'!$A$2:$A$2442,A1251)&gt;0,"بله","خیر")</f>
        <v/>
      </c>
    </row>
    <row r="1252" ht="15" customHeight="1" s="14">
      <c r="A1252" s="24" t="n">
        <v>2746</v>
      </c>
      <c r="B1252" s="24" t="inlineStr">
        <is>
          <t>OLANZAPINE TABLET ORAL 15 mg</t>
        </is>
      </c>
      <c r="C1252" s="25">
        <f>IF(COUNTIF('کدهای پیام‌داروساز'!$A$2:$A$2442,A1252)&gt;0,"بله","خیر")</f>
        <v/>
      </c>
    </row>
    <row r="1253" ht="15" customHeight="1" s="14">
      <c r="A1253" s="24" t="n">
        <v>2751</v>
      </c>
      <c r="B1253" s="24" t="inlineStr">
        <is>
          <t>OLANZAPINE TABLET ORAL 2.5 mg</t>
        </is>
      </c>
      <c r="C1253" s="25">
        <f>IF(COUNTIF('کدهای پیام‌داروساز'!$A$2:$A$2442,A1253)&gt;0,"بله","خیر")</f>
        <v/>
      </c>
    </row>
    <row r="1254" ht="15" customHeight="1" s="14">
      <c r="A1254" s="24" t="n">
        <v>2767</v>
      </c>
      <c r="B1254" s="24" t="inlineStr">
        <is>
          <t>POLIOMYELITIS VACCINE SUSPENSION ORAL 15 {dose}</t>
        </is>
      </c>
      <c r="C1254" s="25">
        <f>IF(COUNTIF('کدهای پیام‌داروساز'!$A$2:$A$2442,A1254)&gt;0,"بله","خیر")</f>
        <v/>
      </c>
    </row>
    <row r="1255" ht="15" customHeight="1" s="14">
      <c r="A1255" s="24" t="n">
        <v>2844</v>
      </c>
      <c r="B1255" s="24" t="inlineStr">
        <is>
          <t>BECLOMETHASONE DIPROPIONATE SPRAY NASAL 50 ug/1 {dose} 200 {Puff}</t>
        </is>
      </c>
      <c r="C1255" s="25">
        <f>IF(COUNTIF('کدهای پیام‌داروساز'!$A$2:$A$2442,A1255)&gt;0,"بله","خیر")</f>
        <v/>
      </c>
    </row>
    <row r="1256" ht="15" customHeight="1" s="14">
      <c r="A1256" s="24" t="n">
        <v>2865</v>
      </c>
      <c r="B1256" s="24" t="inlineStr">
        <is>
          <t>WATER INJECTION PARENTERAL 10 mL</t>
        </is>
      </c>
      <c r="C1256" s="25">
        <f>IF(COUNTIF('کدهای پیام‌داروساز'!$A$2:$A$2442,A1256)&gt;0,"بله","خیر")</f>
        <v/>
      </c>
    </row>
    <row r="1257" ht="15" customHeight="1" s="14">
      <c r="A1257" s="24" t="n">
        <v>2950</v>
      </c>
      <c r="B1257" s="24" t="inlineStr">
        <is>
          <t>LIDOCAINE SPRAY TOPICAL 10 mg/1{dose} 100 mL</t>
        </is>
      </c>
      <c r="C1257" s="25">
        <f>IF(COUNTIF('کدهای پیام‌داروساز'!$A$2:$A$2442,A1257)&gt;0,"بله","خیر")</f>
        <v/>
      </c>
    </row>
    <row r="1258" ht="15" customHeight="1" s="14">
      <c r="A1258" s="24" t="n">
        <v>2959</v>
      </c>
      <c r="B1258" s="24" t="inlineStr">
        <is>
          <t>ARTEMETHER / LUMEFANTRINE TABLET ORAL 20 mg/120 mg</t>
        </is>
      </c>
      <c r="C1258" s="25">
        <f>IF(COUNTIF('کدهای پیام‌داروساز'!$A$2:$A$2442,A1258)&gt;0,"بله","خیر")</f>
        <v/>
      </c>
    </row>
    <row r="1259" ht="15" customHeight="1" s="14">
      <c r="A1259" s="24" t="n">
        <v>2962</v>
      </c>
      <c r="B1259" s="24" t="inlineStr">
        <is>
          <t>EXEMESTANE TABLET ORAL 25 mg</t>
        </is>
      </c>
      <c r="C1259" s="25">
        <f>IF(COUNTIF('کدهای پیام‌داروساز'!$A$2:$A$2442,A1259)&gt;0,"بله","خیر")</f>
        <v/>
      </c>
    </row>
    <row r="1260" ht="15" customHeight="1" s="14">
      <c r="A1260" s="24" t="n">
        <v>3005</v>
      </c>
      <c r="B1260" s="24" t="inlineStr">
        <is>
          <t>ESTRADIOL (AS HEMIHYDRATE) TABLET VAGINAL 10 ug</t>
        </is>
      </c>
      <c r="C1260" s="25">
        <f>IF(COUNTIF('کدهای پیام‌داروساز'!$A$2:$A$2442,A1260)&gt;0,"بله","خیر")</f>
        <v/>
      </c>
    </row>
    <row r="1261" ht="15" customHeight="1" s="14">
      <c r="A1261" s="24" t="n">
        <v>3016</v>
      </c>
      <c r="B1261" s="24" t="inlineStr">
        <is>
          <t>RIFABUTIN CAPSULE ORAL 150 mg</t>
        </is>
      </c>
      <c r="C1261" s="25">
        <f>IF(COUNTIF('کدهای پیام‌داروساز'!$A$2:$A$2442,A1261)&gt;0,"بله","خیر")</f>
        <v/>
      </c>
    </row>
    <row r="1262" ht="15" customHeight="1" s="14">
      <c r="A1262" s="24" t="n">
        <v>3283</v>
      </c>
      <c r="B1262" s="24" t="inlineStr">
        <is>
          <t>MEROPENEM INJECTION, POWDER, FOR SOLUTION PARENTERAL 500 mg</t>
        </is>
      </c>
      <c r="C1262" s="25">
        <f>IF(COUNTIF('کدهای پیام‌داروساز'!$A$2:$A$2442,A1262)&gt;0,"بله","خیر")</f>
        <v/>
      </c>
    </row>
    <row r="1263" ht="15" customHeight="1" s="14">
      <c r="A1263" s="24" t="n">
        <v>3375</v>
      </c>
      <c r="B1263" s="24" t="inlineStr">
        <is>
          <t>NEVIRAPINE TABLET ORAL 200 mg</t>
        </is>
      </c>
      <c r="C1263" s="25">
        <f>IF(COUNTIF('کدهای پیام‌داروساز'!$A$2:$A$2442,A1263)&gt;0,"بله","خیر")</f>
        <v/>
      </c>
    </row>
    <row r="1264" ht="15" customHeight="1" s="14">
      <c r="A1264" s="24" t="n">
        <v>3431</v>
      </c>
      <c r="B1264" s="24" t="inlineStr">
        <is>
          <t>TRETINOIN CAPSULE ORAL 10 mg</t>
        </is>
      </c>
      <c r="C1264" s="25">
        <f>IF(COUNTIF('کدهای پیام‌داروساز'!$A$2:$A$2442,A1264)&gt;0,"بله","خیر")</f>
        <v/>
      </c>
    </row>
    <row r="1265" ht="15" customHeight="1" s="14">
      <c r="A1265" s="24" t="n">
        <v>3545</v>
      </c>
      <c r="B1265" s="24" t="inlineStr">
        <is>
          <t>ZONISAMIDE CAPSULE ORAL 100 mg</t>
        </is>
      </c>
      <c r="C1265" s="25">
        <f>IF(COUNTIF('کدهای پیام‌داروساز'!$A$2:$A$2442,A1265)&gt;0,"بله","خیر")</f>
        <v/>
      </c>
    </row>
    <row r="1266" ht="15" customHeight="1" s="14">
      <c r="A1266" s="24" t="n">
        <v>3623</v>
      </c>
      <c r="B1266" s="24" t="inlineStr">
        <is>
          <t>BOTULINUM A TOXIN INJECTION, POWDER, LYOPHILIZED, FOR SOLUTION PARENTERAL 500 [iU]</t>
        </is>
      </c>
      <c r="C1266" s="25">
        <f>IF(COUNTIF('کدهای پیام‌داروساز'!$A$2:$A$2442,A1266)&gt;0,"بله","خیر")</f>
        <v/>
      </c>
    </row>
    <row r="1267" ht="15" customHeight="1" s="14">
      <c r="A1267" s="24" t="n">
        <v>3799</v>
      </c>
      <c r="B1267" s="24" t="inlineStr">
        <is>
          <t>BUPRENORPHINE (AS HYDROCHLORIDE) TABLET SUBLINGUAL 2 mg</t>
        </is>
      </c>
      <c r="C1267" s="25">
        <f>IF(COUNTIF('کدهای پیام‌داروساز'!$A$2:$A$2442,A1267)&gt;0,"بله","خیر")</f>
        <v/>
      </c>
    </row>
    <row r="1268" ht="15" customHeight="1" s="14">
      <c r="A1268" s="24" t="n">
        <v>3800</v>
      </c>
      <c r="B1268" s="24" t="inlineStr">
        <is>
          <t>BUPRENORPHINE (AS HYDROCHLORIDE) TABLET SUBLINGUAL 8 mg</t>
        </is>
      </c>
      <c r="C1268" s="25">
        <f>IF(COUNTIF('کدهای پیام‌داروساز'!$A$2:$A$2442,A1268)&gt;0,"بله","خیر")</f>
        <v/>
      </c>
    </row>
    <row r="1269" ht="15" customHeight="1" s="14">
      <c r="A1269" s="24" t="n">
        <v>3823</v>
      </c>
      <c r="B1269" s="24" t="inlineStr">
        <is>
          <t>MAGNESIUM SULFATE INJECTION PARENTERAL 50 % 10 mL</t>
        </is>
      </c>
      <c r="C1269" s="25">
        <f>IF(COUNTIF('کدهای پیام‌داروساز'!$A$2:$A$2442,A1269)&gt;0,"بله","خیر")</f>
        <v/>
      </c>
    </row>
    <row r="1270" ht="15" customHeight="1" s="14">
      <c r="A1270" s="24" t="n">
        <v>3894</v>
      </c>
      <c r="B1270" s="24" t="inlineStr">
        <is>
          <t>PIPERACILLIN (AS SODIUM) / TAZOBACTAM (AS SODIUM) INJECTION, POWDER, FOR SOLUTION PARENTERAL 4 g/0.5 g</t>
        </is>
      </c>
      <c r="C1270" s="25">
        <f>IF(COUNTIF('کدهای پیام‌داروساز'!$A$2:$A$2442,A1270)&gt;0,"بله","خیر")</f>
        <v/>
      </c>
    </row>
    <row r="1271" ht="15" customHeight="1" s="14">
      <c r="A1271" s="24" t="n">
        <v>4000</v>
      </c>
      <c r="B1271" s="24" t="inlineStr">
        <is>
          <t>SEVELAMER HYDROCHLORIDE TABLET ORAL 800 mg</t>
        </is>
      </c>
      <c r="C1271" s="25">
        <f>IF(COUNTIF('کدهای پیام‌داروساز'!$A$2:$A$2442,A1271)&gt;0,"بله","خیر")</f>
        <v/>
      </c>
    </row>
    <row r="1272" ht="15" customHeight="1" s="14">
      <c r="A1272" s="24" t="n">
        <v>4003</v>
      </c>
      <c r="B1272" s="24" t="inlineStr">
        <is>
          <t>IRON (AS SUCROSE) INJECTION INTRAVENOUS 20 mg/1mL 5 mL</t>
        </is>
      </c>
      <c r="C1272" s="25">
        <f>IF(COUNTIF('کدهای پیام‌داروساز'!$A$2:$A$2442,A1272)&gt;0,"بله","خیر")</f>
        <v/>
      </c>
    </row>
    <row r="1273" ht="15" customHeight="1" s="14">
      <c r="A1273" s="24" t="n">
        <v>4008</v>
      </c>
      <c r="B1273" s="24" t="inlineStr">
        <is>
          <t>ETANERCEPT INJECTION, POWDER, FOR SOLUTION PARENTERAL 25 mg</t>
        </is>
      </c>
      <c r="C1273" s="25">
        <f>IF(COUNTIF('کدهای پیام‌داروساز'!$A$2:$A$2442,A1273)&gt;0,"بله","خیر")</f>
        <v/>
      </c>
    </row>
    <row r="1274" ht="15" customHeight="1" s="14">
      <c r="A1274" s="24" t="n">
        <v>4022</v>
      </c>
      <c r="B1274" s="24" t="inlineStr">
        <is>
          <t>SIROLIMUS TABLET ORAL 1 mg</t>
        </is>
      </c>
      <c r="C1274" s="25">
        <f>IF(COUNTIF('کدهای پیام‌داروساز'!$A$2:$A$2442,A1274)&gt;0,"بله","خیر")</f>
        <v/>
      </c>
    </row>
    <row r="1275" ht="15" customHeight="1" s="14">
      <c r="A1275" s="24" t="n">
        <v>4025</v>
      </c>
      <c r="B1275" s="24" t="inlineStr">
        <is>
          <t>GADOTERATE MEGLUMINE INJECTION PARENTERAL 376.9 mg/1mL 15 mL</t>
        </is>
      </c>
      <c r="C1275" s="25">
        <f>IF(COUNTIF('کدهای پیام‌داروساز'!$A$2:$A$2442,A1275)&gt;0,"بله","خیر")</f>
        <v/>
      </c>
    </row>
    <row r="1276" ht="15" customHeight="1" s="14">
      <c r="A1276" s="24" t="n">
        <v>4098</v>
      </c>
      <c r="B1276" s="24" t="inlineStr">
        <is>
          <t>PACLITAXEL INJECTION PARENTERAL 6 mg/1mL 5 mL</t>
        </is>
      </c>
      <c r="C1276" s="25">
        <f>IF(COUNTIF('کدهای پیام‌داروساز'!$A$2:$A$2442,A1276)&gt;0,"بله","خیر")</f>
        <v/>
      </c>
    </row>
    <row r="1277" ht="15" customHeight="1" s="14">
      <c r="A1277" s="24" t="n">
        <v>4150</v>
      </c>
      <c r="B1277" s="24" t="inlineStr">
        <is>
          <t>SULFASALAZINE TABLET, DELAYED RELEASE ORAL 500 mg</t>
        </is>
      </c>
      <c r="C1277" s="25">
        <f>IF(COUNTIF('کدهای پیام‌داروساز'!$A$2:$A$2442,A1277)&gt;0,"بله","خیر")</f>
        <v/>
      </c>
    </row>
    <row r="1278" ht="15" customHeight="1" s="14">
      <c r="A1278" s="24" t="n">
        <v>4189</v>
      </c>
      <c r="B1278" s="24" t="inlineStr">
        <is>
          <t>TIOTROPIUM (AS BROMIDE) CAPSULE RESPIRATORY 18 ug</t>
        </is>
      </c>
      <c r="C1278" s="25">
        <f>IF(COUNTIF('کدهای پیام‌داروساز'!$A$2:$A$2442,A1278)&gt;0,"بله","خیر")</f>
        <v/>
      </c>
    </row>
    <row r="1279" ht="15" customHeight="1" s="14">
      <c r="A1279" s="24" t="n">
        <v>4256</v>
      </c>
      <c r="B1279" s="24" t="inlineStr">
        <is>
          <t>DIHYDROTACHYSTEROL SOLUTION ORAL 0.25 mg/1mL 15 mL</t>
        </is>
      </c>
      <c r="C1279" s="25">
        <f>IF(COUNTIF('کدهای پیام‌داروساز'!$A$2:$A$2442,A1279)&gt;0,"بله","خیر")</f>
        <v/>
      </c>
    </row>
    <row r="1280" ht="15" customHeight="1" s="14">
      <c r="A1280" s="24" t="n">
        <v>4339</v>
      </c>
      <c r="B1280" s="24" t="inlineStr">
        <is>
          <t>THALIDOMIDE TABLET ORAL 100 mg</t>
        </is>
      </c>
      <c r="C1280" s="25">
        <f>IF(COUNTIF('کدهای پیام‌داروساز'!$A$2:$A$2442,A1280)&gt;0,"بله","خیر")</f>
        <v/>
      </c>
    </row>
    <row r="1281" ht="15" customHeight="1" s="14">
      <c r="A1281" s="24" t="n">
        <v>4486</v>
      </c>
      <c r="B1281" s="24" t="inlineStr">
        <is>
          <t>EPOETIN INJECTION PARENTERAL 4000 [iU]/1mL 1 mL</t>
        </is>
      </c>
      <c r="C1281" s="25">
        <f>IF(COUNTIF('کدهای پیام‌داروساز'!$A$2:$A$2442,A1281)&gt;0,"بله","خیر")</f>
        <v/>
      </c>
    </row>
    <row r="1282" ht="15" customHeight="1" s="14">
      <c r="A1282" s="24" t="n">
        <v>4538</v>
      </c>
      <c r="B1282" s="24" t="inlineStr">
        <is>
          <t>GADOTERATE MEGLUMINE INJECTION PARENTERAL 376.9 mg/1mL 10 mL</t>
        </is>
      </c>
      <c r="C1282" s="25">
        <f>IF(COUNTIF('کدهای پیام‌داروساز'!$A$2:$A$2442,A1282)&gt;0,"بله","خیر")</f>
        <v/>
      </c>
    </row>
    <row r="1283" ht="15" customHeight="1" s="14">
      <c r="A1283" s="24" t="n">
        <v>4578</v>
      </c>
      <c r="B1283" s="24" t="inlineStr">
        <is>
          <t>TOLTERODINE TARTRATE TABLET ORAL 1 mg</t>
        </is>
      </c>
      <c r="C1283" s="25">
        <f>IF(COUNTIF('کدهای پیام‌داروساز'!$A$2:$A$2442,A1283)&gt;0,"بله","خیر")</f>
        <v/>
      </c>
    </row>
    <row r="1284" ht="15" customHeight="1" s="14">
      <c r="A1284" s="24" t="n">
        <v>4579</v>
      </c>
      <c r="B1284" s="24" t="inlineStr">
        <is>
          <t>TOLTERODINE TARTRATE TABLET ORAL 2 mg</t>
        </is>
      </c>
      <c r="C1284" s="25">
        <f>IF(COUNTIF('کدهای پیام‌داروساز'!$A$2:$A$2442,A1284)&gt;0,"بله","خیر")</f>
        <v/>
      </c>
    </row>
    <row r="1285" ht="15" customHeight="1" s="14">
      <c r="A1285" s="24" t="n">
        <v>4682</v>
      </c>
      <c r="B1285" s="24" t="inlineStr">
        <is>
          <t>MENINGOCOCCAL VACCINE ACYW-135 INJECTION PARENTERAL 10 {dose} 5 mL</t>
        </is>
      </c>
      <c r="C1285" s="25">
        <f>IF(COUNTIF('کدهای پیام‌داروساز'!$A$2:$A$2442,A1285)&gt;0,"بله","خیر")</f>
        <v/>
      </c>
    </row>
    <row r="1286" ht="15" customHeight="1" s="14">
      <c r="A1286" s="24" t="n">
        <v>4684</v>
      </c>
      <c r="B1286" s="24" t="inlineStr">
        <is>
          <t>BECLOMETHASONE DIPROPIONATE AEROSOL, METERED RESPIRATORY 250 ug/1{dose} 200 {Puff}</t>
        </is>
      </c>
      <c r="C1286" s="25">
        <f>IF(COUNTIF('کدهای پیام‌داروساز'!$A$2:$A$2442,A1286)&gt;0,"بله","خیر")</f>
        <v/>
      </c>
    </row>
    <row r="1287" ht="15" customHeight="1" s="14">
      <c r="A1287" s="24" t="n">
        <v>4708</v>
      </c>
      <c r="B1287" s="24" t="inlineStr">
        <is>
          <t>FLUVOXAMINE MALEATE TABLET ORAL 100 mg</t>
        </is>
      </c>
      <c r="C1287" s="25">
        <f>IF(COUNTIF('کدهای پیام‌داروساز'!$A$2:$A$2442,A1287)&gt;0,"بله","خیر")</f>
        <v/>
      </c>
    </row>
    <row r="1288" ht="15" customHeight="1" s="14">
      <c r="A1288" s="24" t="n">
        <v>4757</v>
      </c>
      <c r="B1288" s="24" t="inlineStr">
        <is>
          <t>IODIXANOL INJECTION PARENTERAL 270 mg/1mL 50 mL</t>
        </is>
      </c>
      <c r="C1288" s="25">
        <f>IF(COUNTIF('کدهای پیام‌داروساز'!$A$2:$A$2442,A1288)&gt;0,"بله","خیر")</f>
        <v/>
      </c>
    </row>
    <row r="1289" ht="15" customHeight="1" s="14">
      <c r="A1289" s="24" t="n">
        <v>4768</v>
      </c>
      <c r="B1289" s="24" t="inlineStr">
        <is>
          <t>VALGANCICLOVIR (AS HYDROCHLORIDE) TABLET ORAL 450 mg</t>
        </is>
      </c>
      <c r="C1289" s="25">
        <f>IF(COUNTIF('کدهای پیام‌داروساز'!$A$2:$A$2442,A1289)&gt;0,"بله","خیر")</f>
        <v/>
      </c>
    </row>
    <row r="1290" ht="15" customHeight="1" s="14">
      <c r="A1290" s="24" t="n">
        <v>4793</v>
      </c>
      <c r="B1290" s="24" t="inlineStr">
        <is>
          <t>SALMETEROL (AS XINAFOATE) / FLUTICASONE PROPIONATE AEROSOL, METERED RESPIRATORY 25 ug/50 ug/1{dose} 120 {dose}</t>
        </is>
      </c>
      <c r="C1290" s="25">
        <f>IF(COUNTIF('کدهای پیام‌داروساز'!$A$2:$A$2442,A1290)&gt;0,"بله","خیر")</f>
        <v/>
      </c>
    </row>
    <row r="1291" ht="15" customHeight="1" s="14">
      <c r="A1291" s="24" t="n">
        <v>4795</v>
      </c>
      <c r="B1291" s="24" t="inlineStr">
        <is>
          <t>SALMETEROL (AS XINAFOATE) / FLUTICASONE PROPIONATE AEROSOL, METERED RESPIRATORY 25 ug/125 ug/1{dose} 120 {dose}</t>
        </is>
      </c>
      <c r="C1291" s="25">
        <f>IF(COUNTIF('کدهای پیام‌داروساز'!$A$2:$A$2442,A1291)&gt;0,"بله","خیر")</f>
        <v/>
      </c>
    </row>
    <row r="1292" ht="15" customHeight="1" s="14">
      <c r="A1292" s="24" t="n">
        <v>4840</v>
      </c>
      <c r="B1292" s="24" t="inlineStr">
        <is>
          <t>IMATINIB (AS MESYLATE) TABLET ORAL 100 mg</t>
        </is>
      </c>
      <c r="C1292" s="25">
        <f>IF(COUNTIF('کدهای پیام‌داروساز'!$A$2:$A$2442,A1292)&gt;0,"بله","خیر")</f>
        <v/>
      </c>
    </row>
    <row r="1293" ht="15" customHeight="1" s="14">
      <c r="A1293" s="24" t="n">
        <v>4864</v>
      </c>
      <c r="B1293" s="24" t="inlineStr">
        <is>
          <t>RINGERS INJECTION, SOLUTION INTRAVENOUS 147 meq/4.5 meq/4 meq/156 meq/1L 500 mL</t>
        </is>
      </c>
      <c r="C1293" s="25">
        <f>IF(COUNTIF('کدهای پیام‌داروساز'!$A$2:$A$2442,A1293)&gt;0,"بله","خیر")</f>
        <v/>
      </c>
    </row>
    <row r="1294" ht="15" customHeight="1" s="14">
      <c r="A1294" s="24" t="n">
        <v>4903</v>
      </c>
      <c r="B1294" s="24" t="inlineStr">
        <is>
          <t>REPAGLINIDE TABLET ORAL 0.5 mg</t>
        </is>
      </c>
      <c r="C1294" s="25">
        <f>IF(COUNTIF('کدهای پیام‌داروساز'!$A$2:$A$2442,A1294)&gt;0,"بله","خیر")</f>
        <v/>
      </c>
    </row>
    <row r="1295" ht="15" customHeight="1" s="14">
      <c r="A1295" s="24" t="n">
        <v>4904</v>
      </c>
      <c r="B1295" s="24" t="inlineStr">
        <is>
          <t>REPAGLINIDE TABLET ORAL 1 mg</t>
        </is>
      </c>
      <c r="C1295" s="25">
        <f>IF(COUNTIF('کدهای پیام‌داروساز'!$A$2:$A$2442,A1295)&gt;0,"بله","خیر")</f>
        <v/>
      </c>
    </row>
    <row r="1296" ht="15" customHeight="1" s="14">
      <c r="A1296" s="24" t="n">
        <v>4905</v>
      </c>
      <c r="B1296" s="24" t="inlineStr">
        <is>
          <t>REPAGLINIDE TABLET ORAL 2 mg</t>
        </is>
      </c>
      <c r="C1296" s="25">
        <f>IF(COUNTIF('کدهای پیام‌داروساز'!$A$2:$A$2442,A1296)&gt;0,"بله","خیر")</f>
        <v/>
      </c>
    </row>
    <row r="1297" ht="15" customHeight="1" s="14">
      <c r="A1297" s="24" t="n">
        <v>4907</v>
      </c>
      <c r="B1297" s="24" t="inlineStr">
        <is>
          <t>DEXTROSE / SODIUM CHLORIDE INJECTION, SOLUTION INTRAVENOUS 3.33 %/0.3 % 500 mL</t>
        </is>
      </c>
      <c r="C1297" s="25">
        <f>IF(COUNTIF('کدهای پیام‌داروساز'!$A$2:$A$2442,A1297)&gt;0,"بله","خیر")</f>
        <v/>
      </c>
    </row>
    <row r="1298" ht="15" customHeight="1" s="14">
      <c r="A1298" s="24" t="n">
        <v>4927</v>
      </c>
      <c r="B1298" s="24" t="inlineStr">
        <is>
          <t>SALMETEROL (AS XINAFOATE) / FLUTICASONE PROPIONATE AEROSOL, METERED RESPIRATORY 25 ug/250 ug/1{dose} 120 {dose}</t>
        </is>
      </c>
      <c r="C1298" s="25">
        <f>IF(COUNTIF('کدهای پیام‌داروساز'!$A$2:$A$2442,A1298)&gt;0,"بله","خیر")</f>
        <v/>
      </c>
    </row>
    <row r="1299" ht="15" customHeight="1" s="14">
      <c r="A1299" s="24" t="n">
        <v>4929</v>
      </c>
      <c r="B1299" s="24" t="inlineStr">
        <is>
          <t>BACLOFEN INJECTION, SOLUTION PARENTERAL 0.5 mg/1mL 20 mL</t>
        </is>
      </c>
      <c r="C1299" s="25">
        <f>IF(COUNTIF('کدهای پیام‌داروساز'!$A$2:$A$2442,A1299)&gt;0,"بله","خیر")</f>
        <v/>
      </c>
    </row>
    <row r="1300" ht="15" customHeight="1" s="14">
      <c r="A1300" s="24" t="n">
        <v>4954</v>
      </c>
      <c r="B1300" s="24" t="inlineStr">
        <is>
          <t>GALANTAMINE (AS HYDROBROMIDE) TABLET ORAL 4 mg</t>
        </is>
      </c>
      <c r="C1300" s="25">
        <f>IF(COUNTIF('کدهای پیام‌داروساز'!$A$2:$A$2442,A1300)&gt;0,"بله","خیر")</f>
        <v/>
      </c>
    </row>
    <row r="1301" ht="15" customHeight="1" s="14">
      <c r="A1301" s="24" t="n">
        <v>4955</v>
      </c>
      <c r="B1301" s="24" t="inlineStr">
        <is>
          <t>GALANTAMINE (AS HYDROBROMIDE) TABLET ORAL 8 mg</t>
        </is>
      </c>
      <c r="C1301" s="25">
        <f>IF(COUNTIF('کدهای پیام‌داروساز'!$A$2:$A$2442,A1301)&gt;0,"بله","خیر")</f>
        <v/>
      </c>
    </row>
    <row r="1302" ht="15" customHeight="1" s="14">
      <c r="A1302" s="24" t="n">
        <v>4956</v>
      </c>
      <c r="B1302" s="24" t="inlineStr">
        <is>
          <t>GALANTAMINE (AS HYDROBROMIDE) TABLET ORAL 12 mg</t>
        </is>
      </c>
      <c r="C1302" s="25">
        <f>IF(COUNTIF('کدهای پیام‌داروساز'!$A$2:$A$2442,A1302)&gt;0,"بله","خیر")</f>
        <v/>
      </c>
    </row>
    <row r="1303" ht="15" customHeight="1" s="14">
      <c r="A1303" s="24" t="n">
        <v>4965</v>
      </c>
      <c r="B1303" s="24" t="inlineStr">
        <is>
          <t>EPOETIN INJECTION PARENTERAL 10000 [iU]/1mL 1 mL</t>
        </is>
      </c>
      <c r="C1303" s="25">
        <f>IF(COUNTIF('کدهای پیام‌داروساز'!$A$2:$A$2442,A1303)&gt;0,"بله","خیر")</f>
        <v/>
      </c>
    </row>
    <row r="1304" ht="15" customHeight="1" s="14">
      <c r="A1304" s="24" t="n">
        <v>4989</v>
      </c>
      <c r="B1304" s="24" t="inlineStr">
        <is>
          <t>AZITHROMYCIN POWDER, FOR SUSPENSION ORAL 200 mg/5mL 15 mL</t>
        </is>
      </c>
      <c r="C1304" s="25">
        <f>IF(COUNTIF('کدهای پیام‌داروساز'!$A$2:$A$2442,A1304)&gt;0,"بله","خیر")</f>
        <v/>
      </c>
    </row>
    <row r="1305" ht="15" customHeight="1" s="14">
      <c r="A1305" s="24" t="n">
        <v>5005</v>
      </c>
      <c r="B1305" s="24" t="inlineStr">
        <is>
          <t>VINORELBINE (AS TARTRATE) INJECTION, SOLUTION, CONCENTRATE PARENTERAL 10 mg/1mL 1 mL</t>
        </is>
      </c>
      <c r="C1305" s="25">
        <f>IF(COUNTIF('کدهای پیام‌داروساز'!$A$2:$A$2442,A1305)&gt;0,"بله","خیر")</f>
        <v/>
      </c>
    </row>
    <row r="1306" ht="15" customHeight="1" s="14">
      <c r="A1306" s="24" t="n">
        <v>5006</v>
      </c>
      <c r="B1306" s="24" t="inlineStr">
        <is>
          <t>VINORELBINE (AS TARTRATE) INJECTION, SOLUTION, CONCENTRATE PARENTERAL 10 mg/1mL 5 mL</t>
        </is>
      </c>
      <c r="C1306" s="25">
        <f>IF(COUNTIF('کدهای پیام‌داروساز'!$A$2:$A$2442,A1306)&gt;0,"بله","خیر")</f>
        <v/>
      </c>
    </row>
    <row r="1307" ht="15" customHeight="1" s="14">
      <c r="A1307" s="24" t="n">
        <v>5078</v>
      </c>
      <c r="B1307" s="24" t="inlineStr">
        <is>
          <t>ZIDOVUDINE CAPSULE ORAL 300 mg</t>
        </is>
      </c>
      <c r="C1307" s="25">
        <f>IF(COUNTIF('کدهای پیام‌داروساز'!$A$2:$A$2442,A1307)&gt;0,"بله","خیر")</f>
        <v/>
      </c>
    </row>
    <row r="1308" ht="15" customHeight="1" s="14">
      <c r="A1308" s="24" t="n">
        <v>5152</v>
      </c>
      <c r="B1308" s="24" t="inlineStr">
        <is>
          <t>FILGRASTIM INJECTION PARENTERAL 600 ug/1mL 0.5 mL</t>
        </is>
      </c>
      <c r="C1308" s="25">
        <f>IF(COUNTIF('کدهای پیام‌داروساز'!$A$2:$A$2442,A1308)&gt;0,"بله","خیر")</f>
        <v/>
      </c>
    </row>
    <row r="1309" ht="15" customHeight="1" s="14">
      <c r="A1309" s="24" t="n">
        <v>5154</v>
      </c>
      <c r="B1309" s="24" t="inlineStr">
        <is>
          <t>VENLAFAXINE CAPSULE, EXTENDED RELEASE ORAL 150 mg</t>
        </is>
      </c>
      <c r="C1309" s="25">
        <f>IF(COUNTIF('کدهای پیام‌داروساز'!$A$2:$A$2442,A1309)&gt;0,"بله","خیر")</f>
        <v/>
      </c>
    </row>
    <row r="1310" ht="15" customHeight="1" s="14">
      <c r="A1310" s="24" t="n">
        <v>5155</v>
      </c>
      <c r="B1310" s="24" t="inlineStr">
        <is>
          <t>VENLAFAXINE CAPSULE ORAL 75 mg</t>
        </is>
      </c>
      <c r="C1310" s="25">
        <f>IF(COUNTIF('کدهای پیام‌داروساز'!$A$2:$A$2442,A1310)&gt;0,"بله","خیر")</f>
        <v/>
      </c>
    </row>
    <row r="1311" ht="15" customHeight="1" s="14">
      <c r="A1311" s="24" t="n">
        <v>5170</v>
      </c>
      <c r="B1311" s="24" t="inlineStr">
        <is>
          <t>GRANISETRON INJECTION, SOLUTION INTRAVENOUS 1 mg/1mL 1 mL</t>
        </is>
      </c>
      <c r="C1311" s="25">
        <f>IF(COUNTIF('کدهای پیام‌داروساز'!$A$2:$A$2442,A1311)&gt;0,"بله","خیر")</f>
        <v/>
      </c>
    </row>
    <row r="1312" ht="15" customHeight="1" s="14">
      <c r="A1312" s="24" t="n">
        <v>5217</v>
      </c>
      <c r="B1312" s="24" t="inlineStr">
        <is>
          <t>PIOGLITAZONE TABLET ORAL 30 mg</t>
        </is>
      </c>
      <c r="C1312" s="25">
        <f>IF(COUNTIF('کدهای پیام‌داروساز'!$A$2:$A$2442,A1312)&gt;0,"بله","خیر")</f>
        <v/>
      </c>
    </row>
    <row r="1313" ht="15" customHeight="1" s="14">
      <c r="A1313" s="24" t="n">
        <v>5279</v>
      </c>
      <c r="B1313" s="24" t="inlineStr">
        <is>
          <t>TINIDAZOLE TABLET ORAL 500 mg</t>
        </is>
      </c>
      <c r="C1313" s="25">
        <f>IF(COUNTIF('کدهای پیام‌داروساز'!$A$2:$A$2442,A1313)&gt;0,"بله","خیر")</f>
        <v/>
      </c>
    </row>
    <row r="1314" ht="15" customHeight="1" s="14">
      <c r="A1314" s="24" t="n">
        <v>5283</v>
      </c>
      <c r="B1314" s="24" t="inlineStr">
        <is>
          <t>TRASTUZUMAB INJECTION, POWDER, LYOPHILIZED, FOR SOLUTION PARENTERAL 150 mg</t>
        </is>
      </c>
      <c r="C1314" s="25">
        <f>IF(COUNTIF('کدهای پیام‌داروساز'!$A$2:$A$2442,A1314)&gt;0,"بله","خیر")</f>
        <v/>
      </c>
    </row>
    <row r="1315" ht="15" customHeight="1" s="14">
      <c r="A1315" s="24" t="n">
        <v>5291</v>
      </c>
      <c r="B1315" s="24" t="inlineStr">
        <is>
          <t>CETRORELIX INJECTION, POWDER, FOR SOLUTION PARENTERAL 250 ug</t>
        </is>
      </c>
      <c r="C1315" s="25">
        <f>IF(COUNTIF('کدهای پیام‌داروساز'!$A$2:$A$2442,A1315)&gt;0,"بله","خیر")</f>
        <v/>
      </c>
    </row>
    <row r="1316" ht="15" customHeight="1" s="14">
      <c r="A1316" s="24" t="n">
        <v>5421</v>
      </c>
      <c r="B1316" s="24" t="inlineStr">
        <is>
          <t>PIMECROLIMUS CREAM TOPICAL 1 % 30 g</t>
        </is>
      </c>
      <c r="C1316" s="25">
        <f>IF(COUNTIF('کدهای پیام‌داروساز'!$A$2:$A$2442,A1316)&gt;0,"بله","خیر")</f>
        <v/>
      </c>
    </row>
    <row r="1317" ht="15" customHeight="1" s="14">
      <c r="A1317" s="24" t="n">
        <v>5423</v>
      </c>
      <c r="B1317" s="24" t="inlineStr">
        <is>
          <t>VALSARTAN TABLET ORAL 80 mg</t>
        </is>
      </c>
      <c r="C1317" s="25">
        <f>IF(COUNTIF('کدهای پیام‌داروساز'!$A$2:$A$2442,A1317)&gt;0,"بله","خیر")</f>
        <v/>
      </c>
    </row>
    <row r="1318" ht="15" customHeight="1" s="14">
      <c r="A1318" s="24" t="n">
        <v>5427</v>
      </c>
      <c r="B1318" s="24" t="inlineStr">
        <is>
          <t>OCTREOTIDE (AS ACETATE) INJECTION, POWDER, FOR SUSPENSION, EXTENDED RELEASE PARENTERAL 30 mg</t>
        </is>
      </c>
      <c r="C1318" s="25">
        <f>IF(COUNTIF('کدهای پیام‌داروساز'!$A$2:$A$2442,A1318)&gt;0,"بله","خیر")</f>
        <v/>
      </c>
    </row>
    <row r="1319" ht="15" customHeight="1" s="14">
      <c r="A1319" s="24" t="n">
        <v>5437</v>
      </c>
      <c r="B1319" s="24" t="inlineStr">
        <is>
          <t>OSELTAMIVIR (AS PHOSPHATE) CAPSULE ORAL 75 mg</t>
        </is>
      </c>
      <c r="C1319" s="25">
        <f>IF(COUNTIF('کدهای پیام‌داروساز'!$A$2:$A$2442,A1319)&gt;0,"بله","خیر")</f>
        <v/>
      </c>
    </row>
    <row r="1320" ht="15" customHeight="1" s="14">
      <c r="A1320" s="24" t="n">
        <v>5442</v>
      </c>
      <c r="B1320" s="24" t="inlineStr">
        <is>
          <t>GLICLAZIDE TABLET, EXTENDED RELEASE ORAL 30 mg</t>
        </is>
      </c>
      <c r="C1320" s="25">
        <f>IF(COUNTIF('کدهای پیام‌داروساز'!$A$2:$A$2442,A1320)&gt;0,"بله","خیر")</f>
        <v/>
      </c>
    </row>
    <row r="1321" ht="15" customHeight="1" s="14">
      <c r="A1321" s="24" t="n">
        <v>5452</v>
      </c>
      <c r="B1321" s="24" t="inlineStr">
        <is>
          <t>MELOXICAM TABLET ORAL 7.5 mg</t>
        </is>
      </c>
      <c r="C1321" s="25">
        <f>IF(COUNTIF('کدهای پیام‌داروساز'!$A$2:$A$2442,A1321)&gt;0,"بله","خیر")</f>
        <v/>
      </c>
    </row>
    <row r="1322" ht="15" customHeight="1" s="14">
      <c r="A1322" s="24" t="n">
        <v>5519</v>
      </c>
      <c r="B1322" s="24" t="inlineStr">
        <is>
          <t>ARIPIPRAZOLE TABLET ORAL 10 mg</t>
        </is>
      </c>
      <c r="C1322" s="25">
        <f>IF(COUNTIF('کدهای پیام‌داروساز'!$A$2:$A$2442,A1322)&gt;0,"بله","خیر")</f>
        <v/>
      </c>
    </row>
    <row r="1323" ht="15" customHeight="1" s="14">
      <c r="A1323" s="24" t="n">
        <v>5521</v>
      </c>
      <c r="B1323" s="24" t="inlineStr">
        <is>
          <t>ARIPIPRAZOLE TABLET ORAL 15 mg</t>
        </is>
      </c>
      <c r="C1323" s="25">
        <f>IF(COUNTIF('کدهای پیام‌داروساز'!$A$2:$A$2442,A1323)&gt;0,"بله","خیر")</f>
        <v/>
      </c>
    </row>
    <row r="1324" ht="15" customHeight="1" s="14">
      <c r="A1324" s="24" t="n">
        <v>5526</v>
      </c>
      <c r="B1324" s="24" t="inlineStr">
        <is>
          <t>CO-TRIMOXAZOLE TABLET ORAL 800 mg/160 mg</t>
        </is>
      </c>
      <c r="C1324" s="25">
        <f>IF(COUNTIF('کدهای پیام‌داروساز'!$A$2:$A$2442,A1324)&gt;0,"بله","خیر")</f>
        <v/>
      </c>
    </row>
    <row r="1325" ht="15" customHeight="1" s="14">
      <c r="A1325" s="24" t="n">
        <v>5560</v>
      </c>
      <c r="B1325" s="24" t="inlineStr">
        <is>
          <t>VALSARTAN CAPSULE ORAL 80 mg</t>
        </is>
      </c>
      <c r="C1325" s="25">
        <f>IF(COUNTIF('کدهای پیام‌داروساز'!$A$2:$A$2442,A1325)&gt;0,"بله","خیر")</f>
        <v/>
      </c>
    </row>
    <row r="1326" ht="15" customHeight="1" s="14">
      <c r="A1326" s="24" t="n">
        <v>5561</v>
      </c>
      <c r="B1326" s="24" t="inlineStr">
        <is>
          <t>VALSARTAN CAPSULE ORAL 160 mg</t>
        </is>
      </c>
      <c r="C1326" s="25">
        <f>IF(COUNTIF('کدهای پیام‌داروساز'!$A$2:$A$2442,A1326)&gt;0,"بله","خیر")</f>
        <v/>
      </c>
    </row>
    <row r="1327" ht="15" customHeight="1" s="14">
      <c r="A1327" s="24" t="n">
        <v>5596</v>
      </c>
      <c r="B1327" s="24" t="inlineStr">
        <is>
          <t>DYDROGESTERONE TABLET ORAL 10 mg</t>
        </is>
      </c>
      <c r="C1327" s="25">
        <f>IF(COUNTIF('کدهای پیام‌داروساز'!$A$2:$A$2442,A1327)&gt;0,"بله","خیر")</f>
        <v/>
      </c>
    </row>
    <row r="1328" ht="15" customHeight="1" s="14">
      <c r="A1328" s="24" t="n">
        <v>5599</v>
      </c>
      <c r="B1328" s="24" t="inlineStr">
        <is>
          <t>GADOTERATE MEGLUMINE INJECTION PARENTERAL 376.9 mg/1mL 20 mL</t>
        </is>
      </c>
      <c r="C1328" s="25">
        <f>IF(COUNTIF('کدهای پیام‌داروساز'!$A$2:$A$2442,A1328)&gt;0,"بله","خیر")</f>
        <v/>
      </c>
    </row>
    <row r="1329" ht="15" customHeight="1" s="14">
      <c r="A1329" s="24" t="n">
        <v>5615</v>
      </c>
      <c r="B1329" s="24" t="inlineStr">
        <is>
          <t>BEVACIZUMAB INJECTION, SOLUTION, CONCENTRATE PARENTERAL 25 mg/1mL 4 mL</t>
        </is>
      </c>
      <c r="C1329" s="25">
        <f>IF(COUNTIF('کدهای پیام‌داروساز'!$A$2:$A$2442,A1329)&gt;0,"بله","خیر")</f>
        <v/>
      </c>
    </row>
    <row r="1330" ht="15" customHeight="1" s="14">
      <c r="A1330" s="24" t="n">
        <v>5616</v>
      </c>
      <c r="B1330" s="24" t="inlineStr">
        <is>
          <t>BEVACIZUMAB INJECTION, SOLUTION, CONCENTRATE PARENTERAL 25 mg/1mL 16 mL</t>
        </is>
      </c>
      <c r="C1330" s="25">
        <f>IF(COUNTIF('کدهای پیام‌داروساز'!$A$2:$A$2442,A1330)&gt;0,"بله","خیر")</f>
        <v/>
      </c>
    </row>
    <row r="1331" ht="15" customHeight="1" s="14">
      <c r="A1331" s="24" t="n">
        <v>5624</v>
      </c>
      <c r="B1331" s="24" t="inlineStr">
        <is>
          <t>PIOGLITAZONE TABLET ORAL 15 mg</t>
        </is>
      </c>
      <c r="C1331" s="25">
        <f>IF(COUNTIF('کدهای پیام‌داروساز'!$A$2:$A$2442,A1331)&gt;0,"بله","خیر")</f>
        <v/>
      </c>
    </row>
    <row r="1332" ht="15" customHeight="1" s="14">
      <c r="A1332" s="24" t="n">
        <v>5625</v>
      </c>
      <c r="B1332" s="24" t="inlineStr">
        <is>
          <t>PIOGLITAZONE TABLET ORAL 45 mg</t>
        </is>
      </c>
      <c r="C1332" s="25">
        <f>IF(COUNTIF('کدهای پیام‌داروساز'!$A$2:$A$2442,A1332)&gt;0,"بله","خیر")</f>
        <v/>
      </c>
    </row>
    <row r="1333" ht="15" customHeight="1" s="14">
      <c r="A1333" s="24" t="n">
        <v>5629</v>
      </c>
      <c r="B1333" s="24" t="inlineStr">
        <is>
          <t>MEROPENEM INJECTION, POWDER, FOR SOLUTION PARENTERAL 1 g</t>
        </is>
      </c>
      <c r="C1333" s="25">
        <f>IF(COUNTIF('کدهای پیام‌داروساز'!$A$2:$A$2442,A1333)&gt;0,"بله","خیر")</f>
        <v/>
      </c>
    </row>
    <row r="1334" ht="15" customHeight="1" s="14">
      <c r="A1334" s="24" t="n">
        <v>5635</v>
      </c>
      <c r="B1334" s="24" t="inlineStr">
        <is>
          <t>TIZANIDINE TABLET ORAL 4 mg</t>
        </is>
      </c>
      <c r="C1334" s="25">
        <f>IF(COUNTIF('کدهای پیام‌داروساز'!$A$2:$A$2442,A1334)&gt;0,"بله","خیر")</f>
        <v/>
      </c>
    </row>
    <row r="1335" ht="15" customHeight="1" s="14">
      <c r="A1335" s="24" t="n">
        <v>5637</v>
      </c>
      <c r="B1335" s="24" t="inlineStr">
        <is>
          <t>INDAPAMIDE TABLET, EXTENDED RELEASE ORAL 1.5 mg</t>
        </is>
      </c>
      <c r="C1335" s="25">
        <f>IF(COUNTIF('کدهای پیام‌داروساز'!$A$2:$A$2442,A1335)&gt;0,"بله","خیر")</f>
        <v/>
      </c>
    </row>
    <row r="1336" ht="15" customHeight="1" s="14">
      <c r="A1336" s="24" t="n">
        <v>5657</v>
      </c>
      <c r="B1336" s="24" t="inlineStr">
        <is>
          <t>EZETIMIBE TABLET ORAL 10 mg</t>
        </is>
      </c>
      <c r="C1336" s="25">
        <f>IF(COUNTIF('کدهای پیام‌داروساز'!$A$2:$A$2442,A1336)&gt;0,"بله","خیر")</f>
        <v/>
      </c>
    </row>
    <row r="1337" ht="15" customHeight="1" s="14">
      <c r="A1337" s="24" t="n">
        <v>5691</v>
      </c>
      <c r="B1337" s="24" t="inlineStr">
        <is>
          <t>SERTRALINE (AS HYDROCHLORIDE) CAPSULE ORAL 100 mg</t>
        </is>
      </c>
      <c r="C1337" s="25">
        <f>IF(COUNTIF('کدهای پیام‌داروساز'!$A$2:$A$2442,A1337)&gt;0,"بله","خیر")</f>
        <v/>
      </c>
    </row>
    <row r="1338" ht="15" customHeight="1" s="14">
      <c r="A1338" s="24" t="n">
        <v>5692</v>
      </c>
      <c r="B1338" s="24" t="inlineStr">
        <is>
          <t>SERTRALINE (AS HYDROCHLORIDE) CAPSULE ORAL 50 mg</t>
        </is>
      </c>
      <c r="C1338" s="25">
        <f>IF(COUNTIF('کدهای پیام‌داروساز'!$A$2:$A$2442,A1338)&gt;0,"بله","خیر")</f>
        <v/>
      </c>
    </row>
    <row r="1339" ht="15" customHeight="1" s="14">
      <c r="A1339" s="24" t="n">
        <v>5702</v>
      </c>
      <c r="B1339" s="24" t="inlineStr">
        <is>
          <t>PIPERACILLIN (AS SODIUM) / TAZOBACTAM (AS SODIUM) INJECTION, POWDER, FOR SOLUTION PARENTERAL 3 g/0.375 g</t>
        </is>
      </c>
      <c r="C1339" s="25">
        <f>IF(COUNTIF('کدهای پیام‌داروساز'!$A$2:$A$2442,A1339)&gt;0,"بله","خیر")</f>
        <v/>
      </c>
    </row>
    <row r="1340" ht="15" customHeight="1" s="14">
      <c r="A1340" s="24" t="n">
        <v>5728</v>
      </c>
      <c r="B1340" s="24" t="inlineStr">
        <is>
          <t>COAGULATION FACTOR VIII (HUMAN PLASMA DERIVED) INJECTION, POWDER, LYOPHILIZED, FOR SOLUTION PARENTERAL 1000 [iU]</t>
        </is>
      </c>
      <c r="C1340" s="25">
        <f>IF(COUNTIF('کدهای پیام‌داروساز'!$A$2:$A$2442,A1340)&gt;0,"بله","خیر")</f>
        <v/>
      </c>
    </row>
    <row r="1341" ht="15" customHeight="1" s="14">
      <c r="A1341" s="24" t="n">
        <v>5746</v>
      </c>
      <c r="B1341" s="24" t="inlineStr">
        <is>
          <t>DEXTROSE INJECTION, SOLUTION INTRAVENOUS 5 % 500 mL</t>
        </is>
      </c>
      <c r="C1341" s="25">
        <f>IF(COUNTIF('کدهای پیام‌داروساز'!$A$2:$A$2442,A1341)&gt;0,"بله","خیر")</f>
        <v/>
      </c>
    </row>
    <row r="1342" ht="15" customHeight="1" s="14">
      <c r="A1342" s="24" t="n">
        <v>5760</v>
      </c>
      <c r="B1342" s="24" t="inlineStr">
        <is>
          <t>FORMOTEROL FUMARATE CAPSULE RESPIRATORY 12 ug</t>
        </is>
      </c>
      <c r="C1342" s="25">
        <f>IF(COUNTIF('کدهای پیام‌داروساز'!$A$2:$A$2442,A1342)&gt;0,"بله","خیر")</f>
        <v/>
      </c>
    </row>
    <row r="1343" ht="15" customHeight="1" s="14">
      <c r="A1343" s="24" t="n">
        <v>5766</v>
      </c>
      <c r="B1343" s="24" t="inlineStr">
        <is>
          <t>VALSARTAN TABLET ORAL 160 mg</t>
        </is>
      </c>
      <c r="C1343" s="25">
        <f>IF(COUNTIF('کدهای پیام‌داروساز'!$A$2:$A$2442,A1343)&gt;0,"بله","خیر")</f>
        <v/>
      </c>
    </row>
    <row r="1344" ht="15" customHeight="1" s="14">
      <c r="A1344" s="24" t="n">
        <v>5775</v>
      </c>
      <c r="B1344" s="24" t="inlineStr">
        <is>
          <t>ALTEPLASE INJECTION, POWDER, FOR SOLUTION PARENTERAL 50 mg</t>
        </is>
      </c>
      <c r="C1344" s="25">
        <f>IF(COUNTIF('کدهای پیام‌داروساز'!$A$2:$A$2442,A1344)&gt;0,"بله","خیر")</f>
        <v/>
      </c>
    </row>
    <row r="1345" ht="15" customHeight="1" s="14">
      <c r="A1345" s="24" t="n">
        <v>5791</v>
      </c>
      <c r="B1345" s="24" t="inlineStr">
        <is>
          <t>VENLAFAXINE CAPSULE ORAL 37.5 mg</t>
        </is>
      </c>
      <c r="C1345" s="25">
        <f>IF(COUNTIF('کدهای پیام‌داروساز'!$A$2:$A$2442,A1345)&gt;0,"بله","خیر")</f>
        <v/>
      </c>
    </row>
    <row r="1346" ht="15" customHeight="1" s="14">
      <c r="A1346" s="24" t="n">
        <v>5804</v>
      </c>
      <c r="B1346" s="24" t="inlineStr">
        <is>
          <t>TACROLIMUS CAPSULE ORAL 0.5 mg</t>
        </is>
      </c>
      <c r="C1346" s="25">
        <f>IF(COUNTIF('کدهای پیام‌داروساز'!$A$2:$A$2442,A1346)&gt;0,"بله","خیر")</f>
        <v/>
      </c>
    </row>
    <row r="1347" ht="15" customHeight="1" s="14">
      <c r="A1347" s="24" t="n">
        <v>5831</v>
      </c>
      <c r="B1347" s="24" t="inlineStr">
        <is>
          <t>INFLIXIMAB INJECTION, POWDER, FOR SOLUTION PARENTERAL 100 mg</t>
        </is>
      </c>
      <c r="C1347" s="25">
        <f>IF(COUNTIF('کدهای پیام‌داروساز'!$A$2:$A$2442,A1347)&gt;0,"بله","خیر")</f>
        <v/>
      </c>
    </row>
    <row r="1348" ht="15" customHeight="1" s="14">
      <c r="A1348" s="24" t="n">
        <v>5842</v>
      </c>
      <c r="B1348" s="24" t="inlineStr">
        <is>
          <t>IMMUNE GLOBULIN INJECTION INTRAVENOUS 50 mg/1mL 100 mL</t>
        </is>
      </c>
      <c r="C1348" s="25">
        <f>IF(COUNTIF('کدهای پیام‌داروساز'!$A$2:$A$2442,A1348)&gt;0,"بله","خیر")</f>
        <v/>
      </c>
    </row>
    <row r="1349" ht="15" customHeight="1" s="14">
      <c r="A1349" s="24" t="n">
        <v>5843</v>
      </c>
      <c r="B1349" s="24" t="inlineStr">
        <is>
          <t>IMMUNE GLOBULIN INJECTION INTRAVENOUS 50 mg/1mL 50 mL</t>
        </is>
      </c>
      <c r="C1349" s="25">
        <f>IF(COUNTIF('کدهای پیام‌داروساز'!$A$2:$A$2442,A1349)&gt;0,"بله","خیر")</f>
        <v/>
      </c>
    </row>
    <row r="1350" ht="15" customHeight="1" s="14">
      <c r="A1350" s="24" t="n">
        <v>5845</v>
      </c>
      <c r="B1350" s="24" t="inlineStr">
        <is>
          <t>DOXORUBICIN HYDROCHLORIDE INJECTION, SOLUTION, CONCENTRATE PARENTERAL 2 mg/1mL 10 mL</t>
        </is>
      </c>
      <c r="C1350" s="25">
        <f>IF(COUNTIF('کدهای پیام‌داروساز'!$A$2:$A$2442,A1350)&gt;0,"بله","خیر")</f>
        <v/>
      </c>
    </row>
    <row r="1351" ht="15" customHeight="1" s="14">
      <c r="A1351" s="24" t="n">
        <v>5883</v>
      </c>
      <c r="B1351" s="24" t="inlineStr">
        <is>
          <t>ZOLEDRONIC ACID INJECTION, POWDER, FOR SOLUTION PARENTERAL 4 mg</t>
        </is>
      </c>
      <c r="C1351" s="25">
        <f>IF(COUNTIF('کدهای پیام‌داروساز'!$A$2:$A$2442,A1351)&gt;0,"بله","خیر")</f>
        <v/>
      </c>
    </row>
    <row r="1352" ht="15" customHeight="1" s="14">
      <c r="A1352" s="24" t="n">
        <v>5917</v>
      </c>
      <c r="B1352" s="24" t="inlineStr">
        <is>
          <t>MEMANTINE HYDROCHLORIDE TABLET ORAL 10 mg</t>
        </is>
      </c>
      <c r="C1352" s="25">
        <f>IF(COUNTIF('کدهای پیام‌داروساز'!$A$2:$A$2442,A1352)&gt;0,"بله","خیر")</f>
        <v/>
      </c>
    </row>
    <row r="1353" ht="15" customHeight="1" s="14">
      <c r="A1353" s="24" t="n">
        <v>5922</v>
      </c>
      <c r="B1353" s="24" t="inlineStr">
        <is>
          <t>ESOMEPRAZOLE TABLET, DELAYED RELEASE ORAL 20 mg</t>
        </is>
      </c>
      <c r="C1353" s="25">
        <f>IF(COUNTIF('کدهای پیام‌داروساز'!$A$2:$A$2442,A1353)&gt;0,"بله","خیر")</f>
        <v/>
      </c>
    </row>
    <row r="1354" ht="15" customHeight="1" s="14">
      <c r="A1354" s="24" t="n">
        <v>5923</v>
      </c>
      <c r="B1354" s="24" t="inlineStr">
        <is>
          <t>ESOMEPRAZOLE TABLET, DELAYED RELEASE ORAL 40 mg</t>
        </is>
      </c>
      <c r="C1354" s="25">
        <f>IF(COUNTIF('کدهای پیام‌داروساز'!$A$2:$A$2442,A1354)&gt;0,"بله","خیر")</f>
        <v/>
      </c>
    </row>
    <row r="1355" ht="15" customHeight="1" s="14">
      <c r="A1355" s="24" t="n">
        <v>5927</v>
      </c>
      <c r="B1355" s="24" t="inlineStr">
        <is>
          <t>QUETIAPINE (AS FUMARATE) TABLET ORAL 100 mg</t>
        </is>
      </c>
      <c r="C1355" s="25">
        <f>IF(COUNTIF('کدهای پیام‌داروساز'!$A$2:$A$2442,A1355)&gt;0,"بله","خیر")</f>
        <v/>
      </c>
    </row>
    <row r="1356" ht="15" customHeight="1" s="14">
      <c r="A1356" s="24" t="n">
        <v>5928</v>
      </c>
      <c r="B1356" s="24" t="inlineStr">
        <is>
          <t>QUETIAPINE (AS FUMARATE) TABLET ORAL 200 mg</t>
        </is>
      </c>
      <c r="C1356" s="25">
        <f>IF(COUNTIF('کدهای پیام‌داروساز'!$A$2:$A$2442,A1356)&gt;0,"بله","خیر")</f>
        <v/>
      </c>
    </row>
    <row r="1357" ht="15" customHeight="1" s="14">
      <c r="A1357" s="24" t="n">
        <v>5932</v>
      </c>
      <c r="B1357" s="24" t="inlineStr">
        <is>
          <t>PAROXETINE (AS HYDROCHLORIDE) TABLET ORAL 20 mg</t>
        </is>
      </c>
      <c r="C1357" s="25">
        <f>IF(COUNTIF('کدهای پیام‌داروساز'!$A$2:$A$2442,A1357)&gt;0,"بله","خیر")</f>
        <v/>
      </c>
    </row>
    <row r="1358" ht="15" customHeight="1" s="14">
      <c r="A1358" s="24" t="n">
        <v>5934</v>
      </c>
      <c r="B1358" s="24" t="inlineStr">
        <is>
          <t>SERTRALINE (AS HYDROCHLORIDE) TABLET ORAL 25 mg</t>
        </is>
      </c>
      <c r="C1358" s="25">
        <f>IF(COUNTIF('کدهای پیام‌داروساز'!$A$2:$A$2442,A1358)&gt;0,"بله","خیر")</f>
        <v/>
      </c>
    </row>
    <row r="1359" ht="15" customHeight="1" s="14">
      <c r="A1359" s="24" t="n">
        <v>5949</v>
      </c>
      <c r="B1359" s="24" t="inlineStr">
        <is>
          <t>TEMOZOLOMIDE CAPSULE ORAL 100 mg</t>
        </is>
      </c>
      <c r="C1359" s="25">
        <f>IF(COUNTIF('کدهای پیام‌داروساز'!$A$2:$A$2442,A1359)&gt;0,"بله","خیر")</f>
        <v/>
      </c>
    </row>
    <row r="1360" ht="15" customHeight="1" s="14">
      <c r="A1360" s="24" t="n">
        <v>5950</v>
      </c>
      <c r="B1360" s="24" t="inlineStr">
        <is>
          <t>TEMOZOLOMIDE CAPSULE ORAL 250 mg</t>
        </is>
      </c>
      <c r="C1360" s="25">
        <f>IF(COUNTIF('کدهای پیام‌داروساز'!$A$2:$A$2442,A1360)&gt;0,"بله","خیر")</f>
        <v/>
      </c>
    </row>
    <row r="1361" ht="15" customHeight="1" s="14">
      <c r="A1361" s="24" t="n">
        <v>5951</v>
      </c>
      <c r="B1361" s="24" t="inlineStr">
        <is>
          <t>ADULT COLD PREPARATIONS (4-3) TABLET ORAL 325 mg/5 mg/2 mg</t>
        </is>
      </c>
      <c r="C1361" s="25">
        <f>IF(COUNTIF('کدهای پیام‌داروساز'!$A$2:$A$2442,A1361)&gt;0,"بله","خیر")</f>
        <v/>
      </c>
    </row>
    <row r="1362" ht="15" customHeight="1" s="14">
      <c r="A1362" s="24" t="n">
        <v>5962</v>
      </c>
      <c r="B1362" s="24" t="inlineStr">
        <is>
          <t>IVERMECTIN TABLET ORAL 3 mg</t>
        </is>
      </c>
      <c r="C1362" s="25">
        <f>IF(COUNTIF('کدهای پیام‌داروساز'!$A$2:$A$2442,A1362)&gt;0,"بله","خیر")</f>
        <v/>
      </c>
    </row>
    <row r="1363" ht="15" customHeight="1" s="14">
      <c r="A1363" s="24" t="n">
        <v>5964</v>
      </c>
      <c r="B1363" s="24" t="inlineStr">
        <is>
          <t>DORZOLAMIDE (AS HYDROCHLORIDE) / TIMOLOL (AS MALEATE) SOLUTION, DROPS OPHTHALMIC 2 %/0.5 % 5 mL</t>
        </is>
      </c>
      <c r="C1363" s="25">
        <f>IF(COUNTIF('کدهای پیام‌داروساز'!$A$2:$A$2442,A1363)&gt;0,"بله","خیر")</f>
        <v/>
      </c>
    </row>
    <row r="1364" ht="15" customHeight="1" s="14">
      <c r="A1364" s="24" t="n">
        <v>5966</v>
      </c>
      <c r="B1364" s="24" t="inlineStr">
        <is>
          <t>INFLUENZA VACCINE, INACTIVATED, TRIVALENT INJECTION PARENTERAL 1 {dose}</t>
        </is>
      </c>
      <c r="C1364" s="25">
        <f>IF(COUNTIF('کدهای پیام‌داروساز'!$A$2:$A$2442,A1364)&gt;0,"بله","خیر")</f>
        <v/>
      </c>
    </row>
    <row r="1365" ht="15" customHeight="1" s="14">
      <c r="A1365" s="24" t="n">
        <v>5970</v>
      </c>
      <c r="B1365" s="24" t="inlineStr">
        <is>
          <t>DULOXETINE CAPSULE, DELAYED RELEASE ORAL 60 mg</t>
        </is>
      </c>
      <c r="C1365" s="25">
        <f>IF(COUNTIF('کدهای پیام‌داروساز'!$A$2:$A$2442,A1365)&gt;0,"بله","خیر")</f>
        <v/>
      </c>
    </row>
    <row r="1366" ht="15" customHeight="1" s="14">
      <c r="A1366" s="24" t="n">
        <v>5973</v>
      </c>
      <c r="B1366" s="24" t="inlineStr">
        <is>
          <t>LEVETIRACETAM TABLET ORAL 250 mg</t>
        </is>
      </c>
      <c r="C1366" s="25">
        <f>IF(COUNTIF('کدهای پیام‌داروساز'!$A$2:$A$2442,A1366)&gt;0,"بله","خیر")</f>
        <v/>
      </c>
    </row>
    <row r="1367" ht="15" customHeight="1" s="14">
      <c r="A1367" s="24" t="n">
        <v>5974</v>
      </c>
      <c r="B1367" s="24" t="inlineStr">
        <is>
          <t>LEFLUNOMIDE TABLET ORAL 20 mg</t>
        </is>
      </c>
      <c r="C1367" s="25">
        <f>IF(COUNTIF('کدهای پیام‌داروساز'!$A$2:$A$2442,A1367)&gt;0,"بله","خیر")</f>
        <v/>
      </c>
    </row>
    <row r="1368" ht="15" customHeight="1" s="14">
      <c r="A1368" s="24" t="n">
        <v>5975</v>
      </c>
      <c r="B1368" s="24" t="inlineStr">
        <is>
          <t>KETOTIFEN (AS FUMARATE) SOLUTION, DROPS OPHTHALMIC 0.025 % 5 mL</t>
        </is>
      </c>
      <c r="C1368" s="25">
        <f>IF(COUNTIF('کدهای پیام‌داروساز'!$A$2:$A$2442,A1368)&gt;0,"بله","خیر")</f>
        <v/>
      </c>
    </row>
    <row r="1369" ht="15" customHeight="1" s="14">
      <c r="A1369" s="24" t="n">
        <v>5977</v>
      </c>
      <c r="B1369" s="24" t="inlineStr">
        <is>
          <t>LEVETIRACETAM TABLET ORAL 500 mg</t>
        </is>
      </c>
      <c r="C1369" s="25">
        <f>IF(COUNTIF('کدهای پیام‌داروساز'!$A$2:$A$2442,A1369)&gt;0,"بله","خیر")</f>
        <v/>
      </c>
    </row>
    <row r="1370" ht="15" customHeight="1" s="14">
      <c r="A1370" s="24" t="n">
        <v>5979</v>
      </c>
      <c r="B1370" s="24" t="inlineStr">
        <is>
          <t>METHYLENE BLUE INJECTION PARENTERAL 10 mg/1mL 5 mL</t>
        </is>
      </c>
      <c r="C1370" s="25">
        <f>IF(COUNTIF('کدهای پیام‌داروساز'!$A$2:$A$2442,A1370)&gt;0,"بله","خیر")</f>
        <v/>
      </c>
    </row>
    <row r="1371" ht="15" customHeight="1" s="14">
      <c r="A1371" s="24" t="n">
        <v>5992</v>
      </c>
      <c r="B1371" s="24" t="inlineStr">
        <is>
          <t>FENOFIBRATE CAPSULE ORAL 200 mg</t>
        </is>
      </c>
      <c r="C1371" s="25">
        <f>IF(COUNTIF('کدهای پیام‌داروساز'!$A$2:$A$2442,A1371)&gt;0,"بله","خیر")</f>
        <v/>
      </c>
    </row>
    <row r="1372" ht="15" customHeight="1" s="14">
      <c r="A1372" s="24" t="n">
        <v>5997</v>
      </c>
      <c r="B1372" s="24" t="inlineStr">
        <is>
          <t>AZELAIC ACID CREAM TOPICAL 20 % 30 g</t>
        </is>
      </c>
      <c r="C1372" s="25">
        <f>IF(COUNTIF('کدهای پیام‌داروساز'!$A$2:$A$2442,A1372)&gt;0,"بله","خیر")</f>
        <v/>
      </c>
    </row>
    <row r="1373" ht="15" customHeight="1" s="14">
      <c r="A1373" s="24" t="n">
        <v>6016</v>
      </c>
      <c r="B1373" s="24" t="inlineStr">
        <is>
          <t>PILOCARPINE HYDROCHLORIDE TABLET ORAL 5 mg</t>
        </is>
      </c>
      <c r="C1373" s="25">
        <f>IF(COUNTIF('کدهای پیام‌داروساز'!$A$2:$A$2442,A1373)&gt;0,"بله","خیر")</f>
        <v/>
      </c>
    </row>
    <row r="1374" ht="15" customHeight="1" s="14">
      <c r="A1374" s="24" t="n">
        <v>6028</v>
      </c>
      <c r="B1374" s="24" t="inlineStr">
        <is>
          <t>ZOLPIDEM TARTRATE TABLET ORAL 10 mg</t>
        </is>
      </c>
      <c r="C1374" s="25">
        <f>IF(COUNTIF('کدهای پیام‌داروساز'!$A$2:$A$2442,A1374)&gt;0,"بله","خیر")</f>
        <v/>
      </c>
    </row>
    <row r="1375" ht="15" customHeight="1" s="14">
      <c r="A1375" s="24" t="n">
        <v>6043</v>
      </c>
      <c r="B1375" s="24" t="inlineStr">
        <is>
          <t>MONTELUKAST (AS SODIUM) TABLET ORAL 10 mg</t>
        </is>
      </c>
      <c r="C1375" s="25">
        <f>IF(COUNTIF('کدهای پیام‌داروساز'!$A$2:$A$2442,A1375)&gt;0,"بله","خیر")</f>
        <v/>
      </c>
    </row>
    <row r="1376" ht="15" customHeight="1" s="14">
      <c r="A1376" s="24" t="n">
        <v>6049</v>
      </c>
      <c r="B1376" s="24" t="inlineStr">
        <is>
          <t>PRAMIPEXOLE (AS DIHYDROCHLORIDE) TABLET ORAL 0.18 mg</t>
        </is>
      </c>
      <c r="C1376" s="25">
        <f>IF(COUNTIF('کدهای پیام‌داروساز'!$A$2:$A$2442,A1376)&gt;0,"بله","خیر")</f>
        <v/>
      </c>
    </row>
    <row r="1377" ht="15" customHeight="1" s="14">
      <c r="A1377" s="24" t="n">
        <v>6050</v>
      </c>
      <c r="B1377" s="24" t="inlineStr">
        <is>
          <t>PRAMIPEXOLE (AS DIHYDROCHLORIDE) TABLET ORAL 0.7 mg</t>
        </is>
      </c>
      <c r="C1377" s="25">
        <f>IF(COUNTIF('کدهای پیام‌داروساز'!$A$2:$A$2442,A1377)&gt;0,"بله","خیر")</f>
        <v/>
      </c>
    </row>
    <row r="1378" ht="15" customHeight="1" s="14">
      <c r="A1378" s="24" t="n">
        <v>6066</v>
      </c>
      <c r="B1378" s="24" t="inlineStr">
        <is>
          <t>MEDROXYPROGESTERONE ACETATE INJECTION, SUSPENSION PARENTERAL 150 mg/1mL 3.3 mL</t>
        </is>
      </c>
      <c r="C1378" s="25">
        <f>IF(COUNTIF('کدهای پیام‌داروساز'!$A$2:$A$2442,A1378)&gt;0,"بله","خیر")</f>
        <v/>
      </c>
    </row>
    <row r="1379" ht="15" customHeight="1" s="14">
      <c r="A1379" s="24" t="n">
        <v>6072</v>
      </c>
      <c r="B1379" s="24" t="inlineStr">
        <is>
          <t>PHENYTOIN SUSPENSION ORAL 30 mg/5mL 120 mL</t>
        </is>
      </c>
      <c r="C1379" s="25">
        <f>IF(COUNTIF('کدهای پیام‌داروساز'!$A$2:$A$2442,A1379)&gt;0,"بله","خیر")</f>
        <v/>
      </c>
    </row>
    <row r="1380" ht="15" customHeight="1" s="14">
      <c r="A1380" s="24" t="n">
        <v>6078</v>
      </c>
      <c r="B1380" s="24" t="inlineStr">
        <is>
          <t>DEFLAZACORT TABLET ORAL 6 mg</t>
        </is>
      </c>
      <c r="C1380" s="25">
        <f>IF(COUNTIF('کدهای پیام‌داروساز'!$A$2:$A$2442,A1380)&gt;0,"بله","خیر")</f>
        <v/>
      </c>
    </row>
    <row r="1381" ht="15" customHeight="1" s="14">
      <c r="A1381" s="24" t="n">
        <v>6104</v>
      </c>
      <c r="B1381" s="24" t="inlineStr">
        <is>
          <t>RISEDRONATE SODIUM TABLET ORAL 35 mg</t>
        </is>
      </c>
      <c r="C1381" s="25">
        <f>IF(COUNTIF('کدهای پیام‌داروساز'!$A$2:$A$2442,A1381)&gt;0,"بله","خیر")</f>
        <v/>
      </c>
    </row>
    <row r="1382" ht="15" customHeight="1" s="14">
      <c r="A1382" s="24" t="n">
        <v>6119</v>
      </c>
      <c r="B1382" s="24" t="inlineStr">
        <is>
          <t>PEMETREXED (AS DISODIUM) INJECTION, POWDER, LYOPHILIZED, FOR SOLUTION PARENTERAL 500 mg</t>
        </is>
      </c>
      <c r="C1382" s="25">
        <f>IF(COUNTIF('کدهای پیام‌داروساز'!$A$2:$A$2442,A1382)&gt;0,"بله","خیر")</f>
        <v/>
      </c>
    </row>
    <row r="1383" ht="15" customHeight="1" s="14">
      <c r="A1383" s="24" t="n">
        <v>6134</v>
      </c>
      <c r="B1383" s="24" t="inlineStr">
        <is>
          <t>ATOMOXETINE HYDROCHLORIDE CAPSULE ORAL 40 mg</t>
        </is>
      </c>
      <c r="C1383" s="25">
        <f>IF(COUNTIF('کدهای پیام‌داروساز'!$A$2:$A$2442,A1383)&gt;0,"بله","خیر")</f>
        <v/>
      </c>
    </row>
    <row r="1384" ht="15" customHeight="1" s="14">
      <c r="A1384" s="24" t="n">
        <v>6135</v>
      </c>
      <c r="B1384" s="24" t="inlineStr">
        <is>
          <t>ATOMOXETINE HYDROCHLORIDE CAPSULE ORAL 18 mg</t>
        </is>
      </c>
      <c r="C1384" s="25">
        <f>IF(COUNTIF('کدهای پیام‌داروساز'!$A$2:$A$2442,A1384)&gt;0,"بله","خیر")</f>
        <v/>
      </c>
    </row>
    <row r="1385" ht="15" customHeight="1" s="14">
      <c r="A1385" s="24" t="n">
        <v>6136</v>
      </c>
      <c r="B1385" s="24" t="inlineStr">
        <is>
          <t>ATOMOXETINE HYDROCHLORIDE CAPSULE ORAL 25 mg</t>
        </is>
      </c>
      <c r="C1385" s="25">
        <f>IF(COUNTIF('کدهای پیام‌داروساز'!$A$2:$A$2442,A1385)&gt;0,"بله","خیر")</f>
        <v/>
      </c>
    </row>
    <row r="1386" ht="15" customHeight="1" s="14">
      <c r="A1386" s="24" t="n">
        <v>6154</v>
      </c>
      <c r="B1386" s="24" t="inlineStr">
        <is>
          <t>ERLOTINIB (AS HYDROCHLORIDE) TABLET ORAL 150 mg</t>
        </is>
      </c>
      <c r="C1386" s="25">
        <f>IF(COUNTIF('کدهای پیام‌داروساز'!$A$2:$A$2442,A1386)&gt;0,"بله","خیر")</f>
        <v/>
      </c>
    </row>
    <row r="1387" ht="15" customHeight="1" s="14">
      <c r="A1387" s="24" t="n">
        <v>6165</v>
      </c>
      <c r="B1387" s="24" t="inlineStr">
        <is>
          <t>BUDESONIDE CAPSULE, DELAYED RELEASE ORAL 3 mg</t>
        </is>
      </c>
      <c r="C1387" s="25">
        <f>IF(COUNTIF('کدهای پیام‌داروساز'!$A$2:$A$2442,A1387)&gt;0,"بله","خیر")</f>
        <v/>
      </c>
    </row>
    <row r="1388" ht="15" customHeight="1" s="14">
      <c r="A1388" s="24" t="n">
        <v>6170</v>
      </c>
      <c r="B1388" s="24" t="inlineStr">
        <is>
          <t>VALPROATE SODIUM SYRUP ORAL 200 mg/5mL 300 mL</t>
        </is>
      </c>
      <c r="C1388" s="25">
        <f>IF(COUNTIF('کدهای پیام‌داروساز'!$A$2:$A$2442,A1388)&gt;0,"بله","خیر")</f>
        <v/>
      </c>
    </row>
    <row r="1389" ht="15" customHeight="1" s="14">
      <c r="A1389" s="24" t="n">
        <v>6184</v>
      </c>
      <c r="B1389" s="24" t="inlineStr">
        <is>
          <t>ISOTRETINOIN GEL TOPICAL 0.05 % 30 g</t>
        </is>
      </c>
      <c r="C1389" s="25">
        <f>IF(COUNTIF('کدهای پیام‌داروساز'!$A$2:$A$2442,A1389)&gt;0,"بله","خیر")</f>
        <v/>
      </c>
    </row>
    <row r="1390" ht="15" customHeight="1" s="14">
      <c r="A1390" s="24" t="n">
        <v>6222</v>
      </c>
      <c r="B1390" s="24" t="inlineStr">
        <is>
          <t>LANSOPRAZOLE CAPSULE, DELAYED RELEASE ORAL 30 mg</t>
        </is>
      </c>
      <c r="C1390" s="25">
        <f>IF(COUNTIF('کدهای پیام‌داروساز'!$A$2:$A$2442,A1390)&gt;0,"بله","خیر")</f>
        <v/>
      </c>
    </row>
    <row r="1391" ht="15" customHeight="1" s="14">
      <c r="A1391" s="24" t="n">
        <v>6242</v>
      </c>
      <c r="B1391" s="24" t="inlineStr">
        <is>
          <t>PEGINTERFERON ALFA-2B INJECTION, POWDER, LYOPHILIZED, FOR SOLUTION PARENTERAL 50 ug</t>
        </is>
      </c>
      <c r="C1391" s="25">
        <f>IF(COUNTIF('کدهای پیام‌داروساز'!$A$2:$A$2442,A1391)&gt;0,"بله","خیر")</f>
        <v/>
      </c>
    </row>
    <row r="1392" ht="15" customHeight="1" s="14">
      <c r="A1392" s="24" t="n">
        <v>6243</v>
      </c>
      <c r="B1392" s="24" t="inlineStr">
        <is>
          <t>PEGINTERFERON ALFA-2B INJECTION, POWDER, LYOPHILIZED, FOR SOLUTION PARENTERAL 80 ug</t>
        </is>
      </c>
      <c r="C1392" s="25">
        <f>IF(COUNTIF('کدهای پیام‌داروساز'!$A$2:$A$2442,A1392)&gt;0,"بله","خیر")</f>
        <v/>
      </c>
    </row>
    <row r="1393" ht="15" customHeight="1" s="14">
      <c r="A1393" s="24" t="n">
        <v>6244</v>
      </c>
      <c r="B1393" s="24" t="inlineStr">
        <is>
          <t>PEGINTERFERON ALFA-2B INJECTION, POWDER, LYOPHILIZED, FOR SOLUTION PARENTERAL 100 ug</t>
        </is>
      </c>
      <c r="C1393" s="25">
        <f>IF(COUNTIF('کدهای پیام‌داروساز'!$A$2:$A$2442,A1393)&gt;0,"بله","خیر")</f>
        <v/>
      </c>
    </row>
    <row r="1394" ht="15" customHeight="1" s="14">
      <c r="A1394" s="24" t="n">
        <v>6245</v>
      </c>
      <c r="B1394" s="24" t="inlineStr">
        <is>
          <t>PEGINTERFERON ALFA-2B INJECTION, POWDER, LYOPHILIZED, FOR SOLUTION PARENTERAL 120 ug</t>
        </is>
      </c>
      <c r="C1394" s="25">
        <f>IF(COUNTIF('کدهای پیام‌داروساز'!$A$2:$A$2442,A1394)&gt;0,"بله","خیر")</f>
        <v/>
      </c>
    </row>
    <row r="1395" ht="15" customHeight="1" s="14">
      <c r="A1395" s="24" t="n">
        <v>6246</v>
      </c>
      <c r="B1395" s="24" t="inlineStr">
        <is>
          <t>PEGINTERFERON ALFA-2B INJECTION, POWDER, LYOPHILIZED, FOR SOLUTION PARENTERAL 150 ug</t>
        </is>
      </c>
      <c r="C1395" s="25">
        <f>IF(COUNTIF('کدهای پیام‌داروساز'!$A$2:$A$2442,A1395)&gt;0,"بله","خیر")</f>
        <v/>
      </c>
    </row>
    <row r="1396" ht="15" customHeight="1" s="14">
      <c r="A1396" s="24" t="n">
        <v>6275</v>
      </c>
      <c r="B1396" s="24" t="inlineStr">
        <is>
          <t>LOPERAMIDE HYDROCHLORIDE SOLUTION ORAL 1 mg/5mL 60 mL</t>
        </is>
      </c>
      <c r="C1396" s="25">
        <f>IF(COUNTIF('کدهای پیام‌داروساز'!$A$2:$A$2442,A1396)&gt;0,"بله","خیر")</f>
        <v/>
      </c>
    </row>
    <row r="1397" ht="15" customHeight="1" s="14">
      <c r="A1397" s="24" t="n">
        <v>6308</v>
      </c>
      <c r="B1397" s="24" t="inlineStr">
        <is>
          <t>SULINDAC TABLET ORAL 200 mg</t>
        </is>
      </c>
      <c r="C1397" s="25">
        <f>IF(COUNTIF('کدهای پیام‌داروساز'!$A$2:$A$2442,A1397)&gt;0,"بله","خیر")</f>
        <v/>
      </c>
    </row>
    <row r="1398" ht="15" customHeight="1" s="14">
      <c r="A1398" s="24" t="n">
        <v>6323</v>
      </c>
      <c r="B1398" s="24" t="inlineStr">
        <is>
          <t>PRALIDOXIME (AS METHYLSULFATE) INJECTION, POWDER, FOR SOLUTION PARENTERAL 200 mg</t>
        </is>
      </c>
      <c r="C1398" s="25">
        <f>IF(COUNTIF('کدهای پیام‌داروساز'!$A$2:$A$2442,A1398)&gt;0,"بله","خیر")</f>
        <v/>
      </c>
    </row>
    <row r="1399" ht="15" customHeight="1" s="14">
      <c r="A1399" s="24" t="n">
        <v>6331</v>
      </c>
      <c r="B1399" s="24" t="inlineStr">
        <is>
          <t>SODIUM FLUORIDE TABLET ORAL 25 mg</t>
        </is>
      </c>
      <c r="C1399" s="25">
        <f>IF(COUNTIF('کدهای پیام‌داروساز'!$A$2:$A$2442,A1399)&gt;0,"بله","خیر")</f>
        <v/>
      </c>
    </row>
    <row r="1400" ht="15" customHeight="1" s="14">
      <c r="A1400" s="24" t="n">
        <v>6340</v>
      </c>
      <c r="B1400" s="24" t="inlineStr">
        <is>
          <t>NITISINONE CAPSULE ORAL 10 mg</t>
        </is>
      </c>
      <c r="C1400" s="25">
        <f>IF(COUNTIF('کدهای پیام‌داروساز'!$A$2:$A$2442,A1400)&gt;0,"بله","خیر")</f>
        <v/>
      </c>
    </row>
    <row r="1401" ht="15" customHeight="1" s="14">
      <c r="A1401" s="24" t="n">
        <v>6343</v>
      </c>
      <c r="B1401" s="24" t="inlineStr">
        <is>
          <t>NITISINONE CAPSULE ORAL 2 mg</t>
        </is>
      </c>
      <c r="C1401" s="25">
        <f>IF(COUNTIF('کدهای پیام‌داروساز'!$A$2:$A$2442,A1401)&gt;0,"بله","خیر")</f>
        <v/>
      </c>
    </row>
    <row r="1402" ht="15" customHeight="1" s="14">
      <c r="A1402" s="24" t="n">
        <v>6346</v>
      </c>
      <c r="B1402" s="24" t="inlineStr">
        <is>
          <t>NITISINONE CAPSULE ORAL 5 mg</t>
        </is>
      </c>
      <c r="C1402" s="25">
        <f>IF(COUNTIF('کدهای پیام‌داروساز'!$A$2:$A$2442,A1402)&gt;0,"بله","خیر")</f>
        <v/>
      </c>
    </row>
    <row r="1403" ht="15" customHeight="1" s="14">
      <c r="A1403" s="24" t="n">
        <v>6353</v>
      </c>
      <c r="B1403" s="24" t="inlineStr">
        <is>
          <t>LARONIDASE INJECTION PARENTERAL 0.58 mg/1mL 5 mL</t>
        </is>
      </c>
      <c r="C1403" s="25">
        <f>IF(COUNTIF('کدهای پیام‌داروساز'!$A$2:$A$2442,A1403)&gt;0,"بله","خیر")</f>
        <v/>
      </c>
    </row>
    <row r="1404" ht="15" customHeight="1" s="14">
      <c r="A1404" s="24" t="n">
        <v>6369</v>
      </c>
      <c r="B1404" s="24" t="inlineStr">
        <is>
          <t>SODIUM PHENYLBUTYRATE INJECTION PARENTERAL 200 mg/1mL 10 mL</t>
        </is>
      </c>
      <c r="C1404" s="25">
        <f>IF(COUNTIF('کدهای پیام‌داروساز'!$A$2:$A$2442,A1404)&gt;0,"بله","خیر")</f>
        <v/>
      </c>
    </row>
    <row r="1405" ht="15" customHeight="1" s="14">
      <c r="A1405" s="24" t="n">
        <v>6370</v>
      </c>
      <c r="B1405" s="24" t="inlineStr">
        <is>
          <t>BETAINE POWDER, FOR SOLUTION ORAL 1 g/1g 180 g</t>
        </is>
      </c>
      <c r="C1405" s="25">
        <f>IF(COUNTIF('کدهای پیام‌داروساز'!$A$2:$A$2442,A1405)&gt;0,"بله","خیر")</f>
        <v/>
      </c>
    </row>
    <row r="1406" ht="15" customHeight="1" s="14">
      <c r="A1406" s="24" t="n">
        <v>6382</v>
      </c>
      <c r="B1406" s="24" t="inlineStr">
        <is>
          <t>VORICONAZOLE TABLET ORAL 200 mg</t>
        </is>
      </c>
      <c r="C1406" s="25">
        <f>IF(COUNTIF('کدهای پیام‌داروساز'!$A$2:$A$2442,A1406)&gt;0,"بله","خیر")</f>
        <v/>
      </c>
    </row>
    <row r="1407" ht="15" customHeight="1" s="14">
      <c r="A1407" s="24" t="n">
        <v>6383</v>
      </c>
      <c r="B1407" s="24" t="inlineStr">
        <is>
          <t>VORICONAZOLE INJECTION, POWDER, FOR SOLUTION PARENTERAL 200 mg</t>
        </is>
      </c>
      <c r="C1407" s="25">
        <f>IF(COUNTIF('کدهای پیام‌داروساز'!$A$2:$A$2442,A1407)&gt;0,"بله","خیر")</f>
        <v/>
      </c>
    </row>
    <row r="1408" ht="15" customHeight="1" s="14">
      <c r="A1408" s="24" t="n">
        <v>6403</v>
      </c>
      <c r="B1408" s="24" t="inlineStr">
        <is>
          <t>SODIUM PHENYLBUTYRATE TABLET ORAL 500 mg</t>
        </is>
      </c>
      <c r="C1408" s="25">
        <f>IF(COUNTIF('کدهای پیام‌داروساز'!$A$2:$A$2442,A1408)&gt;0,"بله","خیر")</f>
        <v/>
      </c>
    </row>
    <row r="1409" ht="15" customHeight="1" s="14">
      <c r="A1409" s="24" t="n">
        <v>6417</v>
      </c>
      <c r="B1409" s="24" t="inlineStr">
        <is>
          <t>SODIUM CHLORIDE INJECTION, SOLUTION PARENTERAL 0.9 % 250 mL</t>
        </is>
      </c>
      <c r="C1409" s="25">
        <f>IF(COUNTIF('کدهای پیام‌داروساز'!$A$2:$A$2442,A1409)&gt;0,"بله","خیر")</f>
        <v/>
      </c>
    </row>
    <row r="1410" ht="15" customHeight="1" s="14">
      <c r="A1410" s="24" t="n">
        <v>6423</v>
      </c>
      <c r="B1410" s="24" t="inlineStr">
        <is>
          <t>RINGERS INJECTION, SOLUTION INTRAVENOUS 147 meq/4.5 meq/4 meq/156 meq/1L 250 mL</t>
        </is>
      </c>
      <c r="C1410" s="25">
        <f>IF(COUNTIF('کدهای پیام‌داروساز'!$A$2:$A$2442,A1410)&gt;0,"بله","خیر")</f>
        <v/>
      </c>
    </row>
    <row r="1411" ht="15" customHeight="1" s="14">
      <c r="A1411" s="24" t="n">
        <v>6425</v>
      </c>
      <c r="B1411" s="24" t="inlineStr">
        <is>
          <t>DEXTROSE INJECTION, SOLUTION INTRAVENOUS 5 % 250 mL</t>
        </is>
      </c>
      <c r="C1411" s="25">
        <f>IF(COUNTIF('کدهای پیام‌داروساز'!$A$2:$A$2442,A1411)&gt;0,"بله","خیر")</f>
        <v/>
      </c>
    </row>
    <row r="1412" ht="15" customHeight="1" s="14">
      <c r="A1412" s="24" t="n">
        <v>6435</v>
      </c>
      <c r="B1412" s="24" t="inlineStr">
        <is>
          <t>TRIENTINE DIHYDROCHLORIDE CAPSULE ORAL 300 mg</t>
        </is>
      </c>
      <c r="C1412" s="25">
        <f>IF(COUNTIF('کدهای پیام‌داروساز'!$A$2:$A$2442,A1412)&gt;0,"بله","خیر")</f>
        <v/>
      </c>
    </row>
    <row r="1413" ht="15" customHeight="1" s="14">
      <c r="A1413" s="24" t="n">
        <v>6438</v>
      </c>
      <c r="B1413" s="24" t="inlineStr">
        <is>
          <t>RABEPRAZOLE SODIUM TABLET, DELAYED RELEASE ORAL 20 mg</t>
        </is>
      </c>
      <c r="C1413" s="25">
        <f>IF(COUNTIF('کدهای پیام‌داروساز'!$A$2:$A$2442,A1413)&gt;0,"بله","خیر")</f>
        <v/>
      </c>
    </row>
    <row r="1414" ht="15" customHeight="1" s="14">
      <c r="A1414" s="24" t="n">
        <v>6453</v>
      </c>
      <c r="B1414" s="24" t="inlineStr">
        <is>
          <t>CILOSTAZOL TABLET ORAL 100 mg</t>
        </is>
      </c>
      <c r="C1414" s="25">
        <f>IF(COUNTIF('کدهای پیام‌داروساز'!$A$2:$A$2442,A1414)&gt;0,"بله","خیر")</f>
        <v/>
      </c>
    </row>
    <row r="1415" ht="15" customHeight="1" s="14">
      <c r="A1415" s="24" t="n">
        <v>6454</v>
      </c>
      <c r="B1415" s="24" t="inlineStr">
        <is>
          <t>ROSUVASTATIN (AS CALCIUM) TABLET ORAL 10 mg</t>
        </is>
      </c>
      <c r="C1415" s="25">
        <f>IF(COUNTIF('کدهای پیام‌داروساز'!$A$2:$A$2442,A1415)&gt;0,"بله","خیر")</f>
        <v/>
      </c>
    </row>
    <row r="1416" ht="15" customHeight="1" s="14">
      <c r="A1416" s="24" t="n">
        <v>6459</v>
      </c>
      <c r="B1416" s="24" t="inlineStr">
        <is>
          <t>NICORANDIL TABLET ORAL 10 mg</t>
        </is>
      </c>
      <c r="C1416" s="25">
        <f>IF(COUNTIF('کدهای پیام‌داروساز'!$A$2:$A$2442,A1416)&gt;0,"بله","خیر")</f>
        <v/>
      </c>
    </row>
    <row r="1417" ht="15" customHeight="1" s="14">
      <c r="A1417" s="24" t="n">
        <v>6461</v>
      </c>
      <c r="B1417" s="24" t="inlineStr">
        <is>
          <t>NICORANDIL TABLET ORAL 20 mg</t>
        </is>
      </c>
      <c r="C1417" s="25">
        <f>IF(COUNTIF('کدهای پیام‌داروساز'!$A$2:$A$2442,A1417)&gt;0,"بله","خیر")</f>
        <v/>
      </c>
    </row>
    <row r="1418" ht="15" customHeight="1" s="14">
      <c r="A1418" s="24" t="n">
        <v>6478</v>
      </c>
      <c r="B1418" s="24" t="inlineStr">
        <is>
          <t>TRIAMCINOLONE ACETONIDE PASTE ORAL 0.1 % 10 g</t>
        </is>
      </c>
      <c r="C1418" s="25">
        <f>IF(COUNTIF('کدهای پیام‌داروساز'!$A$2:$A$2442,A1418)&gt;0,"بله","خیر")</f>
        <v/>
      </c>
    </row>
    <row r="1419" ht="15" customHeight="1" s="14">
      <c r="A1419" s="24" t="n">
        <v>6484</v>
      </c>
      <c r="B1419" s="24" t="inlineStr">
        <is>
          <t>ESCITALOPRAM (AS OXALATE) TABLET ORAL 20 mg</t>
        </is>
      </c>
      <c r="C1419" s="25">
        <f>IF(COUNTIF('کدهای پیام‌داروساز'!$A$2:$A$2442,A1419)&gt;0,"بله","خیر")</f>
        <v/>
      </c>
    </row>
    <row r="1420" ht="15" customHeight="1" s="14">
      <c r="A1420" s="24" t="n">
        <v>6507</v>
      </c>
      <c r="B1420" s="24" t="inlineStr">
        <is>
          <t>TOPOTECAN (AS HYDROCHLORIDE) INJECTION, POWDER, LYOPHILIZED, FOR SOLUTION PARENTERAL 4 mg</t>
        </is>
      </c>
      <c r="C1420" s="25">
        <f>IF(COUNTIF('کدهای پیام‌داروساز'!$A$2:$A$2442,A1420)&gt;0,"بله","خیر")</f>
        <v/>
      </c>
    </row>
    <row r="1421" ht="15" customHeight="1" s="14">
      <c r="A1421" s="24" t="n">
        <v>6523</v>
      </c>
      <c r="B1421" s="24" t="inlineStr">
        <is>
          <t>AMOXICILLIN POWDER, FOR SUSPENSION ORAL 200 mg/5 mL 70 mL</t>
        </is>
      </c>
      <c r="C1421" s="25">
        <f>IF(COUNTIF('کدهای پیام‌داروساز'!$A$2:$A$2442,A1421)&gt;0,"بله","خیر")</f>
        <v/>
      </c>
    </row>
    <row r="1422" ht="15" customHeight="1" s="14">
      <c r="A1422" s="24" t="n">
        <v>6524</v>
      </c>
      <c r="B1422" s="24" t="inlineStr">
        <is>
          <t>AMOXICILLIN POWDER, FOR SUSPENSION ORAL 400 mg/5 mL 70 mL</t>
        </is>
      </c>
      <c r="C1422" s="25">
        <f>IF(COUNTIF('کدهای پیام‌داروساز'!$A$2:$A$2442,A1422)&gt;0,"بله","خیر")</f>
        <v/>
      </c>
    </row>
    <row r="1423" ht="15" customHeight="1" s="14">
      <c r="A1423" s="24" t="n">
        <v>6532</v>
      </c>
      <c r="B1423" s="24" t="inlineStr">
        <is>
          <t>TEMOZOLOMIDE CAPSULE ORAL 20 mg</t>
        </is>
      </c>
      <c r="C1423" s="25">
        <f>IF(COUNTIF('کدهای پیام‌داروساز'!$A$2:$A$2442,A1423)&gt;0,"بله","خیر")</f>
        <v/>
      </c>
    </row>
    <row r="1424" ht="15" customHeight="1" s="14">
      <c r="A1424" s="24" t="n">
        <v>6536</v>
      </c>
      <c r="B1424" s="24" t="inlineStr">
        <is>
          <t>BIOTIN INJECTION, SOLUTION INTRAMUSCULAR 5 mg/1mL 1 mL</t>
        </is>
      </c>
      <c r="C1424" s="25">
        <f>IF(COUNTIF('کدهای پیام‌داروساز'!$A$2:$A$2442,A1424)&gt;0,"بله","خیر")</f>
        <v/>
      </c>
    </row>
    <row r="1425" ht="15" customHeight="1" s="14">
      <c r="A1425" s="24" t="n">
        <v>6540</v>
      </c>
      <c r="B1425" s="24" t="inlineStr">
        <is>
          <t>VITAMIN B2 (RIBOFLAVIN) TABLET ORAL 100 mg</t>
        </is>
      </c>
      <c r="C1425" s="25">
        <f>IF(COUNTIF('کدهای پیام‌داروساز'!$A$2:$A$2442,A1425)&gt;0,"بله","خیر")</f>
        <v/>
      </c>
    </row>
    <row r="1426" ht="15" customHeight="1" s="14">
      <c r="A1426" s="24" t="n">
        <v>6548</v>
      </c>
      <c r="B1426" s="24" t="inlineStr">
        <is>
          <t>IDEBENONE TABLET ORAL 45 mg</t>
        </is>
      </c>
      <c r="C1426" s="25">
        <f>IF(COUNTIF('کدهای پیام‌داروساز'!$A$2:$A$2442,A1426)&gt;0,"بله","خیر")</f>
        <v/>
      </c>
    </row>
    <row r="1427" ht="15" customHeight="1" s="14">
      <c r="A1427" s="24" t="n">
        <v>6579</v>
      </c>
      <c r="B1427" s="24" t="inlineStr">
        <is>
          <t>MODAFINIL TABLET ORAL 100 mg</t>
        </is>
      </c>
      <c r="C1427" s="25">
        <f>IF(COUNTIF('کدهای پیام‌داروساز'!$A$2:$A$2442,A1427)&gt;0,"بله","خیر")</f>
        <v/>
      </c>
    </row>
    <row r="1428" ht="15" customHeight="1" s="14">
      <c r="A1428" s="24" t="n">
        <v>6583</v>
      </c>
      <c r="B1428" s="24" t="inlineStr">
        <is>
          <t>IMIQUIMOD CREAM TOPICAL 5 % 250 mg</t>
        </is>
      </c>
      <c r="C1428" s="25">
        <f>IF(COUNTIF('کدهای پیام‌داروساز'!$A$2:$A$2442,A1428)&gt;0,"بله","خیر")</f>
        <v/>
      </c>
    </row>
    <row r="1429" ht="15" customHeight="1" s="14">
      <c r="A1429" s="24" t="n">
        <v>6599</v>
      </c>
      <c r="B1429" s="24" t="inlineStr">
        <is>
          <t>TACROLIMUS OINTMENT TOPICAL 0.1 % 30 g</t>
        </is>
      </c>
      <c r="C1429" s="25">
        <f>IF(COUNTIF('کدهای پیام‌داروساز'!$A$2:$A$2442,A1429)&gt;0,"بله","خیر")</f>
        <v/>
      </c>
    </row>
    <row r="1430" ht="15" customHeight="1" s="14">
      <c r="A1430" s="24" t="n">
        <v>6631</v>
      </c>
      <c r="B1430" s="24" t="inlineStr">
        <is>
          <t>VENLAFAXINE TABLET ORAL 75 mg</t>
        </is>
      </c>
      <c r="C1430" s="25">
        <f>IF(COUNTIF('کدهای پیام‌داروساز'!$A$2:$A$2442,A1430)&gt;0,"بله","خیر")</f>
        <v/>
      </c>
    </row>
    <row r="1431" ht="15" customHeight="1" s="14">
      <c r="A1431" s="24" t="n">
        <v>6659</v>
      </c>
      <c r="B1431" s="24" t="inlineStr">
        <is>
          <t>DEFERASIROX TABLET, FOR SUSPENSION ORAL 250 mg</t>
        </is>
      </c>
      <c r="C1431" s="25">
        <f>IF(COUNTIF('کدهای پیام‌داروساز'!$A$2:$A$2442,A1431)&gt;0,"بله","خیر")</f>
        <v/>
      </c>
    </row>
    <row r="1432" ht="15" customHeight="1" s="14">
      <c r="A1432" s="24" t="n">
        <v>6685</v>
      </c>
      <c r="B1432" s="24" t="inlineStr">
        <is>
          <t>CICLOSPORIN INJECTION, SOLUTION INTRAVENOUS 50 mg/1mL 5 mL</t>
        </is>
      </c>
      <c r="C1432" s="25">
        <f>IF(COUNTIF('کدهای پیام‌داروساز'!$A$2:$A$2442,A1432)&gt;0,"بله","خیر")</f>
        <v/>
      </c>
    </row>
    <row r="1433" ht="15" customHeight="1" s="14">
      <c r="A1433" s="24" t="n">
        <v>6700</v>
      </c>
      <c r="B1433" s="24" t="inlineStr">
        <is>
          <t>BUSULFAN INJECTION PARENTERAL 6 mg/1mL 10 mL</t>
        </is>
      </c>
      <c r="C1433" s="25">
        <f>IF(COUNTIF('کدهای پیام‌داروساز'!$A$2:$A$2442,A1433)&gt;0,"بله","خیر")</f>
        <v/>
      </c>
    </row>
    <row r="1434" ht="15" customHeight="1" s="14">
      <c r="A1434" s="24" t="n">
        <v>6735</v>
      </c>
      <c r="B1434" s="24" t="inlineStr">
        <is>
          <t>DUTASTERIDE CAPSULE, LIQUID FILLED ORAL 0.5 mg</t>
        </is>
      </c>
      <c r="C1434" s="25">
        <f>IF(COUNTIF('کدهای پیام‌داروساز'!$A$2:$A$2442,A1434)&gt;0,"بله","خیر")</f>
        <v/>
      </c>
    </row>
    <row r="1435" ht="15" customHeight="1" s="14">
      <c r="A1435" s="24" t="n">
        <v>6743</v>
      </c>
      <c r="B1435" s="24" t="inlineStr">
        <is>
          <t>QUETIAPINE (AS FUMARATE) TABLET ORAL 25 mg</t>
        </is>
      </c>
      <c r="C1435" s="25">
        <f>IF(COUNTIF('کدهای پیام‌داروساز'!$A$2:$A$2442,A1435)&gt;0,"بله","خیر")</f>
        <v/>
      </c>
    </row>
    <row r="1436" ht="15" customHeight="1" s="14">
      <c r="A1436" s="24" t="n">
        <v>6750</v>
      </c>
      <c r="B1436" s="24" t="inlineStr">
        <is>
          <t>FEXOFENADINE HYDROCHLORIDE TABLET ORAL 180 mg</t>
        </is>
      </c>
      <c r="C1436" s="25">
        <f>IF(COUNTIF('کدهای پیام‌داروساز'!$A$2:$A$2442,A1436)&gt;0,"بله","خیر")</f>
        <v/>
      </c>
    </row>
    <row r="1437" ht="15" customHeight="1" s="14">
      <c r="A1437" s="24" t="n">
        <v>6751</v>
      </c>
      <c r="B1437" s="24" t="inlineStr">
        <is>
          <t>FEXOFENADINE HYDROCHLORIDE TABLET ORAL 120 mg</t>
        </is>
      </c>
      <c r="C1437" s="25">
        <f>IF(COUNTIF('کدهای پیام‌داروساز'!$A$2:$A$2442,A1437)&gt;0,"بله","خیر")</f>
        <v/>
      </c>
    </row>
    <row r="1438" ht="15" customHeight="1" s="14">
      <c r="A1438" s="24" t="n">
        <v>6753</v>
      </c>
      <c r="B1438" s="24" t="inlineStr">
        <is>
          <t>TIBOLONE TABLET ORAL 2.5 mg</t>
        </is>
      </c>
      <c r="C1438" s="25">
        <f>IF(COUNTIF('کدهای پیام‌داروساز'!$A$2:$A$2442,A1438)&gt;0,"بله","خیر")</f>
        <v/>
      </c>
    </row>
    <row r="1439" ht="15" customHeight="1" s="14">
      <c r="A1439" s="24" t="n">
        <v>6754</v>
      </c>
      <c r="B1439" s="24" t="inlineStr">
        <is>
          <t>DOMPERIDONE TABLET ORAL 10 mg</t>
        </is>
      </c>
      <c r="C1439" s="25">
        <f>IF(COUNTIF('کدهای پیام‌داروساز'!$A$2:$A$2442,A1439)&gt;0,"بله","خیر")</f>
        <v/>
      </c>
    </row>
    <row r="1440" ht="15" customHeight="1" s="14">
      <c r="A1440" s="24" t="n">
        <v>6756</v>
      </c>
      <c r="B1440" s="24" t="inlineStr">
        <is>
          <t>LEVOFLOXACIN TABLET ORAL 250 mg</t>
        </is>
      </c>
      <c r="C1440" s="25">
        <f>IF(COUNTIF('کدهای پیام‌داروساز'!$A$2:$A$2442,A1440)&gt;0,"بله","خیر")</f>
        <v/>
      </c>
    </row>
    <row r="1441" ht="15" customHeight="1" s="14">
      <c r="A1441" s="24" t="n">
        <v>6757</v>
      </c>
      <c r="B1441" s="24" t="inlineStr">
        <is>
          <t>CASPOFUNGIN ACETATE INJECTION, POWDER, FOR SOLUTION PARENTERAL 50 mg</t>
        </is>
      </c>
      <c r="C1441" s="25">
        <f>IF(COUNTIF('کدهای پیام‌داروساز'!$A$2:$A$2442,A1441)&gt;0,"بله","خیر")</f>
        <v/>
      </c>
    </row>
    <row r="1442" ht="15" customHeight="1" s="14">
      <c r="A1442" s="24" t="n">
        <v>6758</v>
      </c>
      <c r="B1442" s="24" t="inlineStr">
        <is>
          <t>CASPOFUNGIN ACETATE INJECTION, POWDER, FOR SOLUTION PARENTERAL 70 mg</t>
        </is>
      </c>
      <c r="C1442" s="25">
        <f>IF(COUNTIF('کدهای پیام‌داروساز'!$A$2:$A$2442,A1442)&gt;0,"بله","خیر")</f>
        <v/>
      </c>
    </row>
    <row r="1443" ht="15" customHeight="1" s="14">
      <c r="A1443" s="24" t="n">
        <v>6765</v>
      </c>
      <c r="B1443" s="24" t="inlineStr">
        <is>
          <t>BICALUTAMIDE TABLET ORAL 50 mg</t>
        </is>
      </c>
      <c r="C1443" s="25">
        <f>IF(COUNTIF('کدهای پیام‌داروساز'!$A$2:$A$2442,A1443)&gt;0,"بله","خیر")</f>
        <v/>
      </c>
    </row>
    <row r="1444" ht="15" customHeight="1" s="14">
      <c r="A1444" s="24" t="n">
        <v>6770</v>
      </c>
      <c r="B1444" s="24" t="inlineStr">
        <is>
          <t>LANSOPRAZOLE CAPSULE, DELAYED RELEASE ORAL 15 mg</t>
        </is>
      </c>
      <c r="C1444" s="25">
        <f>IF(COUNTIF('کدهای پیام‌داروساز'!$A$2:$A$2442,A1444)&gt;0,"بله","خیر")</f>
        <v/>
      </c>
    </row>
    <row r="1445" ht="15" customHeight="1" s="14">
      <c r="A1445" s="24" t="n">
        <v>6780</v>
      </c>
      <c r="B1445" s="24" t="inlineStr">
        <is>
          <t>BACLOFEN INJECTION PARENTERAL 2 mg/1mL 5 mL</t>
        </is>
      </c>
      <c r="C1445" s="25">
        <f>IF(COUNTIF('کدهای پیام‌داروساز'!$A$2:$A$2442,A1445)&gt;0,"بله","خیر")</f>
        <v/>
      </c>
    </row>
    <row r="1446" ht="15" customHeight="1" s="14">
      <c r="A1446" s="24" t="n">
        <v>6783</v>
      </c>
      <c r="B1446" s="24" t="inlineStr">
        <is>
          <t>GANIRELIX (AS ACETATE) INJECTION PARENTERAL 500 ug/1mL 0.5 mL</t>
        </is>
      </c>
      <c r="C1446" s="25">
        <f>IF(COUNTIF('کدهای پیام‌داروساز'!$A$2:$A$2442,A1446)&gt;0,"بله","خیر")</f>
        <v/>
      </c>
    </row>
    <row r="1447" ht="15" customHeight="1" s="14">
      <c r="A1447" s="24" t="n">
        <v>6788</v>
      </c>
      <c r="B1447" s="24" t="inlineStr">
        <is>
          <t>ROSUVASTATIN (AS CALCIUM) TABLET ORAL 20 mg</t>
        </is>
      </c>
      <c r="C1447" s="25">
        <f>IF(COUNTIF('کدهای پیام‌داروساز'!$A$2:$A$2442,A1447)&gt;0,"بله","خیر")</f>
        <v/>
      </c>
    </row>
    <row r="1448" ht="15" customHeight="1" s="14">
      <c r="A1448" s="24" t="n">
        <v>6815</v>
      </c>
      <c r="B1448" s="24" t="inlineStr">
        <is>
          <t>CICLOSPORIN SOLUTION, DROPS OPHTHALMIC 0.05 % 10 mL</t>
        </is>
      </c>
      <c r="C1448" s="25">
        <f>IF(COUNTIF('کدهای پیام‌داروساز'!$A$2:$A$2442,A1448)&gt;0,"بله","خیر")</f>
        <v/>
      </c>
    </row>
    <row r="1449" ht="15" customHeight="1" s="14">
      <c r="A1449" s="24" t="n">
        <v>6836</v>
      </c>
      <c r="B1449" s="24" t="inlineStr">
        <is>
          <t>SODIUM CHLORIDE INJECTION, SOLUTION PARENTERAL 0.45 % 250 mL</t>
        </is>
      </c>
      <c r="C1449" s="25">
        <f>IF(COUNTIF('کدهای پیام‌داروساز'!$A$2:$A$2442,A1449)&gt;0,"بله","خیر")</f>
        <v/>
      </c>
    </row>
    <row r="1450" ht="15" customHeight="1" s="14">
      <c r="A1450" s="24" t="n">
        <v>6840</v>
      </c>
      <c r="B1450" s="24" t="inlineStr">
        <is>
          <t>ZOLMITRIPTAN TABLET ORAL 2.5 mg</t>
        </is>
      </c>
      <c r="C1450" s="25">
        <f>IF(COUNTIF('کدهای پیام‌داروساز'!$A$2:$A$2442,A1450)&gt;0,"بله","خیر")</f>
        <v/>
      </c>
    </row>
    <row r="1451" ht="15" customHeight="1" s="14">
      <c r="A1451" s="24" t="n">
        <v>6853</v>
      </c>
      <c r="B1451" s="24" t="inlineStr">
        <is>
          <t>ADEFOVIR DIPIVOXIL TABLET ORAL 10 mg</t>
        </is>
      </c>
      <c r="C1451" s="25">
        <f>IF(COUNTIF('کدهای پیام‌داروساز'!$A$2:$A$2442,A1451)&gt;0,"بله","خیر")</f>
        <v/>
      </c>
    </row>
    <row r="1452" ht="15" customHeight="1" s="14">
      <c r="A1452" s="24" t="n">
        <v>6854</v>
      </c>
      <c r="B1452" s="24" t="inlineStr">
        <is>
          <t>LOTEPREDNOL ETABONATE SUSPENSION, DROPS OPHTHALMIC 0.5 % 5 mL</t>
        </is>
      </c>
      <c r="C1452" s="25">
        <f>IF(COUNTIF('کدهای پیام‌داروساز'!$A$2:$A$2442,A1452)&gt;0,"بله","خیر")</f>
        <v/>
      </c>
    </row>
    <row r="1453" ht="15" customHeight="1" s="14">
      <c r="A1453" s="24" t="n">
        <v>6859</v>
      </c>
      <c r="B1453" s="24" t="inlineStr">
        <is>
          <t>VERTEPORFIN INJECTION, POWDER, FOR SOLUTION PARENTERAL 15 mg</t>
        </is>
      </c>
      <c r="C1453" s="25">
        <f>IF(COUNTIF('کدهای پیام‌داروساز'!$A$2:$A$2442,A1453)&gt;0,"بله","خیر")</f>
        <v/>
      </c>
    </row>
    <row r="1454" ht="15" customHeight="1" s="14">
      <c r="A1454" s="24" t="n">
        <v>6888</v>
      </c>
      <c r="B1454" s="24" t="inlineStr">
        <is>
          <t>ALBUMIN (HUMAN) INJECTION, SOLUTION PARENTERAL 20 % 100 mL</t>
        </is>
      </c>
      <c r="C1454" s="25">
        <f>IF(COUNTIF('کدهای پیام‌داروساز'!$A$2:$A$2442,A1454)&gt;0,"بله","خیر")</f>
        <v/>
      </c>
    </row>
    <row r="1455" ht="15" customHeight="1" s="14">
      <c r="A1455" s="24" t="n">
        <v>6916</v>
      </c>
      <c r="B1455" s="24" t="inlineStr">
        <is>
          <t>ESMOLOL HYDROCHLORIDE INJECTION PARENTERAL 10 mg/1mL 10 mL</t>
        </is>
      </c>
      <c r="C1455" s="25">
        <f>IF(COUNTIF('کدهای پیام‌داروساز'!$A$2:$A$2442,A1455)&gt;0,"بله","خیر")</f>
        <v/>
      </c>
    </row>
    <row r="1456" ht="15" customHeight="1" s="14">
      <c r="A1456" s="24" t="n">
        <v>6938</v>
      </c>
      <c r="B1456" s="24" t="inlineStr">
        <is>
          <t>AMPICILLIN / SULBACTAM INJECTION, POWDER, FOR SOLUTION PARENTERAL 2 g/1 g</t>
        </is>
      </c>
      <c r="C1456" s="25">
        <f>IF(COUNTIF('کدهای پیام‌داروساز'!$A$2:$A$2442,A1456)&gt;0,"بله","خیر")</f>
        <v/>
      </c>
    </row>
    <row r="1457" ht="15" customHeight="1" s="14">
      <c r="A1457" s="24" t="n">
        <v>6939</v>
      </c>
      <c r="B1457" s="24" t="inlineStr">
        <is>
          <t>AMPICILLIN / SULBACTAM INJECTION, POWDER, FOR SOLUTION PARENTERAL 1 g/0.5 g</t>
        </is>
      </c>
      <c r="C1457" s="25">
        <f>IF(COUNTIF('کدهای پیام‌داروساز'!$A$2:$A$2442,A1457)&gt;0,"بله","خیر")</f>
        <v/>
      </c>
    </row>
    <row r="1458" ht="15" customHeight="1" s="14">
      <c r="A1458" s="24" t="n">
        <v>6968</v>
      </c>
      <c r="B1458" s="24" t="inlineStr">
        <is>
          <t>BALANCED SALT SOLUTION (2) SOLUTION OPHTHALMIC 0.64 mg/0.075 mg/0.03 mg/0.048 mg/0.17 mg/0.39 mg/1mL 500 mL</t>
        </is>
      </c>
      <c r="C1458" s="25">
        <f>IF(COUNTIF('کدهای پیام‌داروساز'!$A$2:$A$2442,A1458)&gt;0,"بله","خیر")</f>
        <v/>
      </c>
    </row>
    <row r="1459" ht="15" customHeight="1" s="14">
      <c r="A1459" s="24" t="n">
        <v>6974</v>
      </c>
      <c r="B1459" s="24" t="inlineStr">
        <is>
          <t>TADALAFIL TABLET ORAL 10 mg</t>
        </is>
      </c>
      <c r="C1459" s="25">
        <f>IF(COUNTIF('کدهای پیام‌داروساز'!$A$2:$A$2442,A1459)&gt;0,"بله","خیر")</f>
        <v/>
      </c>
    </row>
    <row r="1460" ht="15" customHeight="1" s="14">
      <c r="A1460" s="24" t="n">
        <v>6975</v>
      </c>
      <c r="B1460" s="24" t="inlineStr">
        <is>
          <t>TADALAFIL TABLET ORAL 20 mg</t>
        </is>
      </c>
      <c r="C1460" s="25">
        <f>IF(COUNTIF('کدهای پیام‌داروساز'!$A$2:$A$2442,A1460)&gt;0,"بله","خیر")</f>
        <v/>
      </c>
    </row>
    <row r="1461" ht="15" customHeight="1" s="14">
      <c r="A1461" s="24" t="n">
        <v>7030</v>
      </c>
      <c r="B1461" s="24" t="inlineStr">
        <is>
          <t>POVIDONE IODINE SOLUTION TOPICAL 10 % 500 mL</t>
        </is>
      </c>
      <c r="C1461" s="25">
        <f>IF(COUNTIF('کدهای پیام‌داروساز'!$A$2:$A$2442,A1461)&gt;0,"بله","خیر")</f>
        <v/>
      </c>
    </row>
    <row r="1462" ht="15" customHeight="1" s="14">
      <c r="A1462" s="24" t="n">
        <v>7040</v>
      </c>
      <c r="B1462" s="24" t="inlineStr">
        <is>
          <t>OXALIPLATIN INJECTION, SOLUTION, CONCENTRATE PARENTERAL 5 mg/1mL 20 mL</t>
        </is>
      </c>
      <c r="C1462" s="25">
        <f>IF(COUNTIF('کدهای پیام‌داروساز'!$A$2:$A$2442,A1462)&gt;0,"بله","خیر")</f>
        <v/>
      </c>
    </row>
    <row r="1463" ht="15" customHeight="1" s="14">
      <c r="A1463" s="24" t="n">
        <v>7041</v>
      </c>
      <c r="B1463" s="24" t="inlineStr">
        <is>
          <t>OXALIPLATIN INJECTION, SOLUTION, CONCENTRATE PARENTERAL 5 mg/1mL 10 mL</t>
        </is>
      </c>
      <c r="C1463" s="25">
        <f>IF(COUNTIF('کدهای پیام‌داروساز'!$A$2:$A$2442,A1463)&gt;0,"بله","خیر")</f>
        <v/>
      </c>
    </row>
    <row r="1464" ht="15" customHeight="1" s="14">
      <c r="A1464" s="24" t="n">
        <v>7054</v>
      </c>
      <c r="B1464" s="24" t="inlineStr">
        <is>
          <t>DEFERASIROX TABLET, FOR SUSPENSION ORAL 125 mg</t>
        </is>
      </c>
      <c r="C1464" s="25">
        <f>IF(COUNTIF('کدهای پیام‌داروساز'!$A$2:$A$2442,A1464)&gt;0,"بله","خیر")</f>
        <v/>
      </c>
    </row>
    <row r="1465" ht="15" customHeight="1" s="14">
      <c r="A1465" s="24" t="n">
        <v>7058</v>
      </c>
      <c r="B1465" s="24" t="inlineStr">
        <is>
          <t>HEPATITIS B VIRUS INJECTION PARENTERAL 10 {dose} 5 mL</t>
        </is>
      </c>
      <c r="C1465" s="25">
        <f>IF(COUNTIF('کدهای پیام‌داروساز'!$A$2:$A$2442,A1465)&gt;0,"بله","خیر")</f>
        <v/>
      </c>
    </row>
    <row r="1466" ht="15" customHeight="1" s="14">
      <c r="A1466" s="24" t="n">
        <v>7061</v>
      </c>
      <c r="B1466" s="24" t="inlineStr">
        <is>
          <t>MELOXICAM TABLET ORAL 15 mg</t>
        </is>
      </c>
      <c r="C1466" s="25">
        <f>IF(COUNTIF('کدهای پیام‌داروساز'!$A$2:$A$2442,A1466)&gt;0,"بله","خیر")</f>
        <v/>
      </c>
    </row>
    <row r="1467" ht="15" customHeight="1" s="14">
      <c r="A1467" s="24" t="n">
        <v>7066</v>
      </c>
      <c r="B1467" s="24" t="inlineStr">
        <is>
          <t>PROPRANOLOL HYDROCHLORIDE TABLET ORAL 20 mg</t>
        </is>
      </c>
      <c r="C1467" s="25">
        <f>IF(COUNTIF('کدهای پیام‌داروساز'!$A$2:$A$2442,A1467)&gt;0,"بله","خیر")</f>
        <v/>
      </c>
    </row>
    <row r="1468" ht="15" customHeight="1" s="14">
      <c r="A1468" s="24" t="n">
        <v>7083</v>
      </c>
      <c r="B1468" s="24" t="inlineStr">
        <is>
          <t>AMILORIDE TABLET ORAL 5 mg</t>
        </is>
      </c>
      <c r="C1468" s="25">
        <f>IF(COUNTIF('کدهای پیام‌داروساز'!$A$2:$A$2442,A1468)&gt;0,"بله","خیر")</f>
        <v/>
      </c>
    </row>
    <row r="1469" ht="15" customHeight="1" s="14">
      <c r="A1469" s="24" t="n">
        <v>7088</v>
      </c>
      <c r="B1469" s="24" t="inlineStr">
        <is>
          <t>BORTEZOMIB INJECTION, POWDER, LYOPHILIZED, FOR SOLUTION PARENTERAL 3.5 mg</t>
        </is>
      </c>
      <c r="C1469" s="25">
        <f>IF(COUNTIF('کدهای پیام‌داروساز'!$A$2:$A$2442,A1469)&gt;0,"بله","خیر")</f>
        <v/>
      </c>
    </row>
    <row r="1470" ht="15" customHeight="1" s="14">
      <c r="A1470" s="24" t="n">
        <v>7095</v>
      </c>
      <c r="B1470" s="24" t="inlineStr">
        <is>
          <t>VALSARTAN CAPSULE ORAL 40 mg</t>
        </is>
      </c>
      <c r="C1470" s="25">
        <f>IF(COUNTIF('کدهای پیام‌داروساز'!$A$2:$A$2442,A1470)&gt;0,"بله","خیر")</f>
        <v/>
      </c>
    </row>
    <row r="1471" ht="15" customHeight="1" s="14">
      <c r="A1471" s="24" t="n">
        <v>7113</v>
      </c>
      <c r="B1471" s="24" t="inlineStr">
        <is>
          <t>MOMETASONE FUROATE CREAM TOPICAL 0.1 % 30 g</t>
        </is>
      </c>
      <c r="C1471" s="25">
        <f>IF(COUNTIF('کدهای پیام‌داروساز'!$A$2:$A$2442,A1471)&gt;0,"بله","خیر")</f>
        <v/>
      </c>
    </row>
    <row r="1472" ht="15" customHeight="1" s="14">
      <c r="A1472" s="24" t="n">
        <v>7115</v>
      </c>
      <c r="B1472" s="24" t="inlineStr">
        <is>
          <t>TOLTERODINE TARTRATE CAPSULE, EXTENDED RELEASE ORAL 4 mg</t>
        </is>
      </c>
      <c r="C1472" s="25">
        <f>IF(COUNTIF('کدهای پیام‌داروساز'!$A$2:$A$2442,A1472)&gt;0,"بله","خیر")</f>
        <v/>
      </c>
    </row>
    <row r="1473" ht="15" customHeight="1" s="14">
      <c r="A1473" s="24" t="n">
        <v>7125</v>
      </c>
      <c r="B1473" s="24" t="inlineStr">
        <is>
          <t>BISOPROLOL FUMARATE TABLET ORAL 5 mg</t>
        </is>
      </c>
      <c r="C1473" s="25">
        <f>IF(COUNTIF('کدهای پیام‌داروساز'!$A$2:$A$2442,A1473)&gt;0,"بله","خیر")</f>
        <v/>
      </c>
    </row>
    <row r="1474" ht="15" customHeight="1" s="14">
      <c r="A1474" s="24" t="n">
        <v>7129</v>
      </c>
      <c r="B1474" s="24" t="inlineStr">
        <is>
          <t>ZALEPLON CAPSULE ORAL 10 mg</t>
        </is>
      </c>
      <c r="C1474" s="25">
        <f>IF(COUNTIF('کدهای پیام‌داروساز'!$A$2:$A$2442,A1474)&gt;0,"بله","خیر")</f>
        <v/>
      </c>
    </row>
    <row r="1475" ht="15" customHeight="1" s="14">
      <c r="A1475" s="24" t="n">
        <v>7135</v>
      </c>
      <c r="B1475" s="24" t="inlineStr">
        <is>
          <t>AMITRIPTYLINE HYDROCHLORIDE TABLET ORAL 75 mg</t>
        </is>
      </c>
      <c r="C1475" s="25">
        <f>IF(COUNTIF('کدهای پیام‌داروساز'!$A$2:$A$2442,A1475)&gt;0,"بله","خیر")</f>
        <v/>
      </c>
    </row>
    <row r="1476" ht="15" customHeight="1" s="14">
      <c r="A1476" s="24" t="n">
        <v>7178</v>
      </c>
      <c r="B1476" s="24" t="inlineStr">
        <is>
          <t>ARIPIPRAZOLE TABLET ORAL 30 mg</t>
        </is>
      </c>
      <c r="C1476" s="25">
        <f>IF(COUNTIF('کدهای پیام‌داروساز'!$A$2:$A$2442,A1476)&gt;0,"بله","خیر")</f>
        <v/>
      </c>
    </row>
    <row r="1477" ht="15" customHeight="1" s="14">
      <c r="A1477" s="24" t="n">
        <v>7183</v>
      </c>
      <c r="B1477" s="24" t="inlineStr">
        <is>
          <t>LEVOFLOXACIN TABLET ORAL 500 mg</t>
        </is>
      </c>
      <c r="C1477" s="25">
        <f>IF(COUNTIF('کدهای پیام‌داروساز'!$A$2:$A$2442,A1477)&gt;0,"بله","خیر")</f>
        <v/>
      </c>
    </row>
    <row r="1478" ht="15" customHeight="1" s="14">
      <c r="A1478" s="24" t="n">
        <v>7190</v>
      </c>
      <c r="B1478" s="24" t="inlineStr">
        <is>
          <t>IBUPROFEN CAPSULE, LIQUID FILLED ORAL 200 mg</t>
        </is>
      </c>
      <c r="C1478" s="25">
        <f>IF(COUNTIF('کدهای پیام‌داروساز'!$A$2:$A$2442,A1478)&gt;0,"بله","خیر")</f>
        <v/>
      </c>
    </row>
    <row r="1479" ht="15" customHeight="1" s="14">
      <c r="A1479" s="24" t="n">
        <v>7191</v>
      </c>
      <c r="B1479" s="24" t="inlineStr">
        <is>
          <t>IBUPROFEN CAPSULE, LIQUID FILLED ORAL 400 mg</t>
        </is>
      </c>
      <c r="C1479" s="25">
        <f>IF(COUNTIF('کدهای پیام‌داروساز'!$A$2:$A$2442,A1479)&gt;0,"بله","خیر")</f>
        <v/>
      </c>
    </row>
    <row r="1480" ht="15" customHeight="1" s="14">
      <c r="A1480" s="24" t="n">
        <v>7196</v>
      </c>
      <c r="B1480" s="24" t="inlineStr">
        <is>
          <t>HEMODIALYSIS CONCENTRATED II ACIDIC SOLUTION, CONCENTRATE HEMODIALYSIS 3710 meq/70 meq/35 meq/87.5 meq/70 g/122.5 meq/3902.5 meq/1L 4920 mL</t>
        </is>
      </c>
      <c r="C1480" s="25">
        <f>IF(COUNTIF('کدهای پیام‌داروساز'!$A$2:$A$2442,A1480)&gt;0,"بله","خیر")</f>
        <v/>
      </c>
    </row>
    <row r="1481" ht="15" customHeight="1" s="14">
      <c r="A1481" s="24" t="n">
        <v>7197</v>
      </c>
      <c r="B1481" s="24" t="inlineStr">
        <is>
          <t>HEMODIALYSIS CONCENTRATED I SOLUTION, CONCENTRATE INTRAVENOUS 4725 meq/35 meq/35 meq/87.5 meq/3657 meq/1225 meq/70 g/1000 mL 4920 mL</t>
        </is>
      </c>
      <c r="C1481" s="25">
        <f>IF(COUNTIF('کدهای پیام‌داروساز'!$A$2:$A$2442,A1481)&gt;0,"بله","خیر")</f>
        <v/>
      </c>
    </row>
    <row r="1482" ht="15" customHeight="1" s="14">
      <c r="A1482" s="24" t="n">
        <v>7198</v>
      </c>
      <c r="B1482" s="24" t="inlineStr">
        <is>
          <t>HEMODIALYSIS CONCENTRATED II SOLUTION, CONCENTRATE INTRAVENOUS 4725 meq/35 meq/70 meq/87.5 meq/3692.5 meq/1225 meq/70 g/1000 mL 4920 mL</t>
        </is>
      </c>
      <c r="C1482" s="25">
        <f>IF(COUNTIF('کدهای پیام‌داروساز'!$A$2:$A$2442,A1482)&gt;0,"بله","خیر")</f>
        <v/>
      </c>
    </row>
    <row r="1483" ht="15" customHeight="1" s="14">
      <c r="A1483" s="24" t="n">
        <v>7216</v>
      </c>
      <c r="B1483" s="24" t="inlineStr">
        <is>
          <t>ADULT COLD PREPARATIONS (1-1) TABLET ORAL 500 mg/5 mg</t>
        </is>
      </c>
      <c r="C1483" s="25">
        <f>IF(COUNTIF('کدهای پیام‌داروساز'!$A$2:$A$2442,A1483)&gt;0,"بله","خیر")</f>
        <v/>
      </c>
    </row>
    <row r="1484" ht="15" customHeight="1" s="14">
      <c r="A1484" s="24" t="n">
        <v>7233</v>
      </c>
      <c r="B1484" s="24" t="inlineStr">
        <is>
          <t>PENTOSTATIN INJECTION, POWDER, FOR SOLUTION PARENTERAL 10 mg</t>
        </is>
      </c>
      <c r="C1484" s="25">
        <f>IF(COUNTIF('کدهای پیام‌داروساز'!$A$2:$A$2442,A1484)&gt;0,"بله","خیر")</f>
        <v/>
      </c>
    </row>
    <row r="1485" ht="15" customHeight="1" s="14">
      <c r="A1485" s="24" t="n">
        <v>7239</v>
      </c>
      <c r="B1485" s="24" t="inlineStr">
        <is>
          <t>PREGABALIN CAPSULE ORAL 75 mg</t>
        </is>
      </c>
      <c r="C1485" s="25">
        <f>IF(COUNTIF('کدهای پیام‌داروساز'!$A$2:$A$2442,A1485)&gt;0,"بله","خیر")</f>
        <v/>
      </c>
    </row>
    <row r="1486" ht="15" customHeight="1" s="14">
      <c r="A1486" s="24" t="n">
        <v>7251</v>
      </c>
      <c r="B1486" s="24" t="inlineStr">
        <is>
          <t>FEXOFENADINE HYDROCHLORIDE TABLET ORAL 60 mg</t>
        </is>
      </c>
      <c r="C1486" s="25">
        <f>IF(COUNTIF('کدهای پیام‌داروساز'!$A$2:$A$2442,A1486)&gt;0,"بله","خیر")</f>
        <v/>
      </c>
    </row>
    <row r="1487" ht="15" customHeight="1" s="14">
      <c r="A1487" s="24" t="n">
        <v>7253</v>
      </c>
      <c r="B1487" s="24" t="inlineStr">
        <is>
          <t>ZOLPIDEM TARTRATE TABLET ORAL 5 mg</t>
        </is>
      </c>
      <c r="C1487" s="25">
        <f>IF(COUNTIF('کدهای پیام‌داروساز'!$A$2:$A$2442,A1487)&gt;0,"بله","خیر")</f>
        <v/>
      </c>
    </row>
    <row r="1488" ht="15" customHeight="1" s="14">
      <c r="A1488" s="24" t="n">
        <v>7259</v>
      </c>
      <c r="B1488" s="24" t="inlineStr">
        <is>
          <t>SODIUM CHLORIDE SPRAY NASAL 0.65 % 20 mL</t>
        </is>
      </c>
      <c r="C1488" s="25">
        <f>IF(COUNTIF('کدهای پیام‌داروساز'!$A$2:$A$2442,A1488)&gt;0,"بله","خیر")</f>
        <v/>
      </c>
    </row>
    <row r="1489" ht="15" customHeight="1" s="14">
      <c r="A1489" s="24" t="n">
        <v>7287</v>
      </c>
      <c r="B1489" s="24" t="inlineStr">
        <is>
          <t>ATOMOXETINE HYDROCHLORIDE CAPSULE ORAL 60 mg</t>
        </is>
      </c>
      <c r="C1489" s="25">
        <f>IF(COUNTIF('کدهای پیام‌داروساز'!$A$2:$A$2442,A1489)&gt;0,"بله","خیر")</f>
        <v/>
      </c>
    </row>
    <row r="1490" ht="15" customHeight="1" s="14">
      <c r="A1490" s="24" t="n">
        <v>7315</v>
      </c>
      <c r="B1490" s="24" t="inlineStr">
        <is>
          <t>ROSUVASTATIN (AS CALCIUM) TABLET ORAL 5 mg</t>
        </is>
      </c>
      <c r="C1490" s="25">
        <f>IF(COUNTIF('کدهای پیام‌داروساز'!$A$2:$A$2442,A1490)&gt;0,"بله","خیر")</f>
        <v/>
      </c>
    </row>
    <row r="1491" ht="15" customHeight="1" s="14">
      <c r="A1491" s="24" t="n">
        <v>7316</v>
      </c>
      <c r="B1491" s="24" t="inlineStr">
        <is>
          <t>ROSUVASTATIN (AS CALCIUM) TABLET ORAL 40 mg</t>
        </is>
      </c>
      <c r="C1491" s="25">
        <f>IF(COUNTIF('کدهای پیام‌داروساز'!$A$2:$A$2442,A1491)&gt;0,"بله","خیر")</f>
        <v/>
      </c>
    </row>
    <row r="1492" ht="15" customHeight="1" s="14">
      <c r="A1492" s="24" t="n">
        <v>7319</v>
      </c>
      <c r="B1492" s="24" t="inlineStr">
        <is>
          <t>MOMETASONE FUROATE OINTMENT TOPICAL 0.1 % 30 g</t>
        </is>
      </c>
      <c r="C1492" s="25">
        <f>IF(COUNTIF('کدهای پیام‌داروساز'!$A$2:$A$2442,A1492)&gt;0,"بله","خیر")</f>
        <v/>
      </c>
    </row>
    <row r="1493" ht="15" customHeight="1" s="14">
      <c r="A1493" s="24" t="n">
        <v>7338</v>
      </c>
      <c r="B1493" s="24" t="inlineStr">
        <is>
          <t>INSULIN GLARGINE INJECTION PARENTERAL 100 [iU]/1mL 3 mL</t>
        </is>
      </c>
      <c r="C1493" s="25">
        <f>IF(COUNTIF('کدهای پیام‌داروساز'!$A$2:$A$2442,A1493)&gt;0,"بله","خیر")</f>
        <v/>
      </c>
    </row>
    <row r="1494" ht="15" customHeight="1" s="14">
      <c r="A1494" s="24" t="n">
        <v>7377</v>
      </c>
      <c r="B1494" s="24" t="inlineStr">
        <is>
          <t>BASILIXIMAB INJECTION, POWDER, FOR SOLUTION PARENTERAL 20 mg</t>
        </is>
      </c>
      <c r="C1494" s="25">
        <f>IF(COUNTIF('کدهای پیام‌داروساز'!$A$2:$A$2442,A1494)&gt;0,"بله","خیر")</f>
        <v/>
      </c>
    </row>
    <row r="1495" ht="15" customHeight="1" s="14">
      <c r="A1495" s="24" t="n">
        <v>7384</v>
      </c>
      <c r="B1495" s="24" t="inlineStr">
        <is>
          <t>TEMOZOLOMIDE CAPSULE ORAL 5 mg</t>
        </is>
      </c>
      <c r="C1495" s="25">
        <f>IF(COUNTIF('کدهای پیام‌داروساز'!$A$2:$A$2442,A1495)&gt;0,"بله","خیر")</f>
        <v/>
      </c>
    </row>
    <row r="1496" ht="15" customHeight="1" s="14">
      <c r="A1496" s="24" t="n">
        <v>7436</v>
      </c>
      <c r="B1496" s="24" t="inlineStr">
        <is>
          <t>ADAPALENE GEL TOPICAL 0.1 % 30 g</t>
        </is>
      </c>
      <c r="C1496" s="25">
        <f>IF(COUNTIF('کدهای پیام‌داروساز'!$A$2:$A$2442,A1496)&gt;0,"بله","خیر")</f>
        <v/>
      </c>
    </row>
    <row r="1497" ht="15" customHeight="1" s="14">
      <c r="A1497" s="24" t="n">
        <v>7467</v>
      </c>
      <c r="B1497" s="24" t="inlineStr">
        <is>
          <t>MEDROXYPROGESTERONE ACETATE / ESTRADIOL CYPIONATE INJECTION PARENTERAL 50 mg/10 mg/1 mL 0.5 mL</t>
        </is>
      </c>
      <c r="C1497" s="25">
        <f>IF(COUNTIF('کدهای پیام‌داروساز'!$A$2:$A$2442,A1497)&gt;0,"بله","خیر")</f>
        <v/>
      </c>
    </row>
    <row r="1498" ht="15" customHeight="1" s="14">
      <c r="A1498" s="24" t="n">
        <v>7468</v>
      </c>
      <c r="B1498" s="24" t="inlineStr">
        <is>
          <t>KETOCONAZOLE SHAMPOO TOPICAL 2 % 100 mL</t>
        </is>
      </c>
      <c r="C1498" s="25">
        <f>IF(COUNTIF('کدهای پیام‌داروساز'!$A$2:$A$2442,A1498)&gt;0,"بله","خیر")</f>
        <v/>
      </c>
    </row>
    <row r="1499" ht="15" customHeight="1" s="14">
      <c r="A1499" s="24" t="n">
        <v>7469</v>
      </c>
      <c r="B1499" s="24" t="inlineStr">
        <is>
          <t>EPTIFIBATIDE INJECTION, SOLUTION PARENTERAL 0.75 mg/1mL 100 mL</t>
        </is>
      </c>
      <c r="C1499" s="25">
        <f>IF(COUNTIF('کدهای پیام‌داروساز'!$A$2:$A$2442,A1499)&gt;0,"بله","خیر")</f>
        <v/>
      </c>
    </row>
    <row r="1500" ht="15" customHeight="1" s="14">
      <c r="A1500" s="24" t="n">
        <v>7470</v>
      </c>
      <c r="B1500" s="24" t="inlineStr">
        <is>
          <t>EPTIFIBATIDE INJECTION, SOLUTION PARENTERAL 2 mg/1mL 10 mL</t>
        </is>
      </c>
      <c r="C1500" s="25">
        <f>IF(COUNTIF('کدهای پیام‌داروساز'!$A$2:$A$2442,A1500)&gt;0,"بله","خیر")</f>
        <v/>
      </c>
    </row>
    <row r="1501" ht="15" customHeight="1" s="14">
      <c r="A1501" s="24" t="n">
        <v>7475</v>
      </c>
      <c r="B1501" s="24" t="inlineStr">
        <is>
          <t>IBANDRONIC ACID TABLET ORAL 150 mg</t>
        </is>
      </c>
      <c r="C1501" s="25">
        <f>IF(COUNTIF('کدهای پیام‌داروساز'!$A$2:$A$2442,A1501)&gt;0,"بله","خیر")</f>
        <v/>
      </c>
    </row>
    <row r="1502" ht="15" customHeight="1" s="14">
      <c r="A1502" s="24" t="n">
        <v>7495</v>
      </c>
      <c r="B1502" s="24" t="inlineStr">
        <is>
          <t>CEFIXIME CAPSULE ORAL 200 mg</t>
        </is>
      </c>
      <c r="C1502" s="25">
        <f>IF(COUNTIF('کدهای پیام‌داروساز'!$A$2:$A$2442,A1502)&gt;0,"بله","خیر")</f>
        <v/>
      </c>
    </row>
    <row r="1503" ht="15" customHeight="1" s="14">
      <c r="A1503" s="24" t="n">
        <v>7502</v>
      </c>
      <c r="B1503" s="24" t="inlineStr">
        <is>
          <t>MOMETASONE FUROATE LOTION TOPICAL 0.1 % 30 mL</t>
        </is>
      </c>
      <c r="C1503" s="25">
        <f>IF(COUNTIF('کدهای پیام‌داروساز'!$A$2:$A$2442,A1503)&gt;0,"بله","خیر")</f>
        <v/>
      </c>
    </row>
    <row r="1504" ht="15" customHeight="1" s="14">
      <c r="A1504" s="24" t="n">
        <v>7516</v>
      </c>
      <c r="B1504" s="24" t="inlineStr">
        <is>
          <t>CILOSTAZOL TABLET ORAL 50 mg</t>
        </is>
      </c>
      <c r="C1504" s="25">
        <f>IF(COUNTIF('کدهای پیام‌داروساز'!$A$2:$A$2442,A1504)&gt;0,"بله","خیر")</f>
        <v/>
      </c>
    </row>
    <row r="1505" ht="15" customHeight="1" s="14">
      <c r="A1505" s="24" t="n">
        <v>7525</v>
      </c>
      <c r="B1505" s="24" t="inlineStr">
        <is>
          <t>OMALIZUMAB INJECTION, POWDER, FOR SOLUTION PARENTERAL 150 mg</t>
        </is>
      </c>
      <c r="C1505" s="25">
        <f>IF(COUNTIF('کدهای پیام‌داروساز'!$A$2:$A$2442,A1505)&gt;0,"بله","خیر")</f>
        <v/>
      </c>
    </row>
    <row r="1506" ht="15" customHeight="1" s="14">
      <c r="A1506" s="24" t="n">
        <v>7543</v>
      </c>
      <c r="B1506" s="24" t="inlineStr">
        <is>
          <t>HEMODIALYSIS CONCENTRATED III SOLUTION, CONCENTRATE HEMODIALYSIS 1225 meq/70 g/3745 meq/87.5 meq/105 meq/35 meq/4725 meq 5 L</t>
        </is>
      </c>
      <c r="C1506" s="25">
        <f>IF(COUNTIF('کدهای پیام‌داروساز'!$A$2:$A$2442,A1506)&gt;0,"بله","خیر")</f>
        <v/>
      </c>
    </row>
    <row r="1507" ht="15" customHeight="1" s="14">
      <c r="A1507" s="24" t="n">
        <v>7558</v>
      </c>
      <c r="B1507" s="24" t="inlineStr">
        <is>
          <t>SOLIFENACIN SUCCINATE TABLET ORAL 5 mg</t>
        </is>
      </c>
      <c r="C1507" s="25">
        <f>IF(COUNTIF('کدهای پیام‌داروساز'!$A$2:$A$2442,A1507)&gt;0,"بله","خیر")</f>
        <v/>
      </c>
    </row>
    <row r="1508" ht="15" customHeight="1" s="14">
      <c r="A1508" s="24" t="n">
        <v>7559</v>
      </c>
      <c r="B1508" s="24" t="inlineStr">
        <is>
          <t>SOLIFENACIN SUCCINATE TABLET ORAL 10 mg</t>
        </is>
      </c>
      <c r="C1508" s="25">
        <f>IF(COUNTIF('کدهای پیام‌داروساز'!$A$2:$A$2442,A1508)&gt;0,"بله","خیر")</f>
        <v/>
      </c>
    </row>
    <row r="1509" ht="15" customHeight="1" s="14">
      <c r="A1509" s="24" t="n">
        <v>7564</v>
      </c>
      <c r="B1509" s="24" t="inlineStr">
        <is>
          <t>POTASSIUM CHLORIDE TABLET, EXTENDED RELEASE ORAL 600 mg</t>
        </is>
      </c>
      <c r="C1509" s="25">
        <f>IF(COUNTIF('کدهای پیام‌داروساز'!$A$2:$A$2442,A1509)&gt;0,"بله","خیر")</f>
        <v/>
      </c>
    </row>
    <row r="1510" ht="15" customHeight="1" s="14">
      <c r="A1510" s="24" t="n">
        <v>7582</v>
      </c>
      <c r="B1510" s="24" t="inlineStr">
        <is>
          <t>BICALUTAMIDE TABLET ORAL 150 mg</t>
        </is>
      </c>
      <c r="C1510" s="25">
        <f>IF(COUNTIF('کدهای پیام‌داروساز'!$A$2:$A$2442,A1510)&gt;0,"بله","خیر")</f>
        <v/>
      </c>
    </row>
    <row r="1511" ht="15" customHeight="1" s="14">
      <c r="A1511" s="24" t="n">
        <v>7601</v>
      </c>
      <c r="B1511" s="24" t="inlineStr">
        <is>
          <t>SODIUM BICARBONATE INJECTION PARENTERAL 8.4 % 50 mL</t>
        </is>
      </c>
      <c r="C1511" s="25">
        <f>IF(COUNTIF('کدهای پیام‌داروساز'!$A$2:$A$2442,A1511)&gt;0,"بله","خیر")</f>
        <v/>
      </c>
    </row>
    <row r="1512" ht="15" customHeight="1" s="14">
      <c r="A1512" s="24" t="n">
        <v>7629</v>
      </c>
      <c r="B1512" s="24" t="inlineStr">
        <is>
          <t>MEASLES / MUMPS / RUBELLA VACCINE INJECTION, POWDER, LYOPHILIZED, FOR SOLUTION PARENTERAL 1 {dose} 0.5 mL</t>
        </is>
      </c>
      <c r="C1512" s="25">
        <f>IF(COUNTIF('کدهای پیام‌داروساز'!$A$2:$A$2442,A1512)&gt;0,"بله","خیر")</f>
        <v/>
      </c>
    </row>
    <row r="1513" ht="15" customHeight="1" s="14">
      <c r="A1513" s="24" t="n">
        <v>7659</v>
      </c>
      <c r="B1513" s="24" t="inlineStr">
        <is>
          <t>ANAGRELIDE HYDROCHLORIDE CAPSULE ORAL 500 ug</t>
        </is>
      </c>
      <c r="C1513" s="25">
        <f>IF(COUNTIF('کدهای پیام‌داروساز'!$A$2:$A$2442,A1513)&gt;0,"بله","خیر")</f>
        <v/>
      </c>
    </row>
    <row r="1514" ht="15" customHeight="1" s="14">
      <c r="A1514" s="24" t="n">
        <v>7662</v>
      </c>
      <c r="B1514" s="24" t="inlineStr">
        <is>
          <t>RISEDRONATE SODIUM TABLET ORAL 5 mg</t>
        </is>
      </c>
      <c r="C1514" s="25">
        <f>IF(COUNTIF('کدهای پیام‌داروساز'!$A$2:$A$2442,A1514)&gt;0,"بله","خیر")</f>
        <v/>
      </c>
    </row>
    <row r="1515" ht="15" customHeight="1" s="14">
      <c r="A1515" s="24" t="n">
        <v>7669</v>
      </c>
      <c r="B1515" s="24" t="inlineStr">
        <is>
          <t>VALPROATE SODIUM SYRUP ORAL 200 mg/5mL 120 mL</t>
        </is>
      </c>
      <c r="C1515" s="25">
        <f>IF(COUNTIF('کدهای پیام‌داروساز'!$A$2:$A$2442,A1515)&gt;0,"بله","خیر")</f>
        <v/>
      </c>
    </row>
    <row r="1516" ht="15" customHeight="1" s="14">
      <c r="A1516" s="24" t="n">
        <v>7684</v>
      </c>
      <c r="B1516" s="24" t="inlineStr">
        <is>
          <t>ZONISAMIDE CAPSULE ORAL 25 mg</t>
        </is>
      </c>
      <c r="C1516" s="25">
        <f>IF(COUNTIF('کدهای پیام‌داروساز'!$A$2:$A$2442,A1516)&gt;0,"بله","خیر")</f>
        <v/>
      </c>
    </row>
    <row r="1517" ht="15" customHeight="1" s="14">
      <c r="A1517" s="24" t="n">
        <v>7760</v>
      </c>
      <c r="B1517" s="24" t="inlineStr">
        <is>
          <t>PIMECROLIMUS CREAM TOPICAL 1 % 15 g</t>
        </is>
      </c>
      <c r="C1517" s="25">
        <f>IF(COUNTIF('کدهای پیام‌داروساز'!$A$2:$A$2442,A1517)&gt;0,"بله","خیر")</f>
        <v/>
      </c>
    </row>
    <row r="1518" ht="15" customHeight="1" s="14">
      <c r="A1518" s="24" t="n">
        <v>7804</v>
      </c>
      <c r="B1518" s="24" t="inlineStr">
        <is>
          <t>SUNITINIB (AS MALATE) CAPSULE ORAL 50 mg</t>
        </is>
      </c>
      <c r="C1518" s="25">
        <f>IF(COUNTIF('کدهای پیام‌داروساز'!$A$2:$A$2442,A1518)&gt;0,"بله","خیر")</f>
        <v/>
      </c>
    </row>
    <row r="1519" ht="15" customHeight="1" s="14">
      <c r="A1519" s="24" t="n">
        <v>7830</v>
      </c>
      <c r="B1519" s="24" t="inlineStr">
        <is>
          <t>FENTANYL (AS CITRATE) INJECTION PARENTERAL 50 ug/1mL 2 mL</t>
        </is>
      </c>
      <c r="C1519" s="25">
        <f>IF(COUNTIF('کدهای پیام‌داروساز'!$A$2:$A$2442,A1519)&gt;0,"بله","خیر")</f>
        <v/>
      </c>
    </row>
    <row r="1520" ht="15" customHeight="1" s="14">
      <c r="A1520" s="24" t="n">
        <v>7845</v>
      </c>
      <c r="B1520" s="24" t="inlineStr">
        <is>
          <t>DULOXETINE CAPSULE, DELAYED RELEASE ORAL 30 mg</t>
        </is>
      </c>
      <c r="C1520" s="25">
        <f>IF(COUNTIF('کدهای پیام‌داروساز'!$A$2:$A$2442,A1520)&gt;0,"بله","خیر")</f>
        <v/>
      </c>
    </row>
    <row r="1521" ht="15" customHeight="1" s="14">
      <c r="A1521" s="24" t="n">
        <v>7848</v>
      </c>
      <c r="B1521" s="24" t="inlineStr">
        <is>
          <t>BOSENTAN TABLET ORAL 125 mg</t>
        </is>
      </c>
      <c r="C1521" s="25">
        <f>IF(COUNTIF('کدهای پیام‌داروساز'!$A$2:$A$2442,A1521)&gt;0,"بله","خیر")</f>
        <v/>
      </c>
    </row>
    <row r="1522" ht="15" customHeight="1" s="14">
      <c r="A1522" s="24" t="n">
        <v>7854</v>
      </c>
      <c r="B1522" s="24" t="inlineStr">
        <is>
          <t>ZONISAMIDE CAPSULE ORAL 50 mg</t>
        </is>
      </c>
      <c r="C1522" s="25">
        <f>IF(COUNTIF('کدهای پیام‌داروساز'!$A$2:$A$2442,A1522)&gt;0,"بله","خیر")</f>
        <v/>
      </c>
    </row>
    <row r="1523" ht="15" customHeight="1" s="14">
      <c r="A1523" s="24" t="n">
        <v>7865</v>
      </c>
      <c r="B1523" s="24" t="inlineStr">
        <is>
          <t>CALCIUM ACETATE TABLET ORAL 667 mg</t>
        </is>
      </c>
      <c r="C1523" s="25">
        <f>IF(COUNTIF('کدهای پیام‌داروساز'!$A$2:$A$2442,A1523)&gt;0,"بله","خیر")</f>
        <v/>
      </c>
    </row>
    <row r="1524" ht="15" customHeight="1" s="14">
      <c r="A1524" s="24" t="n">
        <v>7913</v>
      </c>
      <c r="B1524" s="24" t="inlineStr">
        <is>
          <t>SUCCIMER CAPSULE ORAL 200 mg</t>
        </is>
      </c>
      <c r="C1524" s="25">
        <f>IF(COUNTIF('کدهای پیام‌داروساز'!$A$2:$A$2442,A1524)&gt;0,"بله","خیر")</f>
        <v/>
      </c>
    </row>
    <row r="1525" ht="15" customHeight="1" s="14">
      <c r="A1525" s="24" t="n">
        <v>7928</v>
      </c>
      <c r="B1525" s="24" t="inlineStr">
        <is>
          <t>PREGABALIN CAPSULE ORAL 150 mg</t>
        </is>
      </c>
      <c r="C1525" s="25">
        <f>IF(COUNTIF('کدهای پیام‌داروساز'!$A$2:$A$2442,A1525)&gt;0,"بله","خیر")</f>
        <v/>
      </c>
    </row>
    <row r="1526" ht="15" customHeight="1" s="14">
      <c r="A1526" s="24" t="n">
        <v>7932</v>
      </c>
      <c r="B1526" s="24" t="inlineStr">
        <is>
          <t>VENLAFAXINE TABLET ORAL 37.5 mg</t>
        </is>
      </c>
      <c r="C1526" s="25">
        <f>IF(COUNTIF('کدهای پیام‌داروساز'!$A$2:$A$2442,A1526)&gt;0,"بله","خیر")</f>
        <v/>
      </c>
    </row>
    <row r="1527" ht="15" customHeight="1" s="14">
      <c r="A1527" s="24" t="n">
        <v>7938</v>
      </c>
      <c r="B1527" s="24" t="inlineStr">
        <is>
          <t>LEVOTHYROXINE SODIUM TABLET ORAL 25 ug</t>
        </is>
      </c>
      <c r="C1527" s="25">
        <f>IF(COUNTIF('کدهای پیام‌داروساز'!$A$2:$A$2442,A1527)&gt;0,"بله","خیر")</f>
        <v/>
      </c>
    </row>
    <row r="1528" ht="15" customHeight="1" s="14">
      <c r="A1528" s="24" t="n">
        <v>7986</v>
      </c>
      <c r="B1528" s="24" t="inlineStr">
        <is>
          <t>AZITHROMYCIN POWDER, FOR SUSPENSION ORAL 200 mg/5mL 22.5 mL</t>
        </is>
      </c>
      <c r="C1528" s="25">
        <f>IF(COUNTIF('کدهای پیام‌داروساز'!$A$2:$A$2442,A1528)&gt;0,"بله","خیر")</f>
        <v/>
      </c>
    </row>
    <row r="1529" ht="15" customHeight="1" s="14">
      <c r="A1529" s="24" t="n">
        <v>7991</v>
      </c>
      <c r="B1529" s="24" t="inlineStr">
        <is>
          <t>METHYLPHENIDATE HYDROCHLORIDE TABLET, EXTENDED RELEASE ORAL 20 mg</t>
        </is>
      </c>
      <c r="C1529" s="25">
        <f>IF(COUNTIF('کدهای پیام‌داروساز'!$A$2:$A$2442,A1529)&gt;0,"بله","خیر")</f>
        <v/>
      </c>
    </row>
    <row r="1530" ht="15" customHeight="1" s="14">
      <c r="A1530" s="24" t="n">
        <v>8000</v>
      </c>
      <c r="B1530" s="24" t="inlineStr">
        <is>
          <t>ETHANOL SOLUTION NOT APPLICABLE 70 % 1 L</t>
        </is>
      </c>
      <c r="C1530" s="25">
        <f>IF(COUNTIF('کدهای پیام‌داروساز'!$A$2:$A$2442,A1530)&gt;0,"بله","خیر")</f>
        <v/>
      </c>
    </row>
    <row r="1531" ht="15" customHeight="1" s="14">
      <c r="A1531" s="24" t="n">
        <v>8004</v>
      </c>
      <c r="B1531" s="24" t="inlineStr">
        <is>
          <t>LABETALOL HYDROCHLORIDE INJECTION PARENTERAL 5 mg/1mL 20 mL</t>
        </is>
      </c>
      <c r="C1531" s="25">
        <f>IF(COUNTIF('کدهای پیام‌داروساز'!$A$2:$A$2442,A1531)&gt;0,"بله","خیر")</f>
        <v/>
      </c>
    </row>
    <row r="1532" ht="15" customHeight="1" s="14">
      <c r="A1532" s="24" t="n">
        <v>8021</v>
      </c>
      <c r="B1532" s="24" t="inlineStr">
        <is>
          <t>ANASTROZOLE TABLET ORAL 1 mg</t>
        </is>
      </c>
      <c r="C1532" s="25">
        <f>IF(COUNTIF('کدهای پیام‌داروساز'!$A$2:$A$2442,A1532)&gt;0,"بله","خیر")</f>
        <v/>
      </c>
    </row>
    <row r="1533" ht="15" customHeight="1" s="14">
      <c r="A1533" s="24" t="n">
        <v>8024</v>
      </c>
      <c r="B1533" s="24" t="inlineStr">
        <is>
          <t>WARFARIN SODIUM TABLET ORAL 1 mg</t>
        </is>
      </c>
      <c r="C1533" s="25">
        <f>IF(COUNTIF('کدهای پیام‌داروساز'!$A$2:$A$2442,A1533)&gt;0,"بله","خیر")</f>
        <v/>
      </c>
    </row>
    <row r="1534" ht="15" customHeight="1" s="14">
      <c r="A1534" s="24" t="n">
        <v>8028</v>
      </c>
      <c r="B1534" s="24" t="inlineStr">
        <is>
          <t>FEXOFENADINE HYDROCHLORIDE TABLET ORAL 30 mg</t>
        </is>
      </c>
      <c r="C1534" s="25">
        <f>IF(COUNTIF('کدهای پیام‌داروساز'!$A$2:$A$2442,A1534)&gt;0,"بله","خیر")</f>
        <v/>
      </c>
    </row>
    <row r="1535" ht="15" customHeight="1" s="14">
      <c r="A1535" s="24" t="n">
        <v>8040</v>
      </c>
      <c r="B1535" s="24" t="inlineStr">
        <is>
          <t>PROSTAGLANDIN E1 (ALPROSTADIL) STICK URETHRAL 1000 ug</t>
        </is>
      </c>
      <c r="C1535" s="25">
        <f>IF(COUNTIF('کدهای پیام‌داروساز'!$A$2:$A$2442,A1535)&gt;0,"بله","خیر")</f>
        <v/>
      </c>
    </row>
    <row r="1536" ht="15" customHeight="1" s="14">
      <c r="A1536" s="24" t="n">
        <v>8066</v>
      </c>
      <c r="B1536" s="24" t="inlineStr">
        <is>
          <t>CINACALCET (AS HYDROCHLORIDE) TABLET ORAL 30 mg</t>
        </is>
      </c>
      <c r="C1536" s="25">
        <f>IF(COUNTIF('کدهای پیام‌داروساز'!$A$2:$A$2442,A1536)&gt;0,"بله","خیر")</f>
        <v/>
      </c>
    </row>
    <row r="1537" ht="15" customHeight="1" s="14">
      <c r="A1537" s="24" t="n">
        <v>8074</v>
      </c>
      <c r="B1537" s="24" t="inlineStr">
        <is>
          <t>MIRTAZAPINE TABLET ORAL 30 mg</t>
        </is>
      </c>
      <c r="C1537" s="25">
        <f>IF(COUNTIF('کدهای پیام‌داروساز'!$A$2:$A$2442,A1537)&gt;0,"بله","خیر")</f>
        <v/>
      </c>
    </row>
    <row r="1538" ht="15" customHeight="1" s="14">
      <c r="A1538" s="24" t="n">
        <v>8079</v>
      </c>
      <c r="B1538" s="24" t="inlineStr">
        <is>
          <t>PROBENECID TABLET ORAL 500 mg</t>
        </is>
      </c>
      <c r="C1538" s="25">
        <f>IF(COUNTIF('کدهای پیام‌داروساز'!$A$2:$A$2442,A1538)&gt;0,"بله","خیر")</f>
        <v/>
      </c>
    </row>
    <row r="1539" ht="15" customHeight="1" s="14">
      <c r="A1539" s="24" t="n">
        <v>8081</v>
      </c>
      <c r="B1539" s="24" t="inlineStr">
        <is>
          <t>DORNASE ALFA (DESOXYRIBONUCLEASE) SOLUTION RESPIRATORY 1 mg/1mL 2.5 mL</t>
        </is>
      </c>
      <c r="C1539" s="25">
        <f>IF(COUNTIF('کدهای پیام‌داروساز'!$A$2:$A$2442,A1539)&gt;0,"بله","خیر")</f>
        <v/>
      </c>
    </row>
    <row r="1540" ht="15" customHeight="1" s="14">
      <c r="A1540" s="24" t="n">
        <v>8095</v>
      </c>
      <c r="B1540" s="24" t="inlineStr">
        <is>
          <t>MISOPROSTOL TABLET ORAL 200 ug</t>
        </is>
      </c>
      <c r="C1540" s="25">
        <f>IF(COUNTIF('کدهای پیام‌داروساز'!$A$2:$A$2442,A1540)&gt;0,"بله","خیر")</f>
        <v/>
      </c>
    </row>
    <row r="1541" ht="15" customHeight="1" s="14">
      <c r="A1541" s="24" t="n">
        <v>8108</v>
      </c>
      <c r="B1541" s="24" t="inlineStr">
        <is>
          <t>GEFITINIB TABLET ORAL 250 mg</t>
        </is>
      </c>
      <c r="C1541" s="25">
        <f>IF(COUNTIF('کدهای پیام‌داروساز'!$A$2:$A$2442,A1541)&gt;0,"بله","خیر")</f>
        <v/>
      </c>
    </row>
    <row r="1542" ht="15" customHeight="1" s="14">
      <c r="A1542" s="24" t="n">
        <v>8127</v>
      </c>
      <c r="B1542" s="24" t="inlineStr">
        <is>
          <t>RISPERIDONE INJECTION, POWDER, FOR SUSPENSION, EXTENDED RELEASE PARENTERAL 25 mg</t>
        </is>
      </c>
      <c r="C1542" s="25">
        <f>IF(COUNTIF('کدهای پیام‌داروساز'!$A$2:$A$2442,A1542)&gt;0,"بله","خیر")</f>
        <v/>
      </c>
    </row>
    <row r="1543" ht="15" customHeight="1" s="14">
      <c r="A1543" s="24" t="n">
        <v>8133</v>
      </c>
      <c r="B1543" s="24" t="inlineStr">
        <is>
          <t>VINORELBINE (AS TARTRATE) CAPSULE, LIQUID FILLED ORAL 30 mg</t>
        </is>
      </c>
      <c r="C1543" s="25">
        <f>IF(COUNTIF('کدهای پیام‌داروساز'!$A$2:$A$2442,A1543)&gt;0,"بله","خیر")</f>
        <v/>
      </c>
    </row>
    <row r="1544" ht="15" customHeight="1" s="14">
      <c r="A1544" s="24" t="n">
        <v>8170</v>
      </c>
      <c r="B1544" s="24" t="inlineStr">
        <is>
          <t>ETANERCEPT INJECTION, SOLUTION SUBCUTANEOUS 50 mg/1mL 1 mL</t>
        </is>
      </c>
      <c r="C1544" s="25">
        <f>IF(COUNTIF('کدهای پیام‌داروساز'!$A$2:$A$2442,A1544)&gt;0,"بله","خیر")</f>
        <v/>
      </c>
    </row>
    <row r="1545" ht="15" customHeight="1" s="14">
      <c r="A1545" s="24" t="n">
        <v>8178</v>
      </c>
      <c r="B1545" s="24" t="inlineStr">
        <is>
          <t>HYDROCORTISONE (AS SODIUM PHOSPHATE) INJECTION, POWDER, FOR SOLUTION PARENTERAL 100 mg</t>
        </is>
      </c>
      <c r="C1545" s="25">
        <f>IF(COUNTIF('کدهای پیام‌داروساز'!$A$2:$A$2442,A1545)&gt;0,"بله","خیر")</f>
        <v/>
      </c>
    </row>
    <row r="1546" ht="15" customHeight="1" s="14">
      <c r="A1546" s="24" t="n">
        <v>8209</v>
      </c>
      <c r="B1546" s="24" t="inlineStr">
        <is>
          <t>BUDESONIDE SPRAY NASAL 64 ug/1{dose} 120 {Puff}</t>
        </is>
      </c>
      <c r="C1546" s="25">
        <f>IF(COUNTIF('کدهای پیام‌داروساز'!$A$2:$A$2442,A1546)&gt;0,"بله","خیر")</f>
        <v/>
      </c>
    </row>
    <row r="1547" ht="15" customHeight="1" s="14">
      <c r="A1547" s="24" t="n">
        <v>8256</v>
      </c>
      <c r="B1547" s="24" t="inlineStr">
        <is>
          <t>LOSARTAN POTASSIUM / HYDROCHLOROTHIAZIDE TABLET ORAL 50 mg/12.5 mg</t>
        </is>
      </c>
      <c r="C1547" s="25">
        <f>IF(COUNTIF('کدهای پیام‌داروساز'!$A$2:$A$2442,A1547)&gt;0,"بله","خیر")</f>
        <v/>
      </c>
    </row>
    <row r="1548" ht="15" customHeight="1" s="14">
      <c r="A1548" s="24" t="n">
        <v>8269</v>
      </c>
      <c r="B1548" s="24" t="inlineStr">
        <is>
          <t>MAGNESIUM SULFATE INJECTION PARENTERAL 20 % 10 mL</t>
        </is>
      </c>
      <c r="C1548" s="25">
        <f>IF(COUNTIF('کدهای پیام‌داروساز'!$A$2:$A$2442,A1548)&gt;0,"بله","خیر")</f>
        <v/>
      </c>
    </row>
    <row r="1549" ht="15" customHeight="1" s="14">
      <c r="A1549" s="24" t="n">
        <v>8277</v>
      </c>
      <c r="B1549" s="24" t="inlineStr">
        <is>
          <t>MOXIFLOXACIN (AS HYDROCHLORIDE) TABLET ORAL 400 mg</t>
        </is>
      </c>
      <c r="C1549" s="25">
        <f>IF(COUNTIF('کدهای پیام‌داروساز'!$A$2:$A$2442,A1549)&gt;0,"بله","خیر")</f>
        <v/>
      </c>
    </row>
    <row r="1550" ht="15" customHeight="1" s="14">
      <c r="A1550" s="24" t="n">
        <v>8300</v>
      </c>
      <c r="B1550" s="24" t="inlineStr">
        <is>
          <t>LINEZOLID TABLET ORAL 600 mg</t>
        </is>
      </c>
      <c r="C1550" s="25">
        <f>IF(COUNTIF('کدهای پیام‌داروساز'!$A$2:$A$2442,A1550)&gt;0,"بله","خیر")</f>
        <v/>
      </c>
    </row>
    <row r="1551" ht="15" customHeight="1" s="14">
      <c r="A1551" s="24" t="n">
        <v>8358</v>
      </c>
      <c r="B1551" s="24" t="inlineStr">
        <is>
          <t>FUSIDATE SODIUM OINTMENT TOPICAL 2 % 15 g</t>
        </is>
      </c>
      <c r="C1551" s="25">
        <f>IF(COUNTIF('کدهای پیام‌داروساز'!$A$2:$A$2442,A1551)&gt;0,"بله","خیر")</f>
        <v/>
      </c>
    </row>
    <row r="1552" ht="15" customHeight="1" s="14">
      <c r="A1552" s="24" t="n">
        <v>8390</v>
      </c>
      <c r="B1552" s="24" t="inlineStr">
        <is>
          <t>FULVESTRANT INJECTION, SOLUTION PARENTERAL 50 mg/1mL 5 mL</t>
        </is>
      </c>
      <c r="C1552" s="25">
        <f>IF(COUNTIF('کدهای پیام‌داروساز'!$A$2:$A$2442,A1552)&gt;0,"بله","خیر")</f>
        <v/>
      </c>
    </row>
    <row r="1553" ht="15" customHeight="1" s="14">
      <c r="A1553" s="24" t="n">
        <v>8394</v>
      </c>
      <c r="B1553" s="24" t="inlineStr">
        <is>
          <t>ATOMOXETINE HYDROCHLORIDE CAPSULE ORAL 10 mg</t>
        </is>
      </c>
      <c r="C1553" s="25">
        <f>IF(COUNTIF('کدهای پیام‌داروساز'!$A$2:$A$2442,A1553)&gt;0,"بله","خیر")</f>
        <v/>
      </c>
    </row>
    <row r="1554" ht="15" customHeight="1" s="14">
      <c r="A1554" s="24" t="n">
        <v>8396</v>
      </c>
      <c r="B1554" s="24" t="inlineStr">
        <is>
          <t>VALPROATE SODIUM INJECTION, POWDER, FOR SOLUTION PARENTERAL 400 mg</t>
        </is>
      </c>
      <c r="C1554" s="25">
        <f>IF(COUNTIF('کدهای پیام‌داروساز'!$A$2:$A$2442,A1554)&gt;0,"بله","خیر")</f>
        <v/>
      </c>
    </row>
    <row r="1555" ht="15" customHeight="1" s="14">
      <c r="A1555" s="24" t="n">
        <v>8426</v>
      </c>
      <c r="B1555" s="24" t="inlineStr">
        <is>
          <t>TETRACOSACTIDE INJECTION PARENTERAL 250 ug/1mL</t>
        </is>
      </c>
      <c r="C1555" s="25">
        <f>IF(COUNTIF('کدهای پیام‌داروساز'!$A$2:$A$2442,A1555)&gt;0,"بله","خیر")</f>
        <v/>
      </c>
    </row>
    <row r="1556" ht="15" customHeight="1" s="14">
      <c r="A1556" s="24" t="n">
        <v>8448</v>
      </c>
      <c r="B1556" s="24" t="inlineStr">
        <is>
          <t>SORAFENIB (AS TOSYLATE) TABLET ORAL 200 mg</t>
        </is>
      </c>
      <c r="C1556" s="25">
        <f>IF(COUNTIF('کدهای پیام‌داروساز'!$A$2:$A$2442,A1556)&gt;0,"بله","خیر")</f>
        <v/>
      </c>
    </row>
    <row r="1557" ht="15" customHeight="1" s="14">
      <c r="A1557" s="24" t="n">
        <v>8455</v>
      </c>
      <c r="B1557" s="24" t="inlineStr">
        <is>
          <t>ESCITALOPRAM (AS OXALATE) TABLET ORAL 5 mg</t>
        </is>
      </c>
      <c r="C1557" s="25">
        <f>IF(COUNTIF('کدهای پیام‌داروساز'!$A$2:$A$2442,A1557)&gt;0,"بله","خیر")</f>
        <v/>
      </c>
    </row>
    <row r="1558" ht="15" customHeight="1" s="14">
      <c r="A1558" s="24" t="n">
        <v>8501</v>
      </c>
      <c r="B1558" s="24" t="inlineStr">
        <is>
          <t>PORACTANT ALFA INJECTION ENDOTRACHEAL 80 mg/1mL 3 mL</t>
        </is>
      </c>
      <c r="C1558" s="25">
        <f>IF(COUNTIF('کدهای پیام‌داروساز'!$A$2:$A$2442,A1558)&gt;0,"بله","خیر")</f>
        <v/>
      </c>
    </row>
    <row r="1559" ht="15" customHeight="1" s="14">
      <c r="A1559" s="24" t="n">
        <v>8504</v>
      </c>
      <c r="B1559" s="24" t="inlineStr">
        <is>
          <t>MODAFINIL TABLET ORAL 200 mg</t>
        </is>
      </c>
      <c r="C1559" s="25">
        <f>IF(COUNTIF('کدهای پیام‌داروساز'!$A$2:$A$2442,A1559)&gt;0,"بله","خیر")</f>
        <v/>
      </c>
    </row>
    <row r="1560" ht="15" customHeight="1" s="14">
      <c r="A1560" s="24" t="n">
        <v>8525</v>
      </c>
      <c r="B1560" s="24" t="inlineStr">
        <is>
          <t>PREGABALIN CAPSULE ORAL 300 mg</t>
        </is>
      </c>
      <c r="C1560" s="25">
        <f>IF(COUNTIF('کدهای پیام‌داروساز'!$A$2:$A$2442,A1560)&gt;0,"بله","خیر")</f>
        <v/>
      </c>
    </row>
    <row r="1561" ht="15" customHeight="1" s="14">
      <c r="A1561" s="24" t="n">
        <v>8526</v>
      </c>
      <c r="B1561" s="24" t="inlineStr">
        <is>
          <t>PREGABALIN CAPSULE ORAL 50 mg</t>
        </is>
      </c>
      <c r="C1561" s="25">
        <f>IF(COUNTIF('کدهای پیام‌داروساز'!$A$2:$A$2442,A1561)&gt;0,"بله","خیر")</f>
        <v/>
      </c>
    </row>
    <row r="1562" ht="15" customHeight="1" s="14">
      <c r="A1562" s="24" t="n">
        <v>8529</v>
      </c>
      <c r="B1562" s="24" t="inlineStr">
        <is>
          <t>FLUCONAZOLE INJECTION PARENTERAL 2 mg/1mL 100 mL</t>
        </is>
      </c>
      <c r="C1562" s="25">
        <f>IF(COUNTIF('کدهای پیام‌داروساز'!$A$2:$A$2442,A1562)&gt;0,"بله","خیر")</f>
        <v/>
      </c>
    </row>
    <row r="1563" ht="15" customHeight="1" s="14">
      <c r="A1563" s="24" t="n">
        <v>8530</v>
      </c>
      <c r="B1563" s="24" t="inlineStr">
        <is>
          <t>FLUCONAZOLE INJECTION PARENTERAL 2 mg/1mL 50 mL</t>
        </is>
      </c>
      <c r="C1563" s="25">
        <f>IF(COUNTIF('کدهای پیام‌داروساز'!$A$2:$A$2442,A1563)&gt;0,"بله","خیر")</f>
        <v/>
      </c>
    </row>
    <row r="1564" ht="15" customHeight="1" s="14">
      <c r="A1564" s="24" t="n">
        <v>8581</v>
      </c>
      <c r="B1564" s="24" t="inlineStr">
        <is>
          <t>BIMATOPROST SOLUTION, DROPS OPHTHALMIC 0.01 % 3 mL</t>
        </is>
      </c>
      <c r="C1564" s="25">
        <f>IF(COUNTIF('کدهای پیام‌داروساز'!$A$2:$A$2442,A1564)&gt;0,"بله","خیر")</f>
        <v/>
      </c>
    </row>
    <row r="1565" ht="15" customHeight="1" s="14">
      <c r="A1565" s="24" t="n">
        <v>8601</v>
      </c>
      <c r="B1565" s="24" t="inlineStr">
        <is>
          <t>VALPROATE SODIUM SYRUP ORAL 300 mg/5mL 250 mL</t>
        </is>
      </c>
      <c r="C1565" s="25">
        <f>IF(COUNTIF('کدهای پیام‌داروساز'!$A$2:$A$2442,A1565)&gt;0,"بله","خیر")</f>
        <v/>
      </c>
    </row>
    <row r="1566" ht="15" customHeight="1" s="14">
      <c r="A1566" s="24" t="n">
        <v>8613</v>
      </c>
      <c r="B1566" s="24" t="inlineStr">
        <is>
          <t>DASATINIB TABLET ORAL 70 mg</t>
        </is>
      </c>
      <c r="C1566" s="25">
        <f>IF(COUNTIF('کدهای پیام‌داروساز'!$A$2:$A$2442,A1566)&gt;0,"بله","خیر")</f>
        <v/>
      </c>
    </row>
    <row r="1567" ht="15" customHeight="1" s="14">
      <c r="A1567" s="24" t="n">
        <v>8620</v>
      </c>
      <c r="B1567" s="24" t="inlineStr">
        <is>
          <t>VITAMIN B6 INJECTION PARENTERAL 100 mg/1mL 3 mL</t>
        </is>
      </c>
      <c r="C1567" s="25">
        <f>IF(COUNTIF('کدهای پیام‌داروساز'!$A$2:$A$2442,A1567)&gt;0,"بله","خیر")</f>
        <v/>
      </c>
    </row>
    <row r="1568" ht="15" customHeight="1" s="14">
      <c r="A1568" s="24" t="n">
        <v>8634</v>
      </c>
      <c r="B1568" s="24" t="inlineStr">
        <is>
          <t>DISULFIRAM TABLET ORAL 250 mg</t>
        </is>
      </c>
      <c r="C1568" s="25">
        <f>IF(COUNTIF('کدهای پیام‌داروساز'!$A$2:$A$2442,A1568)&gt;0,"بله","خیر")</f>
        <v/>
      </c>
    </row>
    <row r="1569" ht="15" customHeight="1" s="14">
      <c r="A1569" s="24" t="n">
        <v>8636</v>
      </c>
      <c r="B1569" s="24" t="inlineStr">
        <is>
          <t>OFLOXACIN TABLET ORAL 400 mg</t>
        </is>
      </c>
      <c r="C1569" s="25">
        <f>IF(COUNTIF('کدهای پیام‌داروساز'!$A$2:$A$2442,A1569)&gt;0,"بله","خیر")</f>
        <v/>
      </c>
    </row>
    <row r="1570" ht="15" customHeight="1" s="14">
      <c r="A1570" s="24" t="n">
        <v>8646</v>
      </c>
      <c r="B1570" s="24" t="inlineStr">
        <is>
          <t>INSULIN LISPRO INJECTION PARENTERAL 100 [iU]/1mL 10 mL</t>
        </is>
      </c>
      <c r="C1570" s="25">
        <f>IF(COUNTIF('کدهای پیام‌داروساز'!$A$2:$A$2442,A1570)&gt;0,"بله","خیر")</f>
        <v/>
      </c>
    </row>
    <row r="1571" ht="15" customHeight="1" s="14">
      <c r="A1571" s="24" t="n">
        <v>8667</v>
      </c>
      <c r="B1571" s="24" t="inlineStr">
        <is>
          <t>METOLAZONE TABLET ORAL 5 mg</t>
        </is>
      </c>
      <c r="C1571" s="25">
        <f>IF(COUNTIF('کدهای پیام‌داروساز'!$A$2:$A$2442,A1571)&gt;0,"بله","خیر")</f>
        <v/>
      </c>
    </row>
    <row r="1572" ht="15" customHeight="1" s="14">
      <c r="A1572" s="24" t="n">
        <v>8681</v>
      </c>
      <c r="B1572" s="24" t="inlineStr">
        <is>
          <t>PROSTAGLANDIN E1 (ALPROSTADIL) STICK URETHRAL 500 ug</t>
        </is>
      </c>
      <c r="C1572" s="25">
        <f>IF(COUNTIF('کدهای پیام‌داروساز'!$A$2:$A$2442,A1572)&gt;0,"بله","خیر")</f>
        <v/>
      </c>
    </row>
    <row r="1573" ht="15" customHeight="1" s="14">
      <c r="A1573" s="24" t="n">
        <v>8699</v>
      </c>
      <c r="B1573" s="24" t="inlineStr">
        <is>
          <t>EPHEDRINE HYDROCHLORIDE TABLET ORAL 30 mg</t>
        </is>
      </c>
      <c r="C1573" s="25">
        <f>IF(COUNTIF('کدهای پیام‌داروساز'!$A$2:$A$2442,A1573)&gt;0,"بله","خیر")</f>
        <v/>
      </c>
    </row>
    <row r="1574" ht="15" customHeight="1" s="14">
      <c r="A1574" s="24" t="n">
        <v>8777</v>
      </c>
      <c r="B1574" s="24" t="inlineStr">
        <is>
          <t>PROSTAGLANDIN E1 (ALPROSTADIL) INJECTION, POWDER, FOR SOLUTION PARENTERAL 20 ug</t>
        </is>
      </c>
      <c r="C1574" s="25">
        <f>IF(COUNTIF('کدهای پیام‌داروساز'!$A$2:$A$2442,A1574)&gt;0,"بله","خیر")</f>
        <v/>
      </c>
    </row>
    <row r="1575" ht="15" customHeight="1" s="14">
      <c r="A1575" s="24" t="n">
        <v>8813</v>
      </c>
      <c r="B1575" s="24" t="inlineStr">
        <is>
          <t>FORMOTEROL FUMARATE SPRAY, METERED RESPIRATORY 4.5 ug/1{Puff} 100 {Puff}</t>
        </is>
      </c>
      <c r="C1575" s="25">
        <f>IF(COUNTIF('کدهای پیام‌داروساز'!$A$2:$A$2442,A1575)&gt;0,"بله","خیر")</f>
        <v/>
      </c>
    </row>
    <row r="1576" ht="15" customHeight="1" s="14">
      <c r="A1576" s="24" t="n">
        <v>8828</v>
      </c>
      <c r="B1576" s="24" t="inlineStr">
        <is>
          <t>BETAHISTINE DIHYDROCHLORIDE TABLET ORAL 16 mg</t>
        </is>
      </c>
      <c r="C1576" s="25">
        <f>IF(COUNTIF('کدهای پیام‌داروساز'!$A$2:$A$2442,A1576)&gt;0,"بله","خیر")</f>
        <v/>
      </c>
    </row>
    <row r="1577" ht="15" customHeight="1" s="14">
      <c r="A1577" s="24" t="n">
        <v>8838</v>
      </c>
      <c r="B1577" s="24" t="inlineStr">
        <is>
          <t>KETOTIFEN (AS FUMARATE) SOLUTION, DROPS ORAL 1 mg/1mL 15 mL</t>
        </is>
      </c>
      <c r="C1577" s="25">
        <f>IF(COUNTIF('کدهای پیام‌داروساز'!$A$2:$A$2442,A1577)&gt;0,"بله","خیر")</f>
        <v/>
      </c>
    </row>
    <row r="1578" ht="15" customHeight="1" s="14">
      <c r="A1578" s="24" t="n">
        <v>8884</v>
      </c>
      <c r="B1578" s="24" t="inlineStr">
        <is>
          <t>BUDESONIDE POWDER, METERED RESPIRATORY 100 ug/1{dose} 200 {dose}</t>
        </is>
      </c>
      <c r="C1578" s="25">
        <f>IF(COUNTIF('کدهای پیام‌داروساز'!$A$2:$A$2442,A1578)&gt;0,"بله","خیر")</f>
        <v/>
      </c>
    </row>
    <row r="1579" ht="15" customHeight="1" s="14">
      <c r="A1579" s="24" t="n">
        <v>8889</v>
      </c>
      <c r="B1579" s="24" t="inlineStr">
        <is>
          <t>BUDESONIDE SUSPENSION RESPIRATORY 0.25 mg/1mL 2 mL</t>
        </is>
      </c>
      <c r="C1579" s="25">
        <f>IF(COUNTIF('کدهای پیام‌داروساز'!$A$2:$A$2442,A1579)&gt;0,"بله","خیر")</f>
        <v/>
      </c>
    </row>
    <row r="1580" ht="15" customHeight="1" s="14">
      <c r="A1580" s="24" t="n">
        <v>8904</v>
      </c>
      <c r="B1580" s="24" t="inlineStr">
        <is>
          <t>BISOPROLOL FUMARATE TABLET ORAL 10 mg</t>
        </is>
      </c>
      <c r="C1580" s="25">
        <f>IF(COUNTIF('کدهای پیام‌داروساز'!$A$2:$A$2442,A1580)&gt;0,"بله","خیر")</f>
        <v/>
      </c>
    </row>
    <row r="1581" ht="15" customHeight="1" s="14">
      <c r="A1581" s="24" t="n">
        <v>8927</v>
      </c>
      <c r="B1581" s="24" t="inlineStr">
        <is>
          <t>CALCIUM DOBESILATE TABLET ORAL 500 mg</t>
        </is>
      </c>
      <c r="C1581" s="25">
        <f>IF(COUNTIF('کدهای پیام‌داروساز'!$A$2:$A$2442,A1581)&gt;0,"بله","خیر")</f>
        <v/>
      </c>
    </row>
    <row r="1582" ht="15" customHeight="1" s="14">
      <c r="A1582" s="24" t="n">
        <v>8968</v>
      </c>
      <c r="B1582" s="24" t="inlineStr">
        <is>
          <t>ESCITALOPRAM (AS OXALATE) TABLET ORAL 10 mg</t>
        </is>
      </c>
      <c r="C1582" s="25">
        <f>IF(COUNTIF('کدهای پیام‌داروساز'!$A$2:$A$2442,A1582)&gt;0,"بله","خیر")</f>
        <v/>
      </c>
    </row>
    <row r="1583" ht="15" customHeight="1" s="14">
      <c r="A1583" s="24" t="n">
        <v>8979</v>
      </c>
      <c r="B1583" s="24" t="inlineStr">
        <is>
          <t>ACETAMINOPHEN / CAFFEINE / IBUPROFEN CAPSULE ORAL 325 mg/40 mg/200 mg</t>
        </is>
      </c>
      <c r="C1583" s="25">
        <f>IF(COUNTIF('کدهای پیام‌داروساز'!$A$2:$A$2442,A1583)&gt;0,"بله","خیر")</f>
        <v/>
      </c>
    </row>
    <row r="1584" ht="15" customHeight="1" s="14">
      <c r="A1584" s="24" t="n">
        <v>8988</v>
      </c>
      <c r="B1584" s="24" t="inlineStr">
        <is>
          <t>SODIUM CHLORIDE INJECTION, SOLUTION PARENTERAL 0.9 % 10 mL</t>
        </is>
      </c>
      <c r="C1584" s="25">
        <f>IF(COUNTIF('کدهای پیام‌داروساز'!$A$2:$A$2442,A1584)&gt;0,"بله","خیر")</f>
        <v/>
      </c>
    </row>
    <row r="1585" ht="15" customHeight="1" s="14">
      <c r="A1585" s="24" t="n">
        <v>8997</v>
      </c>
      <c r="B1585" s="24" t="inlineStr">
        <is>
          <t>DEFERASIROX TABLET, FOR SUSPENSION ORAL 500 mg</t>
        </is>
      </c>
      <c r="C1585" s="25">
        <f>IF(COUNTIF('کدهای پیام‌داروساز'!$A$2:$A$2442,A1585)&gt;0,"بله","خیر")</f>
        <v/>
      </c>
    </row>
    <row r="1586" ht="15" customHeight="1" s="14">
      <c r="A1586" s="24" t="n">
        <v>9037</v>
      </c>
      <c r="B1586" s="24" t="inlineStr">
        <is>
          <t>PEGASPARGASE INJECTION, POWDER, FOR SOLUTION PARENTERAL 3750 [iU]</t>
        </is>
      </c>
      <c r="C1586" s="25">
        <f>IF(COUNTIF('کدهای پیام‌داروساز'!$A$2:$A$2442,A1586)&gt;0,"بله","خیر")</f>
        <v/>
      </c>
    </row>
    <row r="1587" ht="15" customHeight="1" s="14">
      <c r="A1587" s="24" t="n">
        <v>9090</v>
      </c>
      <c r="B1587" s="24" t="inlineStr">
        <is>
          <t>DROSPIRENONE / ETHINYLESTRADIOL TABLET ORAL 3 mg/0.03 mg</t>
        </is>
      </c>
      <c r="C1587" s="25">
        <f>IF(COUNTIF('کدهای پیام‌داروساز'!$A$2:$A$2442,A1587)&gt;0,"بله","خیر")</f>
        <v/>
      </c>
    </row>
    <row r="1588" ht="15" customHeight="1" s="14">
      <c r="A1588" s="24" t="n">
        <v>9141</v>
      </c>
      <c r="B1588" s="24" t="inlineStr">
        <is>
          <t>ROPINIROLE (AS HYDROCHLORIDE) TABLET ORAL 0.5 mg</t>
        </is>
      </c>
      <c r="C1588" s="25">
        <f>IF(COUNTIF('کدهای پیام‌داروساز'!$A$2:$A$2442,A1588)&gt;0,"بله","خیر")</f>
        <v/>
      </c>
    </row>
    <row r="1589" ht="15" customHeight="1" s="14">
      <c r="A1589" s="24" t="n">
        <v>9161</v>
      </c>
      <c r="B1589" s="24" t="inlineStr">
        <is>
          <t>VALACYCLOVIR TABLET ORAL 500 mg</t>
        </is>
      </c>
      <c r="C1589" s="25">
        <f>IF(COUNTIF('کدهای پیام‌داروساز'!$A$2:$A$2442,A1589)&gt;0,"بله","خیر")</f>
        <v/>
      </c>
    </row>
    <row r="1590" ht="15" customHeight="1" s="14">
      <c r="A1590" s="24" t="n">
        <v>9203</v>
      </c>
      <c r="B1590" s="24" t="inlineStr">
        <is>
          <t>MEMANTINE HYDROCHLORIDE TABLET ORAL 5 mg</t>
        </is>
      </c>
      <c r="C1590" s="25">
        <f>IF(COUNTIF('کدهای پیام‌داروساز'!$A$2:$A$2442,A1590)&gt;0,"بله","خیر")</f>
        <v/>
      </c>
    </row>
    <row r="1591" ht="15" customHeight="1" s="14">
      <c r="A1591" s="24" t="n">
        <v>9238</v>
      </c>
      <c r="B1591" s="24" t="inlineStr">
        <is>
          <t>PRAMIPEXOLE (AS DIHYDROCHLORIDE) TABLET ORAL 0.088 mg</t>
        </is>
      </c>
      <c r="C1591" s="25">
        <f>IF(COUNTIF('کدهای پیام‌داروساز'!$A$2:$A$2442,A1591)&gt;0,"بله","خیر")</f>
        <v/>
      </c>
    </row>
    <row r="1592" ht="15" customHeight="1" s="14">
      <c r="A1592" s="24" t="n">
        <v>9245</v>
      </c>
      <c r="B1592" s="24" t="inlineStr">
        <is>
          <t>ACAMPROSATE TABLET, DELAYED RELEASE ORAL 300 mg</t>
        </is>
      </c>
      <c r="C1592" s="25">
        <f>IF(COUNTIF('کدهای پیام‌داروساز'!$A$2:$A$2442,A1592)&gt;0,"بله","خیر")</f>
        <v/>
      </c>
    </row>
    <row r="1593" ht="15" customHeight="1" s="14">
      <c r="A1593" s="24" t="n">
        <v>9248</v>
      </c>
      <c r="B1593" s="24" t="inlineStr">
        <is>
          <t>AZITHROMYCIN INJECTION, POWDER, FOR SOLUTION PARENTERAL 500 mg</t>
        </is>
      </c>
      <c r="C1593" s="25">
        <f>IF(COUNTIF('کدهای پیام‌داروساز'!$A$2:$A$2442,A1593)&gt;0,"بله","خیر")</f>
        <v/>
      </c>
    </row>
    <row r="1594" ht="15" customHeight="1" s="14">
      <c r="A1594" s="24" t="n">
        <v>9255</v>
      </c>
      <c r="B1594" s="24" t="inlineStr">
        <is>
          <t>AMLODIPINE (AS BESILATE) / ATORVASTATIN (AS CALCIUM) TABLET ORAL 5 mg/20 mg</t>
        </is>
      </c>
      <c r="C1594" s="25">
        <f>IF(COUNTIF('کدهای پیام‌داروساز'!$A$2:$A$2442,A1594)&gt;0,"بله","خیر")</f>
        <v/>
      </c>
    </row>
    <row r="1595" ht="15" customHeight="1" s="14">
      <c r="A1595" s="24" t="n">
        <v>9300</v>
      </c>
      <c r="B1595" s="24" t="inlineStr">
        <is>
          <t>CLARITHROMYCIN POWDER, FOR SUSPENSION ORAL 250 mg/5 mL 60 mL</t>
        </is>
      </c>
      <c r="C1595" s="25">
        <f>IF(COUNTIF('کدهای پیام‌داروساز'!$A$2:$A$2442,A1595)&gt;0,"بله","خیر")</f>
        <v/>
      </c>
    </row>
    <row r="1596" ht="15" customHeight="1" s="14">
      <c r="A1596" s="24" t="n">
        <v>9366</v>
      </c>
      <c r="B1596" s="24" t="inlineStr">
        <is>
          <t>EPROSARTAN (AS MESYLATE) TABLET ORAL 600 mg</t>
        </is>
      </c>
      <c r="C1596" s="25">
        <f>IF(COUNTIF('کدهای پیام‌داروساز'!$A$2:$A$2442,A1596)&gt;0,"بله","خیر")</f>
        <v/>
      </c>
    </row>
    <row r="1597" ht="15" customHeight="1" s="14">
      <c r="A1597" s="24" t="n">
        <v>9391</v>
      </c>
      <c r="B1597" s="24" t="inlineStr">
        <is>
          <t>CYCLOPHOSPHAMIDE INJECTION, POWDER, FOR SOLUTION PARENTERAL 1 g</t>
        </is>
      </c>
      <c r="C1597" s="25">
        <f>IF(COUNTIF('کدهای پیام‌داروساز'!$A$2:$A$2442,A1597)&gt;0,"بله","خیر")</f>
        <v/>
      </c>
    </row>
    <row r="1598" ht="15" customHeight="1" s="14">
      <c r="A1598" s="24" t="n">
        <v>9399</v>
      </c>
      <c r="B1598" s="24" t="inlineStr">
        <is>
          <t>IODIXANOL INJECTION PARENTERAL 320 mg/1mL 20 mL</t>
        </is>
      </c>
      <c r="C1598" s="25">
        <f>IF(COUNTIF('کدهای پیام‌داروساز'!$A$2:$A$2442,A1598)&gt;0,"بله","خیر")</f>
        <v/>
      </c>
    </row>
    <row r="1599" ht="15" customHeight="1" s="14">
      <c r="A1599" s="24" t="n">
        <v>9415</v>
      </c>
      <c r="B1599" s="24" t="inlineStr">
        <is>
          <t>LIDOCAINE / PRILOCAINE CREAM TOPICAL 2.5 %/2.5 % 30 g</t>
        </is>
      </c>
      <c r="C1599" s="25">
        <f>IF(COUNTIF('کدهای پیام‌داروساز'!$A$2:$A$2442,A1599)&gt;0,"بله","خیر")</f>
        <v/>
      </c>
    </row>
    <row r="1600" ht="15" customHeight="1" s="14">
      <c r="A1600" s="24" t="n">
        <v>9417</v>
      </c>
      <c r="B1600" s="24" t="inlineStr">
        <is>
          <t>PREGABALIN CAPSULE ORAL 100 mg</t>
        </is>
      </c>
      <c r="C1600" s="25">
        <f>IF(COUNTIF('کدهای پیام‌داروساز'!$A$2:$A$2442,A1600)&gt;0,"بله","خیر")</f>
        <v/>
      </c>
    </row>
    <row r="1601" ht="15" customHeight="1" s="14">
      <c r="A1601" s="24" t="n">
        <v>9431</v>
      </c>
      <c r="B1601" s="24" t="inlineStr">
        <is>
          <t>METHOTREXATE SODIUM INJECTION PARENTERAL 2.5 mg/1mL 2 mL</t>
        </is>
      </c>
      <c r="C1601" s="25">
        <f>IF(COUNTIF('کدهای پیام‌داروساز'!$A$2:$A$2442,A1601)&gt;0,"بله","خیر")</f>
        <v/>
      </c>
    </row>
    <row r="1602" ht="15" customHeight="1" s="14">
      <c r="A1602" s="24" t="n">
        <v>9437</v>
      </c>
      <c r="B1602" s="24" t="inlineStr">
        <is>
          <t>CARBAMAZEPINE SUSPENSION ORAL 100 mg/5mL 250 mL</t>
        </is>
      </c>
      <c r="C1602" s="25">
        <f>IF(COUNTIF('کدهای پیام‌داروساز'!$A$2:$A$2442,A1602)&gt;0,"بله","خیر")</f>
        <v/>
      </c>
    </row>
    <row r="1603" ht="15" customHeight="1" s="14">
      <c r="A1603" s="24" t="n">
        <v>9448</v>
      </c>
      <c r="B1603" s="24" t="inlineStr">
        <is>
          <t>MONTELUKAST (AS SODIUM) GRANULE ORAL 4 mg</t>
        </is>
      </c>
      <c r="C1603" s="25">
        <f>IF(COUNTIF('کدهای پیام‌داروساز'!$A$2:$A$2442,A1603)&gt;0,"بله","خیر")</f>
        <v/>
      </c>
    </row>
    <row r="1604" ht="15" customHeight="1" s="14">
      <c r="A1604" s="24" t="n">
        <v>9464</v>
      </c>
      <c r="B1604" s="24" t="inlineStr">
        <is>
          <t>CLINDAMYCIN (AS HYDROCHLORIDE) CAPSULE ORAL 300 mg</t>
        </is>
      </c>
      <c r="C1604" s="25">
        <f>IF(COUNTIF('کدهای پیام‌داروساز'!$A$2:$A$2442,A1604)&gt;0,"بله","خیر")</f>
        <v/>
      </c>
    </row>
    <row r="1605" ht="15" customHeight="1" s="14">
      <c r="A1605" s="24" t="n">
        <v>9486</v>
      </c>
      <c r="B1605" s="24" t="inlineStr">
        <is>
          <t>AZACITIDINE INJECTION, POWDER, LYOPHILIZED PARENTERAL 100 mg</t>
        </is>
      </c>
      <c r="C1605" s="25">
        <f>IF(COUNTIF('کدهای پیام‌داروساز'!$A$2:$A$2442,A1605)&gt;0,"بله","خیر")</f>
        <v/>
      </c>
    </row>
    <row r="1606" ht="15" customHeight="1" s="14">
      <c r="A1606" s="24" t="n">
        <v>9500</v>
      </c>
      <c r="B1606" s="24" t="inlineStr">
        <is>
          <t>ZONISAMIDE TABLET ORAL 100 mg</t>
        </is>
      </c>
      <c r="C1606" s="25">
        <f>IF(COUNTIF('کدهای پیام‌داروساز'!$A$2:$A$2442,A1606)&gt;0,"بله","خیر")</f>
        <v/>
      </c>
    </row>
    <row r="1607" ht="15" customHeight="1" s="14">
      <c r="A1607" s="24" t="n">
        <v>9532</v>
      </c>
      <c r="B1607" s="24" t="inlineStr">
        <is>
          <t>MEBEVERINE HYDROCHLORIDE CAPSULE, EXTENDED RELEASE ORAL 200 mg</t>
        </is>
      </c>
      <c r="C1607" s="25">
        <f>IF(COUNTIF('کدهای پیام‌داروساز'!$A$2:$A$2442,A1607)&gt;0,"بله","خیر")</f>
        <v/>
      </c>
    </row>
    <row r="1608" ht="15" customHeight="1" s="14">
      <c r="A1608" s="24" t="n">
        <v>9533</v>
      </c>
      <c r="B1608" s="24" t="inlineStr">
        <is>
          <t>LEVETIRACETAM TABLET ORAL 1000 mg</t>
        </is>
      </c>
      <c r="C1608" s="25">
        <f>IF(COUNTIF('کدهای پیام‌داروساز'!$A$2:$A$2442,A1608)&gt;0,"بله","خیر")</f>
        <v/>
      </c>
    </row>
    <row r="1609" ht="15" customHeight="1" s="14">
      <c r="A1609" s="24" t="n">
        <v>9534</v>
      </c>
      <c r="B1609" s="24" t="inlineStr">
        <is>
          <t>LEVETIRACETAM TABLET ORAL 750 mg</t>
        </is>
      </c>
      <c r="C1609" s="25">
        <f>IF(COUNTIF('کدهای پیام‌داروساز'!$A$2:$A$2442,A1609)&gt;0,"بله","خیر")</f>
        <v/>
      </c>
    </row>
    <row r="1610" ht="15" customHeight="1" s="14">
      <c r="A1610" s="24" t="n">
        <v>9563</v>
      </c>
      <c r="B1610" s="24" t="inlineStr">
        <is>
          <t>FACTOR VIII / VON WILLEBRAND FACTOR INJECTION, POWDER, LYOPHILIZED, FOR SOLUTION PARENTERAL 500 [iU]/1200 [iU]</t>
        </is>
      </c>
      <c r="C1610" s="25">
        <f>IF(COUNTIF('کدهای پیام‌داروساز'!$A$2:$A$2442,A1610)&gt;0,"بله","خیر")</f>
        <v/>
      </c>
    </row>
    <row r="1611" ht="15" customHeight="1" s="14">
      <c r="A1611" s="24" t="n">
        <v>9572</v>
      </c>
      <c r="B1611" s="24" t="inlineStr">
        <is>
          <t>CALCIUM FOLINATE INJECTION PARENTERAL 10 mg/1mL 20 mL</t>
        </is>
      </c>
      <c r="C1611" s="25">
        <f>IF(COUNTIF('کدهای پیام‌داروساز'!$A$2:$A$2442,A1611)&gt;0,"بله","خیر")</f>
        <v/>
      </c>
    </row>
    <row r="1612" ht="15" customHeight="1" s="14">
      <c r="A1612" s="24" t="n">
        <v>9575</v>
      </c>
      <c r="B1612" s="24" t="inlineStr">
        <is>
          <t>MEASLES / MUMPS / RUBELLA VACCINE INJECTION, POWDER, LYOPHILIZED, FOR SOLUTION PARENTERAL 2 {dose}</t>
        </is>
      </c>
      <c r="C1612" s="25">
        <f>IF(COUNTIF('کدهای پیام‌داروساز'!$A$2:$A$2442,A1612)&gt;0,"بله","خیر")</f>
        <v/>
      </c>
    </row>
    <row r="1613" ht="15" customHeight="1" s="14">
      <c r="A1613" s="24" t="n">
        <v>9576</v>
      </c>
      <c r="B1613" s="24" t="inlineStr">
        <is>
          <t>PROTHROMBIN COMPLEX (CONCENTRATED) INJECTION, POWDER, LYOPHILIZED, FOR SOLUTION PARENTERAL 500 [iU]</t>
        </is>
      </c>
      <c r="C1613" s="25">
        <f>IF(COUNTIF('کدهای پیام‌داروساز'!$A$2:$A$2442,A1613)&gt;0,"بله","خیر")</f>
        <v/>
      </c>
    </row>
    <row r="1614" ht="15" customHeight="1" s="14">
      <c r="A1614" s="24" t="n">
        <v>9586</v>
      </c>
      <c r="B1614" s="24" t="inlineStr">
        <is>
          <t>LEVOTHYROXINE SODIUM TABLET ORAL 75 ug</t>
        </is>
      </c>
      <c r="C1614" s="25">
        <f>IF(COUNTIF('کدهای پیام‌داروساز'!$A$2:$A$2442,A1614)&gt;0,"بله","خیر")</f>
        <v/>
      </c>
    </row>
    <row r="1615" ht="15" customHeight="1" s="14">
      <c r="A1615" s="24" t="n">
        <v>9604</v>
      </c>
      <c r="B1615" s="24" t="inlineStr">
        <is>
          <t>VORICONAZOLE TABLET ORAL 50 mg</t>
        </is>
      </c>
      <c r="C1615" s="25">
        <f>IF(COUNTIF('کدهای پیام‌داروساز'!$A$2:$A$2442,A1615)&gt;0,"بله","خیر")</f>
        <v/>
      </c>
    </row>
    <row r="1616" ht="15" customHeight="1" s="14">
      <c r="A1616" s="24" t="n">
        <v>9606</v>
      </c>
      <c r="B1616" s="24" t="inlineStr">
        <is>
          <t>DESMOPRESSIN (AS ACETATE) TABLET SUBLINGUAL 60 ug</t>
        </is>
      </c>
      <c r="C1616" s="25">
        <f>IF(COUNTIF('کدهای پیام‌داروساز'!$A$2:$A$2442,A1616)&gt;0,"بله","خیر")</f>
        <v/>
      </c>
    </row>
    <row r="1617" ht="15" customHeight="1" s="14">
      <c r="A1617" s="24" t="n">
        <v>9607</v>
      </c>
      <c r="B1617" s="24" t="inlineStr">
        <is>
          <t>DESMOPRESSIN (AS ACETATE) TABLET SUBLINGUAL 120 ug</t>
        </is>
      </c>
      <c r="C1617" s="25">
        <f>IF(COUNTIF('کدهای پیام‌داروساز'!$A$2:$A$2442,A1617)&gt;0,"بله","خیر")</f>
        <v/>
      </c>
    </row>
    <row r="1618" ht="15" customHeight="1" s="14">
      <c r="A1618" s="24" t="n">
        <v>9626</v>
      </c>
      <c r="B1618" s="24" t="inlineStr">
        <is>
          <t>EPLERENONE TABLET ORAL 25 mg</t>
        </is>
      </c>
      <c r="C1618" s="25">
        <f>IF(COUNTIF('کدهای پیام‌داروساز'!$A$2:$A$2442,A1618)&gt;0,"بله","خیر")</f>
        <v/>
      </c>
    </row>
    <row r="1619" ht="15" customHeight="1" s="14">
      <c r="A1619" s="24" t="n">
        <v>9637</v>
      </c>
      <c r="B1619" s="24" t="inlineStr">
        <is>
          <t>VALSARTAN / HYDROCHLOROTHIAZIDE TABLET ORAL 80 mg/12.5 mg</t>
        </is>
      </c>
      <c r="C1619" s="25">
        <f>IF(COUNTIF('کدهای پیام‌داروساز'!$A$2:$A$2442,A1619)&gt;0,"بله","خیر")</f>
        <v/>
      </c>
    </row>
    <row r="1620" ht="15" customHeight="1" s="14">
      <c r="A1620" s="24" t="n">
        <v>9638</v>
      </c>
      <c r="B1620" s="24" t="inlineStr">
        <is>
          <t>VALSARTAN / HYDROCHLOROTHIAZIDE TABLET ORAL 160 mg/25 mg</t>
        </is>
      </c>
      <c r="C1620" s="25">
        <f>IF(COUNTIF('کدهای پیام‌داروساز'!$A$2:$A$2442,A1620)&gt;0,"بله","خیر")</f>
        <v/>
      </c>
    </row>
    <row r="1621" ht="15" customHeight="1" s="14">
      <c r="A1621" s="24" t="n">
        <v>9640</v>
      </c>
      <c r="B1621" s="24" t="inlineStr">
        <is>
          <t>LEVOCETIRIZINE DIHYDROCHLORIDE TABLET ORAL 5 mg</t>
        </is>
      </c>
      <c r="C1621" s="25">
        <f>IF(COUNTIF('کدهای پیام‌داروساز'!$A$2:$A$2442,A1621)&gt;0,"بله","خیر")</f>
        <v/>
      </c>
    </row>
    <row r="1622" ht="15" customHeight="1" s="14">
      <c r="A1622" s="24" t="n">
        <v>9642</v>
      </c>
      <c r="B1622" s="24" t="inlineStr">
        <is>
          <t>VALSARTAN / HYDROCHLOROTHIAZIDE TABLET ORAL 160 mg/12.5 mg</t>
        </is>
      </c>
      <c r="C1622" s="25">
        <f>IF(COUNTIF('کدهای پیام‌داروساز'!$A$2:$A$2442,A1622)&gt;0,"بله","خیر")</f>
        <v/>
      </c>
    </row>
    <row r="1623" ht="15" customHeight="1" s="14">
      <c r="A1623" s="24" t="n">
        <v>9644</v>
      </c>
      <c r="B1623" s="24" t="inlineStr">
        <is>
          <t>EPLERENONE TABLET ORAL 50 mg</t>
        </is>
      </c>
      <c r="C1623" s="25">
        <f>IF(COUNTIF('کدهای پیام‌داروساز'!$A$2:$A$2442,A1623)&gt;0,"بله","خیر")</f>
        <v/>
      </c>
    </row>
    <row r="1624" ht="15" customHeight="1" s="14">
      <c r="A1624" s="24" t="n">
        <v>9646</v>
      </c>
      <c r="B1624" s="24" t="inlineStr">
        <is>
          <t>RANITIDINE TABLET ORAL 300 mg</t>
        </is>
      </c>
      <c r="C1624" s="25">
        <f>IF(COUNTIF('کدهای پیام‌داروساز'!$A$2:$A$2442,A1624)&gt;0,"بله","خیر")</f>
        <v/>
      </c>
    </row>
    <row r="1625" ht="15" customHeight="1" s="14">
      <c r="A1625" s="24" t="n">
        <v>9709</v>
      </c>
      <c r="B1625" s="24" t="inlineStr">
        <is>
          <t>MISOPROSTOL TABLET ORAL 100 ug</t>
        </is>
      </c>
      <c r="C1625" s="25">
        <f>IF(COUNTIF('کدهای پیام‌داروساز'!$A$2:$A$2442,A1625)&gt;0,"بله","خیر")</f>
        <v/>
      </c>
    </row>
    <row r="1626" ht="15" customHeight="1" s="14">
      <c r="A1626" s="24" t="n">
        <v>9747</v>
      </c>
      <c r="B1626" s="24" t="inlineStr">
        <is>
          <t>TEICOPLANIN INJECTION, POWDER, FOR SOLUTION PARENTERAL 200 mg</t>
        </is>
      </c>
      <c r="C1626" s="25">
        <f>IF(COUNTIF('کدهای پیام‌داروساز'!$A$2:$A$2442,A1626)&gt;0,"بله","خیر")</f>
        <v/>
      </c>
    </row>
    <row r="1627" ht="15" customHeight="1" s="14">
      <c r="A1627" s="24" t="n">
        <v>9753</v>
      </c>
      <c r="B1627" s="24" t="inlineStr">
        <is>
          <t>SUNITINIB (AS MALATE) CAPSULE ORAL 25 mg</t>
        </is>
      </c>
      <c r="C1627" s="25">
        <f>IF(COUNTIF('کدهای پیام‌داروساز'!$A$2:$A$2442,A1627)&gt;0,"بله","خیر")</f>
        <v/>
      </c>
    </row>
    <row r="1628" ht="15" customHeight="1" s="14">
      <c r="A1628" s="24" t="n">
        <v>9801</v>
      </c>
      <c r="B1628" s="24" t="inlineStr">
        <is>
          <t>VALSARTAN TABLET ORAL 40 mg</t>
        </is>
      </c>
      <c r="C1628" s="25">
        <f>IF(COUNTIF('کدهای پیام‌داروساز'!$A$2:$A$2442,A1628)&gt;0,"بله","خیر")</f>
        <v/>
      </c>
    </row>
    <row r="1629" ht="15" customHeight="1" s="14">
      <c r="A1629" s="24" t="n">
        <v>9805</v>
      </c>
      <c r="B1629" s="24" t="inlineStr">
        <is>
          <t>BETAINE POWDER, FOR SOLUTION ORAL 1 g/1g 100 g</t>
        </is>
      </c>
      <c r="C1629" s="25">
        <f>IF(COUNTIF('کدهای پیام‌داروساز'!$A$2:$A$2442,A1629)&gt;0,"بله","خیر")</f>
        <v/>
      </c>
    </row>
    <row r="1630" ht="15" customHeight="1" s="14">
      <c r="A1630" s="24" t="n">
        <v>9887</v>
      </c>
      <c r="B1630" s="24" t="inlineStr">
        <is>
          <t>APRACLONIDINE (AS HYDROCHLORIDE) SOLUTION, DROPS OPHTHALMIC 5 mg/1mL 5 mL</t>
        </is>
      </c>
      <c r="C1630" s="25">
        <f>IF(COUNTIF('کدهای پیام‌داروساز'!$A$2:$A$2442,A1630)&gt;0,"بله","خیر")</f>
        <v/>
      </c>
    </row>
    <row r="1631" ht="15" customHeight="1" s="14">
      <c r="A1631" s="24" t="n">
        <v>9897</v>
      </c>
      <c r="B1631" s="24" t="inlineStr">
        <is>
          <t>SALBUTAMOL (AS SULFATE) SOLUTION RESPIRATORY 2.5 mg/2.5mL</t>
        </is>
      </c>
      <c r="C1631" s="25">
        <f>IF(COUNTIF('کدهای پیام‌داروساز'!$A$2:$A$2442,A1631)&gt;0,"بله","خیر")</f>
        <v/>
      </c>
    </row>
    <row r="1632" ht="15" customHeight="1" s="14">
      <c r="A1632" s="24" t="n">
        <v>9916</v>
      </c>
      <c r="B1632" s="24" t="inlineStr">
        <is>
          <t>MESALAZINE TABLET, DELAYED RELEASE ORAL 800 mg</t>
        </is>
      </c>
      <c r="C1632" s="25">
        <f>IF(COUNTIF('کدهای پیام‌داروساز'!$A$2:$A$2442,A1632)&gt;0,"بله","خیر")</f>
        <v/>
      </c>
    </row>
    <row r="1633" ht="15" customHeight="1" s="14">
      <c r="A1633" s="24" t="n">
        <v>9939</v>
      </c>
      <c r="B1633" s="24" t="inlineStr">
        <is>
          <t>IOPAMIDOL INJECTION PARENTERAL 300 mg/1mL 50 mL</t>
        </is>
      </c>
      <c r="C1633" s="25">
        <f>IF(COUNTIF('کدهای پیام‌داروساز'!$A$2:$A$2442,A1633)&gt;0,"بله","خیر")</f>
        <v/>
      </c>
    </row>
    <row r="1634" ht="15" customHeight="1" s="14">
      <c r="A1634" s="24" t="n">
        <v>9940</v>
      </c>
      <c r="B1634" s="24" t="inlineStr">
        <is>
          <t>IOPAMIDOL INJECTION PARENTERAL 370 mg/1mL 50 mL</t>
        </is>
      </c>
      <c r="C1634" s="25">
        <f>IF(COUNTIF('کدهای پیام‌داروساز'!$A$2:$A$2442,A1634)&gt;0,"بله","خیر")</f>
        <v/>
      </c>
    </row>
    <row r="1635" ht="15" customHeight="1" s="14">
      <c r="A1635" s="24" t="n">
        <v>9941</v>
      </c>
      <c r="B1635" s="24" t="inlineStr">
        <is>
          <t>IOPAMIDOL INJECTION PARENTERAL 300 mg/1mL 100 mL</t>
        </is>
      </c>
      <c r="C1635" s="25">
        <f>IF(COUNTIF('کدهای پیام‌داروساز'!$A$2:$A$2442,A1635)&gt;0,"بله","خیر")</f>
        <v/>
      </c>
    </row>
    <row r="1636" ht="15" customHeight="1" s="14">
      <c r="A1636" s="24" t="n">
        <v>9942</v>
      </c>
      <c r="B1636" s="24" t="inlineStr">
        <is>
          <t>IOPAMIDOL INJECTION PARENTERAL 370 mg/1mL 100 mL</t>
        </is>
      </c>
      <c r="C1636" s="25">
        <f>IF(COUNTIF('کدهای پیام‌داروساز'!$A$2:$A$2442,A1636)&gt;0,"بله","خیر")</f>
        <v/>
      </c>
    </row>
    <row r="1637" ht="15" customHeight="1" s="14">
      <c r="A1637" s="24" t="n">
        <v>9946</v>
      </c>
      <c r="B1637" s="24" t="inlineStr">
        <is>
          <t>EFAVIRENZ TABLET ORAL 600 mg</t>
        </is>
      </c>
      <c r="C1637" s="25">
        <f>IF(COUNTIF('کدهای پیام‌داروساز'!$A$2:$A$2442,A1637)&gt;0,"بله","خیر")</f>
        <v/>
      </c>
    </row>
    <row r="1638" ht="15" customHeight="1" s="14">
      <c r="A1638" s="24" t="n">
        <v>9947</v>
      </c>
      <c r="B1638" s="24" t="inlineStr">
        <is>
          <t>EFAVIRENZ CAPSULE ORAL 50 mg</t>
        </is>
      </c>
      <c r="C1638" s="25">
        <f>IF(COUNTIF('کدهای پیام‌داروساز'!$A$2:$A$2442,A1638)&gt;0,"بله","خیر")</f>
        <v/>
      </c>
    </row>
    <row r="1639" ht="15" customHeight="1" s="14">
      <c r="A1639" s="24" t="n">
        <v>9949</v>
      </c>
      <c r="B1639" s="24" t="inlineStr">
        <is>
          <t>EFAVIRENZ CAPSULE ORAL 200 mg</t>
        </is>
      </c>
      <c r="C1639" s="25">
        <f>IF(COUNTIF('کدهای پیام‌داروساز'!$A$2:$A$2442,A1639)&gt;0,"بله","خیر")</f>
        <v/>
      </c>
    </row>
    <row r="1640" ht="15" customHeight="1" s="14">
      <c r="A1640" s="24" t="n">
        <v>9988</v>
      </c>
      <c r="B1640" s="24" t="inlineStr">
        <is>
          <t>SUNITINIB (AS MALATE) CAPSULE ORAL 12.5 mg</t>
        </is>
      </c>
      <c r="C1640" s="25">
        <f>IF(COUNTIF('کدهای پیام‌داروساز'!$A$2:$A$2442,A1640)&gt;0,"بله","خیر")</f>
        <v/>
      </c>
    </row>
    <row r="1641" ht="15" customHeight="1" s="14">
      <c r="A1641" s="24" t="n">
        <v>10006</v>
      </c>
      <c r="B1641" s="24" t="inlineStr">
        <is>
          <t>METHACHOLINE CHLORIDE INHALANT RESPIRATORY 5 mg/1mL 20 mL</t>
        </is>
      </c>
      <c r="C1641" s="25">
        <f>IF(COUNTIF('کدهای پیام‌داروساز'!$A$2:$A$2442,A1641)&gt;0,"بله","خیر")</f>
        <v/>
      </c>
    </row>
    <row r="1642" ht="15" customHeight="1" s="14">
      <c r="A1642" s="24" t="n">
        <v>10014</v>
      </c>
      <c r="B1642" s="24" t="inlineStr">
        <is>
          <t>ISOSORBIDE MONONITRATE CAPSULE, EXTENDED RELEASE ORAL 50 mg</t>
        </is>
      </c>
      <c r="C1642" s="25">
        <f>IF(COUNTIF('کدهای پیام‌داروساز'!$A$2:$A$2442,A1642)&gt;0,"بله","خیر")</f>
        <v/>
      </c>
    </row>
    <row r="1643" ht="15" customHeight="1" s="14">
      <c r="A1643" s="24" t="n">
        <v>10016</v>
      </c>
      <c r="B1643" s="24" t="inlineStr">
        <is>
          <t>EFAVIRENZ TABLET ORAL 200 mg</t>
        </is>
      </c>
      <c r="C1643" s="25">
        <f>IF(COUNTIF('کدهای پیام‌داروساز'!$A$2:$A$2442,A1643)&gt;0,"بله","خیر")</f>
        <v/>
      </c>
    </row>
    <row r="1644" ht="15" customHeight="1" s="14">
      <c r="A1644" s="24" t="n">
        <v>10018</v>
      </c>
      <c r="B1644" s="24" t="inlineStr">
        <is>
          <t>METHOTREXATE SODIUM INJECTION, POWDER, LYOPHILIZED, FOR SOLUTION PARENTERAL 5 mg</t>
        </is>
      </c>
      <c r="C1644" s="25">
        <f>IF(COUNTIF('کدهای پیام‌داروساز'!$A$2:$A$2442,A1644)&gt;0,"بله","خیر")</f>
        <v/>
      </c>
    </row>
    <row r="1645" ht="15" customHeight="1" s="14">
      <c r="A1645" s="24" t="n">
        <v>10019</v>
      </c>
      <c r="B1645" s="24" t="inlineStr">
        <is>
          <t>PRAMIPEXOLE (AS DIHYDROCHLORIDE) TABLET ORAL 0.35 mg</t>
        </is>
      </c>
      <c r="C1645" s="25">
        <f>IF(COUNTIF('کدهای پیام‌داروساز'!$A$2:$A$2442,A1645)&gt;0,"بله","خیر")</f>
        <v/>
      </c>
    </row>
    <row r="1646" ht="15" customHeight="1" s="14">
      <c r="A1646" s="24" t="n">
        <v>10029</v>
      </c>
      <c r="B1646" s="24" t="inlineStr">
        <is>
          <t>PANTOPRAZOLE (AS SODIUM SESQUIHYDRATE) CAPSULE, DELAYED RELEASE ORAL 40 mg</t>
        </is>
      </c>
      <c r="C1646" s="25">
        <f>IF(COUNTIF('کدهای پیام‌داروساز'!$A$2:$A$2442,A1646)&gt;0,"بله","خیر")</f>
        <v/>
      </c>
    </row>
    <row r="1647" ht="15" customHeight="1" s="14">
      <c r="A1647" s="24" t="n">
        <v>10031</v>
      </c>
      <c r="B1647" s="24" t="inlineStr">
        <is>
          <t>PANTOPRAZOLE (AS SODIUM SESQUIHYDRATE) CAPSULE, DELAYED RELEASE ORAL 20 mg</t>
        </is>
      </c>
      <c r="C1647" s="25">
        <f>IF(COUNTIF('کدهای پیام‌داروساز'!$A$2:$A$2442,A1647)&gt;0,"بله","خیر")</f>
        <v/>
      </c>
    </row>
    <row r="1648" ht="15" customHeight="1" s="14">
      <c r="A1648" s="24" t="n">
        <v>10046</v>
      </c>
      <c r="B1648" s="24" t="inlineStr">
        <is>
          <t>ADAPALENE CREAM TOPICAL 0.1 % 30 g</t>
        </is>
      </c>
      <c r="C1648" s="25">
        <f>IF(COUNTIF('کدهای پیام‌داروساز'!$A$2:$A$2442,A1648)&gt;0,"بله","خیر")</f>
        <v/>
      </c>
    </row>
    <row r="1649" ht="15" customHeight="1" s="14">
      <c r="A1649" s="24" t="n">
        <v>10058</v>
      </c>
      <c r="B1649" s="24" t="inlineStr">
        <is>
          <t>LEFLUNOMIDE TABLET ORAL 10 mg</t>
        </is>
      </c>
      <c r="C1649" s="25">
        <f>IF(COUNTIF('کدهای پیام‌داروساز'!$A$2:$A$2442,A1649)&gt;0,"بله","خیر")</f>
        <v/>
      </c>
    </row>
    <row r="1650" ht="15" customHeight="1" s="14">
      <c r="A1650" s="24" t="n">
        <v>10062</v>
      </c>
      <c r="B1650" s="24" t="inlineStr">
        <is>
          <t>LEVODOPA / BENSERAZIDE TABLET ORAL 50 mg/12.5 mg</t>
        </is>
      </c>
      <c r="C1650" s="25">
        <f>IF(COUNTIF('کدهای پیام‌داروساز'!$A$2:$A$2442,A1650)&gt;0,"بله","خیر")</f>
        <v/>
      </c>
    </row>
    <row r="1651" ht="15" customHeight="1" s="14">
      <c r="A1651" s="24" t="n">
        <v>10064</v>
      </c>
      <c r="B1651" s="24" t="inlineStr">
        <is>
          <t>VALACYCLOVIR TABLET ORAL 1000 mg</t>
        </is>
      </c>
      <c r="C1651" s="25">
        <f>IF(COUNTIF('کدهای پیام‌داروساز'!$A$2:$A$2442,A1651)&gt;0,"بله","خیر")</f>
        <v/>
      </c>
    </row>
    <row r="1652" ht="15" customHeight="1" s="14">
      <c r="A1652" s="24" t="n">
        <v>10083</v>
      </c>
      <c r="B1652" s="24" t="inlineStr">
        <is>
          <t>DEXTROSE INJECTION, SOLUTION INTRAVENOUS 10 % 250 mL</t>
        </is>
      </c>
      <c r="C1652" s="25">
        <f>IF(COUNTIF('کدهای پیام‌داروساز'!$A$2:$A$2442,A1652)&gt;0,"بله","خیر")</f>
        <v/>
      </c>
    </row>
    <row r="1653" ht="15" customHeight="1" s="14">
      <c r="A1653" s="24" t="n">
        <v>10097</v>
      </c>
      <c r="B1653" s="24" t="inlineStr">
        <is>
          <t>WARFARIN SODIUM TABLET ORAL 3 mg</t>
        </is>
      </c>
      <c r="C1653" s="25">
        <f>IF(COUNTIF('کدهای پیام‌داروساز'!$A$2:$A$2442,A1653)&gt;0,"بله","خیر")</f>
        <v/>
      </c>
    </row>
    <row r="1654" ht="15" customHeight="1" s="14">
      <c r="A1654" s="24" t="n">
        <v>10141</v>
      </c>
      <c r="B1654" s="24" t="inlineStr">
        <is>
          <t>PHENYLEPHRINE HYDROCHLORIDE SPRAY NASAL 0.5 % 20 mL</t>
        </is>
      </c>
      <c r="C1654" s="25">
        <f>IF(COUNTIF('کدهای پیام‌داروساز'!$A$2:$A$2442,A1654)&gt;0,"بله","خیر")</f>
        <v/>
      </c>
    </row>
    <row r="1655" ht="15" customHeight="1" s="14">
      <c r="A1655" s="24" t="n">
        <v>10188</v>
      </c>
      <c r="B1655" s="24" t="inlineStr">
        <is>
          <t>RANITIDINE SOLUTION ORAL 75 mg/5mL 240 mL</t>
        </is>
      </c>
      <c r="C1655" s="25">
        <f>IF(COUNTIF('کدهای پیام‌داروساز'!$A$2:$A$2442,A1655)&gt;0,"بله","خیر")</f>
        <v/>
      </c>
    </row>
    <row r="1656" ht="15" customHeight="1" s="14">
      <c r="A1656" s="24" t="n">
        <v>10214</v>
      </c>
      <c r="B1656" s="24" t="inlineStr">
        <is>
          <t>SUFENTANIL (AS CITRATE) INJECTION PARENTERAL 5 ug/1mL 2 mL</t>
        </is>
      </c>
      <c r="C1656" s="25">
        <f>IF(COUNTIF('کدهای پیام‌داروساز'!$A$2:$A$2442,A1656)&gt;0,"بله","خیر")</f>
        <v/>
      </c>
    </row>
    <row r="1657" ht="15" customHeight="1" s="14">
      <c r="A1657" s="24" t="n">
        <v>10216</v>
      </c>
      <c r="B1657" s="24" t="inlineStr">
        <is>
          <t>SUFENTANIL (AS CITRATE) INJECTION PARENTERAL 5 ug/1mL 5 mL</t>
        </is>
      </c>
      <c r="C1657" s="25">
        <f>IF(COUNTIF('کدهای پیام‌داروساز'!$A$2:$A$2442,A1657)&gt;0,"بله","خیر")</f>
        <v/>
      </c>
    </row>
    <row r="1658" ht="15" customHeight="1" s="14">
      <c r="A1658" s="24" t="n">
        <v>10284</v>
      </c>
      <c r="B1658" s="24" t="inlineStr">
        <is>
          <t>CLOTRIMAZOLE / BETAMETHASONE (AS DIPROPIONATE) LOTION TOPICAL 1 %/0.05 % 30 mL</t>
        </is>
      </c>
      <c r="C1658" s="25">
        <f>IF(COUNTIF('کدهای پیام‌داروساز'!$A$2:$A$2442,A1658)&gt;0,"بله","خیر")</f>
        <v/>
      </c>
    </row>
    <row r="1659" ht="15" customHeight="1" s="14">
      <c r="A1659" s="24" t="n">
        <v>10319</v>
      </c>
      <c r="B1659" s="24" t="inlineStr">
        <is>
          <t>HUMAN PAPILLOMAVIRUS VACCINE (QUADRIVALENT) INJECTION PARENTERAL 0.5 mL</t>
        </is>
      </c>
      <c r="C1659" s="25">
        <f>IF(COUNTIF('کدهای پیام‌داروساز'!$A$2:$A$2442,A1659)&gt;0,"بله","خیر")</f>
        <v/>
      </c>
    </row>
    <row r="1660" ht="15" customHeight="1" s="14">
      <c r="A1660" s="24" t="n">
        <v>10392</v>
      </c>
      <c r="B1660" s="24" t="inlineStr">
        <is>
          <t>ARIPIPRAZOLE TABLET ORAL 5 mg</t>
        </is>
      </c>
      <c r="C1660" s="25">
        <f>IF(COUNTIF('کدهای پیام‌داروساز'!$A$2:$A$2442,A1660)&gt;0,"بله","خیر")</f>
        <v/>
      </c>
    </row>
    <row r="1661" ht="15" customHeight="1" s="14">
      <c r="A1661" s="24" t="n">
        <v>10427</v>
      </c>
      <c r="B1661" s="24" t="inlineStr">
        <is>
          <t>VITAMIN B1 / VITAMIN B6 / VITAMIN B12 INJECTION PARENTERAL 100 mg/100 mg/1000 ug/3mL</t>
        </is>
      </c>
      <c r="C1661" s="25">
        <f>IF(COUNTIF('کدهای پیام‌داروساز'!$A$2:$A$2442,A1661)&gt;0,"بله","خیر")</f>
        <v/>
      </c>
    </row>
    <row r="1662" ht="15" customHeight="1" s="14">
      <c r="A1662" s="24" t="n">
        <v>10484</v>
      </c>
      <c r="B1662" s="24" t="inlineStr">
        <is>
          <t>EPINEPHRINE INJECTION PARENTERAL 0.1 mg/1mL 10 mL</t>
        </is>
      </c>
      <c r="C1662" s="25">
        <f>IF(COUNTIF('کدهای پیام‌داروساز'!$A$2:$A$2442,A1662)&gt;0,"بله","خیر")</f>
        <v/>
      </c>
    </row>
    <row r="1663" ht="15" customHeight="1" s="14">
      <c r="A1663" s="24" t="n">
        <v>10488</v>
      </c>
      <c r="B1663" s="24" t="inlineStr">
        <is>
          <t>TEICOPLANIN INJECTION, POWDER, FOR SOLUTION PARENTERAL 400 mg</t>
        </is>
      </c>
      <c r="C1663" s="25">
        <f>IF(COUNTIF('کدهای پیام‌داروساز'!$A$2:$A$2442,A1663)&gt;0,"بله","خیر")</f>
        <v/>
      </c>
    </row>
    <row r="1664" ht="15" customHeight="1" s="14">
      <c r="A1664" s="24" t="n">
        <v>10541</v>
      </c>
      <c r="B1664" s="24" t="inlineStr">
        <is>
          <t>SIMETHICONE (DIMETHICONE ACTIVATED) CAPSULE, LIQUID FILLED ORAL 125 mg</t>
        </is>
      </c>
      <c r="C1664" s="25">
        <f>IF(COUNTIF('کدهای پیام‌داروساز'!$A$2:$A$2442,A1664)&gt;0,"بله","خیر")</f>
        <v/>
      </c>
    </row>
    <row r="1665" ht="15" customHeight="1" s="14">
      <c r="A1665" s="24" t="n">
        <v>10635</v>
      </c>
      <c r="B1665" s="24" t="inlineStr">
        <is>
          <t>OXYCODONE HYDROCHLORIDE TABLET ORAL 5 mg</t>
        </is>
      </c>
      <c r="C1665" s="25">
        <f>IF(COUNTIF('کدهای پیام‌داروساز'!$A$2:$A$2442,A1665)&gt;0,"بله","خیر")</f>
        <v/>
      </c>
    </row>
    <row r="1666" ht="15" customHeight="1" s="14">
      <c r="A1666" s="24" t="n">
        <v>10665</v>
      </c>
      <c r="B1666" s="24" t="inlineStr">
        <is>
          <t>AMLODIPINE (AS BESILATE) TABLET ORAL 2.5 mg</t>
        </is>
      </c>
      <c r="C1666" s="25">
        <f>IF(COUNTIF('کدهای پیام‌داروساز'!$A$2:$A$2442,A1666)&gt;0,"بله","خیر")</f>
        <v/>
      </c>
    </row>
    <row r="1667" ht="15" customHeight="1" s="14">
      <c r="A1667" s="24" t="n">
        <v>10666</v>
      </c>
      <c r="B1667" s="24" t="inlineStr">
        <is>
          <t>ENALAPRIL MALEATE TABLET ORAL 10 mg</t>
        </is>
      </c>
      <c r="C1667" s="25">
        <f>IF(COUNTIF('کدهای پیام‌داروساز'!$A$2:$A$2442,A1667)&gt;0,"بله","خیر")</f>
        <v/>
      </c>
    </row>
    <row r="1668" ht="15" customHeight="1" s="14">
      <c r="A1668" s="24" t="n">
        <v>10674</v>
      </c>
      <c r="B1668" s="24" t="inlineStr">
        <is>
          <t>VARENICLINE TARTRATE TABLET ORAL 1 mg</t>
        </is>
      </c>
      <c r="C1668" s="25">
        <f>IF(COUNTIF('کدهای پیام‌داروساز'!$A$2:$A$2442,A1668)&gt;0,"بله","خیر")</f>
        <v/>
      </c>
    </row>
    <row r="1669" ht="15" customHeight="1" s="14">
      <c r="A1669" s="24" t="n">
        <v>10675</v>
      </c>
      <c r="B1669" s="24" t="inlineStr">
        <is>
          <t>VARENICLINE TARTRATE TABLET ORAL 0.5 mg</t>
        </is>
      </c>
      <c r="C1669" s="25">
        <f>IF(COUNTIF('کدهای پیام‌داروساز'!$A$2:$A$2442,A1669)&gt;0,"بله","خیر")</f>
        <v/>
      </c>
    </row>
    <row r="1670" ht="15" customHeight="1" s="14">
      <c r="A1670" s="24" t="n">
        <v>10683</v>
      </c>
      <c r="B1670" s="24" t="inlineStr">
        <is>
          <t>GLATIRAMER ACETATE INJECTION, SOLUTION PARENTERAL 20 mg/1mL</t>
        </is>
      </c>
      <c r="C1670" s="25">
        <f>IF(COUNTIF('کدهای پیام‌داروساز'!$A$2:$A$2442,A1670)&gt;0,"بله","خیر")</f>
        <v/>
      </c>
    </row>
    <row r="1671" ht="15" customHeight="1" s="14">
      <c r="A1671" s="24" t="n">
        <v>10691</v>
      </c>
      <c r="B1671" s="24" t="inlineStr">
        <is>
          <t>AMLODIPINE (AS BESILATE) TABLET ORAL 10 mg</t>
        </is>
      </c>
      <c r="C1671" s="25">
        <f>IF(COUNTIF('کدهای پیام‌داروساز'!$A$2:$A$2442,A1671)&gt;0,"بله","خیر")</f>
        <v/>
      </c>
    </row>
    <row r="1672" ht="15" customHeight="1" s="14">
      <c r="A1672" s="24" t="n">
        <v>10726</v>
      </c>
      <c r="B1672" s="24" t="inlineStr">
        <is>
          <t>LIDOCAINE SPRAY TOPICAL 10 mg/1{dose} 65 mL</t>
        </is>
      </c>
      <c r="C1672" s="25">
        <f>IF(COUNTIF('کدهای پیام‌داروساز'!$A$2:$A$2442,A1672)&gt;0,"بله","خیر")</f>
        <v/>
      </c>
    </row>
    <row r="1673" ht="15" customHeight="1" s="14">
      <c r="A1673" s="24" t="n">
        <v>10730</v>
      </c>
      <c r="B1673" s="24" t="inlineStr">
        <is>
          <t>COLISTIMETHATE SODIUM INJECTION, POWDER, FOR SOLUTION PARENTERAL 1000000 [iU]</t>
        </is>
      </c>
      <c r="C1673" s="25">
        <f>IF(COUNTIF('کدهای پیام‌داروساز'!$A$2:$A$2442,A1673)&gt;0,"بله","خیر")</f>
        <v/>
      </c>
    </row>
    <row r="1674" ht="15" customHeight="1" s="14">
      <c r="A1674" s="24" t="n">
        <v>10757</v>
      </c>
      <c r="B1674" s="24" t="inlineStr">
        <is>
          <t>CIPROFLOXACIN (AS LACTATE) INJECTION, SOLUTION INTRAVENOUS 2 mg/1mL 100 mL</t>
        </is>
      </c>
      <c r="C1674" s="25">
        <f>IF(COUNTIF('کدهای پیام‌داروساز'!$A$2:$A$2442,A1674)&gt;0,"بله","خیر")</f>
        <v/>
      </c>
    </row>
    <row r="1675" ht="15" customHeight="1" s="14">
      <c r="A1675" s="24" t="n">
        <v>10764</v>
      </c>
      <c r="B1675" s="24" t="inlineStr">
        <is>
          <t>WATER INJECTION PARENTERAL 1000 mL</t>
        </is>
      </c>
      <c r="C1675" s="25">
        <f>IF(COUNTIF('کدهای پیام‌داروساز'!$A$2:$A$2442,A1675)&gt;0,"بله","خیر")</f>
        <v/>
      </c>
    </row>
    <row r="1676" ht="15" customHeight="1" s="14">
      <c r="A1676" s="24" t="n">
        <v>10765</v>
      </c>
      <c r="B1676" s="24" t="inlineStr">
        <is>
          <t>WATER INJECTION PARENTERAL 500 mL</t>
        </is>
      </c>
      <c r="C1676" s="25">
        <f>IF(COUNTIF('کدهای پیام‌داروساز'!$A$2:$A$2442,A1676)&gt;0,"بله","خیر")</f>
        <v/>
      </c>
    </row>
    <row r="1677" ht="15" customHeight="1" s="14">
      <c r="A1677" s="24" t="n">
        <v>10783</v>
      </c>
      <c r="B1677" s="24" t="inlineStr">
        <is>
          <t>SUMATRIPTAN (AS SUCCINATE) INJECTION PARENTERAL 12 mg/1mL 0.5 mL</t>
        </is>
      </c>
      <c r="C1677" s="25">
        <f>IF(COUNTIF('کدهای پیام‌داروساز'!$A$2:$A$2442,A1677)&gt;0,"بله","خیر")</f>
        <v/>
      </c>
    </row>
    <row r="1678" ht="15" customHeight="1" s="14">
      <c r="A1678" s="24" t="n">
        <v>10786</v>
      </c>
      <c r="B1678" s="24" t="inlineStr">
        <is>
          <t>LUTROPIN ALFA INJECTION, POWDER, FOR SOLUTION PARENTERAL 75 [iU]</t>
        </is>
      </c>
      <c r="C1678" s="25">
        <f>IF(COUNTIF('کدهای پیام‌داروساز'!$A$2:$A$2442,A1678)&gt;0,"بله","خیر")</f>
        <v/>
      </c>
    </row>
    <row r="1679" ht="15" customHeight="1" s="14">
      <c r="A1679" s="24" t="n">
        <v>10915</v>
      </c>
      <c r="B1679" s="24" t="inlineStr">
        <is>
          <t>METFORMIN HYDROCHLORIDE TABLET ORAL 1000 mg</t>
        </is>
      </c>
      <c r="C1679" s="25">
        <f>IF(COUNTIF('کدهای پیام‌داروساز'!$A$2:$A$2442,A1679)&gt;0,"بله","خیر")</f>
        <v/>
      </c>
    </row>
    <row r="1680" ht="15" customHeight="1" s="14">
      <c r="A1680" s="24" t="n">
        <v>10932</v>
      </c>
      <c r="B1680" s="24" t="inlineStr">
        <is>
          <t>FENOFIBRATE CAPSULE ORAL 100 mg</t>
        </is>
      </c>
      <c r="C1680" s="25">
        <f>IF(COUNTIF('کدهای پیام‌داروساز'!$A$2:$A$2442,A1680)&gt;0,"بله","خیر")</f>
        <v/>
      </c>
    </row>
    <row r="1681" ht="15" customHeight="1" s="14">
      <c r="A1681" s="24" t="n">
        <v>11020</v>
      </c>
      <c r="B1681" s="24" t="inlineStr">
        <is>
          <t>BUSPIRONE HYDROCHLORIDE TABLET ORAL 10 mg</t>
        </is>
      </c>
      <c r="C1681" s="25">
        <f>IF(COUNTIF('کدهای پیام‌داروساز'!$A$2:$A$2442,A1681)&gt;0,"بله","خیر")</f>
        <v/>
      </c>
    </row>
    <row r="1682" ht="15" customHeight="1" s="14">
      <c r="A1682" s="24" t="n">
        <v>11045</v>
      </c>
      <c r="B1682" s="24" t="inlineStr">
        <is>
          <t>ADULT COLD PREPARATIONS (5-1) TABLET ORAL 325 mg/15 mg/5 mg</t>
        </is>
      </c>
      <c r="C1682" s="25">
        <f>IF(COUNTIF('کدهای پیام‌داروساز'!$A$2:$A$2442,A1682)&gt;0,"بله","خیر")</f>
        <v/>
      </c>
    </row>
    <row r="1683" ht="15" customHeight="1" s="14">
      <c r="A1683" s="24" t="n">
        <v>11114</v>
      </c>
      <c r="B1683" s="24" t="inlineStr">
        <is>
          <t>FORMOTEROL FUMARATE AEROSOL, METERED RESPIRATORY 12 ug/1{dose} 100 {Puff}</t>
        </is>
      </c>
      <c r="C1683" s="25">
        <f>IF(COUNTIF('کدهای پیام‌داروساز'!$A$2:$A$2442,A1683)&gt;0,"بله","خیر")</f>
        <v/>
      </c>
    </row>
    <row r="1684" ht="15" customHeight="1" s="14">
      <c r="A1684" s="24" t="n">
        <v>11147</v>
      </c>
      <c r="B1684" s="24" t="inlineStr">
        <is>
          <t>BUPRENORPHINE / NALOXONE TABLET SUBLINGUAL 2 mg/0.5 mg</t>
        </is>
      </c>
      <c r="C1684" s="25">
        <f>IF(COUNTIF('کدهای پیام‌داروساز'!$A$2:$A$2442,A1684)&gt;0,"بله","خیر")</f>
        <v/>
      </c>
    </row>
    <row r="1685" ht="15" customHeight="1" s="14">
      <c r="A1685" s="24" t="n">
        <v>11149</v>
      </c>
      <c r="B1685" s="24" t="inlineStr">
        <is>
          <t>BUPRENORPHINE / NALOXONE TABLET SUBLINGUAL 8 mg/2 mg</t>
        </is>
      </c>
      <c r="C1685" s="25">
        <f>IF(COUNTIF('کدهای پیام‌داروساز'!$A$2:$A$2442,A1685)&gt;0,"بله","خیر")</f>
        <v/>
      </c>
    </row>
    <row r="1686" ht="15" customHeight="1" s="14">
      <c r="A1686" s="24" t="n">
        <v>11151</v>
      </c>
      <c r="B1686" s="24" t="inlineStr">
        <is>
          <t>ALFENTANIL INJECTION PARENTERAL 0.5 mg/1mL 5 mL</t>
        </is>
      </c>
      <c r="C1686" s="25">
        <f>IF(COUNTIF('کدهای پیام‌داروساز'!$A$2:$A$2442,A1686)&gt;0,"بله","خیر")</f>
        <v/>
      </c>
    </row>
    <row r="1687" ht="15" customHeight="1" s="14">
      <c r="A1687" s="24" t="n">
        <v>11156</v>
      </c>
      <c r="B1687" s="24" t="inlineStr">
        <is>
          <t>LOPINAVIR / RITONAVIR TABLET ORAL 200 mg/50 mg</t>
        </is>
      </c>
      <c r="C1687" s="25">
        <f>IF(COUNTIF('کدهای پیام‌داروساز'!$A$2:$A$2442,A1687)&gt;0,"بله","خیر")</f>
        <v/>
      </c>
    </row>
    <row r="1688" ht="15" customHeight="1" s="14">
      <c r="A1688" s="24" t="n">
        <v>11269</v>
      </c>
      <c r="B1688" s="24" t="inlineStr">
        <is>
          <t>CLINDAMYCIN PHOSPHATE / TRETINOIN GEL TOPICAL 1.2 %/0.025 % 15 g</t>
        </is>
      </c>
      <c r="C1688" s="25">
        <f>IF(COUNTIF('کدهای پیام‌داروساز'!$A$2:$A$2442,A1688)&gt;0,"بله","خیر")</f>
        <v/>
      </c>
    </row>
    <row r="1689" ht="15" customHeight="1" s="14">
      <c r="A1689" s="24" t="n">
        <v>11281</v>
      </c>
      <c r="B1689" s="24" t="inlineStr">
        <is>
          <t>HYDROCORTISONE / ACETIC ACID SOLUTION, DROPS AURICULAR (OTIC) 1 %/2 % 10 mL</t>
        </is>
      </c>
      <c r="C1689" s="25">
        <f>IF(COUNTIF('کدهای پیام‌داروساز'!$A$2:$A$2442,A1689)&gt;0,"بله","خیر")</f>
        <v/>
      </c>
    </row>
    <row r="1690" ht="15" customHeight="1" s="14">
      <c r="A1690" s="24" t="n">
        <v>11366</v>
      </c>
      <c r="B1690" s="24" t="inlineStr">
        <is>
          <t>VALPROATE SODIUM INJECTION PARENTERAL 100 mg/1mL 10 mL</t>
        </is>
      </c>
      <c r="C1690" s="25">
        <f>IF(COUNTIF('کدهای پیام‌داروساز'!$A$2:$A$2442,A1690)&gt;0,"بله","خیر")</f>
        <v/>
      </c>
    </row>
    <row r="1691" ht="15" customHeight="1" s="14">
      <c r="A1691" s="24" t="n">
        <v>11367</v>
      </c>
      <c r="B1691" s="24" t="inlineStr">
        <is>
          <t>VALPROATE SODIUM INJECTION PARENTERAL 100 mg/1mL 3 mL</t>
        </is>
      </c>
      <c r="C1691" s="25">
        <f>IF(COUNTIF('کدهای پیام‌داروساز'!$A$2:$A$2442,A1691)&gt;0,"بله","خیر")</f>
        <v/>
      </c>
    </row>
    <row r="1692" ht="15" customHeight="1" s="14">
      <c r="A1692" s="24" t="n">
        <v>11372</v>
      </c>
      <c r="B1692" s="24" t="inlineStr">
        <is>
          <t>NITROGLYCERIN PATCH, EXTENDED RELEASE TRANSDERMAL 10 mg</t>
        </is>
      </c>
      <c r="C1692" s="25">
        <f>IF(COUNTIF('کدهای پیام‌داروساز'!$A$2:$A$2442,A1692)&gt;0,"بله","خیر")</f>
        <v/>
      </c>
    </row>
    <row r="1693" ht="15" customHeight="1" s="14">
      <c r="A1693" s="24" t="n">
        <v>11375</v>
      </c>
      <c r="B1693" s="24" t="inlineStr">
        <is>
          <t>FERROUS-GLYCINE-SULFATE CAPSULE ORAL 567.66 mg</t>
        </is>
      </c>
      <c r="C1693" s="25">
        <f>IF(COUNTIF('کدهای پیام‌داروساز'!$A$2:$A$2442,A1693)&gt;0,"بله","خیر")</f>
        <v/>
      </c>
    </row>
    <row r="1694" ht="15" customHeight="1" s="14">
      <c r="A1694" s="24" t="n">
        <v>11397</v>
      </c>
      <c r="B1694" s="24" t="inlineStr">
        <is>
          <t>PETHIDINE HYDROCHLORIDE INJECTION PARENTERAL 25 mg/1mL 1 mL</t>
        </is>
      </c>
      <c r="C1694" s="25">
        <f>IF(COUNTIF('کدهای پیام‌داروساز'!$A$2:$A$2442,A1694)&gt;0,"بله","خیر")</f>
        <v/>
      </c>
    </row>
    <row r="1695" ht="15" customHeight="1" s="14">
      <c r="A1695" s="24" t="n">
        <v>11405</v>
      </c>
      <c r="B1695" s="24" t="inlineStr">
        <is>
          <t>CHORIOGONADOTROPIN ALFA INJECTION PARENTERAL 500 ug/1mL 0.5 mL</t>
        </is>
      </c>
      <c r="C1695" s="25">
        <f>IF(COUNTIF('کدهای پیام‌داروساز'!$A$2:$A$2442,A1695)&gt;0,"بله","خیر")</f>
        <v/>
      </c>
    </row>
    <row r="1696" ht="15" customHeight="1" s="14">
      <c r="A1696" s="24" t="n">
        <v>11407</v>
      </c>
      <c r="B1696" s="24" t="inlineStr">
        <is>
          <t>ALTEPLASE INJECTION, POWDER, FOR SOLUTION PARENTERAL 10 mg</t>
        </is>
      </c>
      <c r="C1696" s="25">
        <f>IF(COUNTIF('کدهای پیام‌داروساز'!$A$2:$A$2442,A1696)&gt;0,"بله","خیر")</f>
        <v/>
      </c>
    </row>
    <row r="1697" ht="15" customHeight="1" s="14">
      <c r="A1697" s="24" t="n">
        <v>11413</v>
      </c>
      <c r="B1697" s="24" t="inlineStr">
        <is>
          <t>CHLORMADINONE / ETHINYLESTRADIOL TABLET ORAL 2 mg/0.03 mg</t>
        </is>
      </c>
      <c r="C1697" s="25">
        <f>IF(COUNTIF('کدهای پیام‌داروساز'!$A$2:$A$2442,A1697)&gt;0,"بله","خیر")</f>
        <v/>
      </c>
    </row>
    <row r="1698" ht="15" customHeight="1" s="14">
      <c r="A1698" s="24" t="n">
        <v>11416</v>
      </c>
      <c r="B1698" s="24" t="inlineStr">
        <is>
          <t>RANIBIZUMAB INJECTION, SOLUTION PARENTERAL 10 mg/1mL 1 mL</t>
        </is>
      </c>
      <c r="C1698" s="25">
        <f>IF(COUNTIF('کدهای پیام‌داروساز'!$A$2:$A$2442,A1698)&gt;0,"بله","خیر")</f>
        <v/>
      </c>
    </row>
    <row r="1699" ht="15" customHeight="1" s="14">
      <c r="A1699" s="24" t="n">
        <v>11441</v>
      </c>
      <c r="B1699" s="24" t="inlineStr">
        <is>
          <t>HYDROXYPROGESTERONE CAPROATE INJECTION PARENTERAL 250 mg/1mL 2 mL</t>
        </is>
      </c>
      <c r="C1699" s="25">
        <f>IF(COUNTIF('کدهای پیام‌داروساز'!$A$2:$A$2442,A1699)&gt;0,"بله","خیر")</f>
        <v/>
      </c>
    </row>
    <row r="1700" ht="15" customHeight="1" s="14">
      <c r="A1700" s="24" t="n">
        <v>11458</v>
      </c>
      <c r="B1700" s="24" t="inlineStr">
        <is>
          <t>KETOROLAC TROMETAMOL SOLUTION, DROPS OPHTHALMIC 0.5 % 5 mL</t>
        </is>
      </c>
      <c r="C1700" s="25">
        <f>IF(COUNTIF('کدهای پیام‌داروساز'!$A$2:$A$2442,A1700)&gt;0,"بله","خیر")</f>
        <v/>
      </c>
    </row>
    <row r="1701" ht="15" customHeight="1" s="14">
      <c r="A1701" s="24" t="n">
        <v>11459</v>
      </c>
      <c r="B1701" s="24" t="inlineStr">
        <is>
          <t>BRIMONIDINE TARTRATE SOLUTION, DROPS OPHTHALMIC 0.2 % 5 mL</t>
        </is>
      </c>
      <c r="C1701" s="25">
        <f>IF(COUNTIF('کدهای پیام‌داروساز'!$A$2:$A$2442,A1701)&gt;0,"بله","خیر")</f>
        <v/>
      </c>
    </row>
    <row r="1702" ht="15" customHeight="1" s="14">
      <c r="A1702" s="24" t="n">
        <v>11460</v>
      </c>
      <c r="B1702" s="24" t="inlineStr">
        <is>
          <t>EMTRICITABINE / TENOFOVIR DISOPROXIL FUMARATE TABLET ORAL 200 mg/300 mg</t>
        </is>
      </c>
      <c r="C1702" s="25">
        <f>IF(COUNTIF('کدهای پیام‌داروساز'!$A$2:$A$2442,A1702)&gt;0,"بله","خیر")</f>
        <v/>
      </c>
    </row>
    <row r="1703" ht="15" customHeight="1" s="14">
      <c r="A1703" s="24" t="n">
        <v>11462</v>
      </c>
      <c r="B1703" s="24" t="inlineStr">
        <is>
          <t>VITAMIN B12 INJECTION, SOLUTION PARENTERAL 1000 ug/4 mL</t>
        </is>
      </c>
      <c r="C1703" s="25">
        <f>IF(COUNTIF('کدهای پیام‌داروساز'!$A$2:$A$2442,A1703)&gt;0,"بله","خیر")</f>
        <v/>
      </c>
    </row>
    <row r="1704" ht="15" customHeight="1" s="14">
      <c r="A1704" s="24" t="n">
        <v>11464</v>
      </c>
      <c r="B1704" s="24" t="inlineStr">
        <is>
          <t>TERIPARATIDE INJECTION PARENTERAL 250 ug/1mL 2.4 mL</t>
        </is>
      </c>
      <c r="C1704" s="25">
        <f>IF(COUNTIF('کدهای پیام‌داروساز'!$A$2:$A$2442,A1704)&gt;0,"بله","خیر")</f>
        <v/>
      </c>
    </row>
    <row r="1705" ht="15" customHeight="1" s="14">
      <c r="A1705" s="24" t="n">
        <v>11472</v>
      </c>
      <c r="B1705" s="24" t="inlineStr">
        <is>
          <t>BISOPROLOL FUMARATE TABLET ORAL 2.5 mg</t>
        </is>
      </c>
      <c r="C1705" s="25">
        <f>IF(COUNTIF('کدهای پیام‌داروساز'!$A$2:$A$2442,A1705)&gt;0,"بله","خیر")</f>
        <v/>
      </c>
    </row>
    <row r="1706" ht="15" customHeight="1" s="14">
      <c r="A1706" s="24" t="n">
        <v>11481</v>
      </c>
      <c r="B1706" s="24" t="inlineStr">
        <is>
          <t>LATANOPROST / TIMOLOL (AS MALEATE) SOLUTION, DROPS OPHTHALMIC 50 ug/5 mg/1mL 2.5 mL</t>
        </is>
      </c>
      <c r="C1706" s="25">
        <f>IF(COUNTIF('کدهای پیام‌داروساز'!$A$2:$A$2442,A1706)&gt;0,"بله","خیر")</f>
        <v/>
      </c>
    </row>
    <row r="1707" ht="15" customHeight="1" s="14">
      <c r="A1707" s="24" t="n">
        <v>11504</v>
      </c>
      <c r="B1707" s="24" t="inlineStr">
        <is>
          <t>ALBUMIN (HUMAN) INJECTION, SOLUTION PARENTERAL 5 % 250 mL</t>
        </is>
      </c>
      <c r="C1707" s="25">
        <f>IF(COUNTIF('کدهای پیام‌داروساز'!$A$2:$A$2442,A1707)&gt;0,"بله","خیر")</f>
        <v/>
      </c>
    </row>
    <row r="1708" ht="15" customHeight="1" s="14">
      <c r="A1708" s="24" t="n">
        <v>11506</v>
      </c>
      <c r="B1708" s="24" t="inlineStr">
        <is>
          <t>DIGOXIN SPECIFIC ANTIBODY INJECTION PARENTERAL 40 mg</t>
        </is>
      </c>
      <c r="C1708" s="25">
        <f>IF(COUNTIF('کدهای پیام‌داروساز'!$A$2:$A$2442,A1708)&gt;0,"بله","خیر")</f>
        <v/>
      </c>
    </row>
    <row r="1709" ht="15" customHeight="1" s="14">
      <c r="A1709" s="24" t="n">
        <v>11545</v>
      </c>
      <c r="B1709" s="24" t="inlineStr">
        <is>
          <t>SODIUM CHLORIDE SOLUTION IRRIGATION 0.9 % 2 L</t>
        </is>
      </c>
      <c r="C1709" s="25">
        <f>IF(COUNTIF('کدهای پیام‌داروساز'!$A$2:$A$2442,A1709)&gt;0,"بله","خیر")</f>
        <v/>
      </c>
    </row>
    <row r="1710" ht="15" customHeight="1" s="14">
      <c r="A1710" s="24" t="n">
        <v>11606</v>
      </c>
      <c r="B1710" s="24" t="inlineStr">
        <is>
          <t>MYCOPHENOLIC ACID TABLET, DELAYED RELEASE ORAL 180 mg</t>
        </is>
      </c>
      <c r="C1710" s="25">
        <f>IF(COUNTIF('کدهای پیام‌داروساز'!$A$2:$A$2442,A1710)&gt;0,"بله","خیر")</f>
        <v/>
      </c>
    </row>
    <row r="1711" ht="15" customHeight="1" s="14">
      <c r="A1711" s="24" t="n">
        <v>11607</v>
      </c>
      <c r="B1711" s="24" t="inlineStr">
        <is>
          <t>MYCOPHENOLIC ACID TABLET, DELAYED RELEASE ORAL 360 mg</t>
        </is>
      </c>
      <c r="C1711" s="25">
        <f>IF(COUNTIF('کدهای پیام‌داروساز'!$A$2:$A$2442,A1711)&gt;0,"بله","خیر")</f>
        <v/>
      </c>
    </row>
    <row r="1712" ht="15" customHeight="1" s="14">
      <c r="A1712" s="24" t="n">
        <v>11611</v>
      </c>
      <c r="B1712" s="24" t="inlineStr">
        <is>
          <t>VALPROATE SEMISODIUM TABLET, DELAYED RELEASE ORAL 500 mg</t>
        </is>
      </c>
      <c r="C1712" s="25">
        <f>IF(COUNTIF('کدهای پیام‌داروساز'!$A$2:$A$2442,A1712)&gt;0,"بله","خیر")</f>
        <v/>
      </c>
    </row>
    <row r="1713" ht="15" customHeight="1" s="14">
      <c r="A1713" s="24" t="n">
        <v>11614</v>
      </c>
      <c r="B1713" s="24" t="inlineStr">
        <is>
          <t>VALPROATE SEMISODIUM TABLET, DELAYED RELEASE ORAL 250 mg</t>
        </is>
      </c>
      <c r="C1713" s="25">
        <f>IF(COUNTIF('کدهای پیام‌داروساز'!$A$2:$A$2442,A1713)&gt;0,"بله","خیر")</f>
        <v/>
      </c>
    </row>
    <row r="1714" ht="15" customHeight="1" s="14">
      <c r="A1714" s="24" t="n">
        <v>11622</v>
      </c>
      <c r="B1714" s="24" t="inlineStr">
        <is>
          <t>TACROLIMUS OINTMENT TOPICAL 0.03 % 30 g</t>
        </is>
      </c>
      <c r="C1714" s="25">
        <f>IF(COUNTIF('کدهای پیام‌داروساز'!$A$2:$A$2442,A1714)&gt;0,"بله","خیر")</f>
        <v/>
      </c>
    </row>
    <row r="1715" ht="15" customHeight="1" s="14">
      <c r="A1715" s="24" t="n">
        <v>11633</v>
      </c>
      <c r="B1715" s="24" t="inlineStr">
        <is>
          <t>SODIUM CHLORIDE SPRAY NASAL 0.9 % 20 mL</t>
        </is>
      </c>
      <c r="C1715" s="25">
        <f>IF(COUNTIF('کدهای پیام‌داروساز'!$A$2:$A$2442,A1715)&gt;0,"بله","خیر")</f>
        <v/>
      </c>
    </row>
    <row r="1716" ht="15" customHeight="1" s="14">
      <c r="A1716" s="24" t="n">
        <v>11636</v>
      </c>
      <c r="B1716" s="24" t="inlineStr">
        <is>
          <t>VALPROATE SEMISODIUM TABLET, DELAYED RELEASE ORAL 125 mg</t>
        </is>
      </c>
      <c r="C1716" s="25">
        <f>IF(COUNTIF('کدهای پیام‌داروساز'!$A$2:$A$2442,A1716)&gt;0,"بله","خیر")</f>
        <v/>
      </c>
    </row>
    <row r="1717" ht="15" customHeight="1" s="14">
      <c r="A1717" s="24" t="n">
        <v>11647</v>
      </c>
      <c r="B1717" s="24" t="inlineStr">
        <is>
          <t>EFAVIRENZ SOLUTION ORAL 150 mg/5mL 180 mL</t>
        </is>
      </c>
      <c r="C1717" s="25">
        <f>IF(COUNTIF('کدهای پیام‌داروساز'!$A$2:$A$2442,A1717)&gt;0,"بله","خیر")</f>
        <v/>
      </c>
    </row>
    <row r="1718" ht="15" customHeight="1" s="14">
      <c r="A1718" s="24" t="n">
        <v>11655</v>
      </c>
      <c r="B1718" s="24" t="inlineStr">
        <is>
          <t>MESALAZINE SUPPOSITORY RECTAL 1000 mg</t>
        </is>
      </c>
      <c r="C1718" s="25">
        <f>IF(COUNTIF('کدهای پیام‌داروساز'!$A$2:$A$2442,A1718)&gt;0,"بله","خیر")</f>
        <v/>
      </c>
    </row>
    <row r="1719" ht="15" customHeight="1" s="14">
      <c r="A1719" s="24" t="n">
        <v>11694</v>
      </c>
      <c r="B1719" s="24" t="inlineStr">
        <is>
          <t>IMMUNE GLOBULIN INJECTION INTRAVENOUS 120 mg/1mL</t>
        </is>
      </c>
      <c r="C1719" s="25">
        <f>IF(COUNTIF('کدهای پیام‌داروساز'!$A$2:$A$2442,A1719)&gt;0,"بله","خیر")</f>
        <v/>
      </c>
    </row>
    <row r="1720" ht="15" customHeight="1" s="14">
      <c r="A1720" s="24" t="n">
        <v>11725</v>
      </c>
      <c r="B1720" s="24" t="inlineStr">
        <is>
          <t>NITROFURANTOIN SUSPENSION ORAL 25 mg/5mL 240 mL</t>
        </is>
      </c>
      <c r="C1720" s="25">
        <f>IF(COUNTIF('کدهای پیام‌داروساز'!$A$2:$A$2442,A1720)&gt;0,"بله","خیر")</f>
        <v/>
      </c>
    </row>
    <row r="1721" ht="15" customHeight="1" s="14">
      <c r="A1721" s="24" t="n">
        <v>11734</v>
      </c>
      <c r="B1721" s="24" t="inlineStr">
        <is>
          <t>KETOCONAZOLE LOTION TOPICAL 2 % 20 mL</t>
        </is>
      </c>
      <c r="C1721" s="25">
        <f>IF(COUNTIF('کدهای پیام‌داروساز'!$A$2:$A$2442,A1721)&gt;0,"بله","خیر")</f>
        <v/>
      </c>
    </row>
    <row r="1722" ht="15" customHeight="1" s="14">
      <c r="A1722" s="24" t="n">
        <v>11747</v>
      </c>
      <c r="B1722" s="24" t="inlineStr">
        <is>
          <t>CLOTRIMAZOLE / BETAMETHASONE (AS DIPROPIONATE) CREAM TOPICAL 1 %/0.05 % 45 g</t>
        </is>
      </c>
      <c r="C1722" s="25">
        <f>IF(COUNTIF('کدهای پیام‌داروساز'!$A$2:$A$2442,A1722)&gt;0,"بله","خیر")</f>
        <v/>
      </c>
    </row>
    <row r="1723" ht="15" customHeight="1" s="14">
      <c r="A1723" s="24" t="n">
        <v>11753</v>
      </c>
      <c r="B1723" s="24" t="inlineStr">
        <is>
          <t>CLINDAMYCIN (AS PHOSPHATE) INJECTION PARENTERAL 150 mg/1mL 4 mL</t>
        </is>
      </c>
      <c r="C1723" s="25">
        <f>IF(COUNTIF('کدهای پیام‌داروساز'!$A$2:$A$2442,A1723)&gt;0,"بله","خیر")</f>
        <v/>
      </c>
    </row>
    <row r="1724" ht="15" customHeight="1" s="14">
      <c r="A1724" s="24" t="n">
        <v>11756</v>
      </c>
      <c r="B1724" s="24" t="inlineStr">
        <is>
          <t>ACETYLCYSTEINE / ASCORBIC ACID POWDER ORAL 600 mg/75 mg</t>
        </is>
      </c>
      <c r="C1724" s="25">
        <f>IF(COUNTIF('کدهای پیام‌داروساز'!$A$2:$A$2442,A1724)&gt;0,"بله","خیر")</f>
        <v/>
      </c>
    </row>
    <row r="1725" ht="15" customHeight="1" s="14">
      <c r="A1725" s="24" t="n">
        <v>11861</v>
      </c>
      <c r="B1725" s="24" t="inlineStr">
        <is>
          <t>NAPHAZOLINE HYDROCHLORIDE SPRAY NASAL 0.05 % 20 mL</t>
        </is>
      </c>
      <c r="C1725" s="25">
        <f>IF(COUNTIF('کدهای پیام‌داروساز'!$A$2:$A$2442,A1725)&gt;0,"بله","خیر")</f>
        <v/>
      </c>
    </row>
    <row r="1726" ht="15" customHeight="1" s="14">
      <c r="A1726" s="24" t="n">
        <v>11866</v>
      </c>
      <c r="B1726" s="24" t="inlineStr">
        <is>
          <t>SUCCINYLCHOLINE CHLORIDE INJECTION PARENTERAL 50 mg/1mL 10 mL</t>
        </is>
      </c>
      <c r="C1726" s="25">
        <f>IF(COUNTIF('کدهای پیام‌داروساز'!$A$2:$A$2442,A1726)&gt;0,"بله","خیر")</f>
        <v/>
      </c>
    </row>
    <row r="1727" ht="15" customHeight="1" s="14">
      <c r="A1727" s="24" t="n">
        <v>11867</v>
      </c>
      <c r="B1727" s="24" t="inlineStr">
        <is>
          <t>CISPLATIN INJECTION, SOLUTION, CONCENTRATE INTRAVENOUS 1 mg/1mL 10 mL</t>
        </is>
      </c>
      <c r="C1727" s="25">
        <f>IF(COUNTIF('کدهای پیام‌داروساز'!$A$2:$A$2442,A1727)&gt;0,"بله","خیر")</f>
        <v/>
      </c>
    </row>
    <row r="1728" ht="15" customHeight="1" s="14">
      <c r="A1728" s="24" t="n">
        <v>11868</v>
      </c>
      <c r="B1728" s="24" t="inlineStr">
        <is>
          <t>CISPLATIN INJECTION, SOLUTION, CONCENTRATE INTRAVENOUS 1 mg/1mL 50 mL</t>
        </is>
      </c>
      <c r="C1728" s="25">
        <f>IF(COUNTIF('کدهای پیام‌داروساز'!$A$2:$A$2442,A1728)&gt;0,"بله","خیر")</f>
        <v/>
      </c>
    </row>
    <row r="1729" ht="15" customHeight="1" s="14">
      <c r="A1729" s="24" t="n">
        <v>11871</v>
      </c>
      <c r="B1729" s="24" t="inlineStr">
        <is>
          <t>METOPROLOL SUCCINATE TABLET, EXTENDED RELEASE ORAL 47.5 mg</t>
        </is>
      </c>
      <c r="C1729" s="25">
        <f>IF(COUNTIF('کدهای پیام‌داروساز'!$A$2:$A$2442,A1729)&gt;0,"بله","خیر")</f>
        <v/>
      </c>
    </row>
    <row r="1730" ht="15" customHeight="1" s="14">
      <c r="A1730" s="24" t="n">
        <v>11872</v>
      </c>
      <c r="B1730" s="24" t="inlineStr">
        <is>
          <t>METOPROLOL SUCCINATE TABLET, EXTENDED RELEASE ORAL 95 mg</t>
        </is>
      </c>
      <c r="C1730" s="25">
        <f>IF(COUNTIF('کدهای پیام‌داروساز'!$A$2:$A$2442,A1730)&gt;0,"بله","خیر")</f>
        <v/>
      </c>
    </row>
    <row r="1731" ht="15" customHeight="1" s="14">
      <c r="A1731" s="24" t="n">
        <v>11873</v>
      </c>
      <c r="B1731" s="24" t="inlineStr">
        <is>
          <t>METOPROLOL SUCCINATE TABLET, EXTENDED RELEASE ORAL 190 mg</t>
        </is>
      </c>
      <c r="C1731" s="25">
        <f>IF(COUNTIF('کدهای پیام‌داروساز'!$A$2:$A$2442,A1731)&gt;0,"بله","خیر")</f>
        <v/>
      </c>
    </row>
    <row r="1732" ht="15" customHeight="1" s="14">
      <c r="A1732" s="24" t="n">
        <v>11883</v>
      </c>
      <c r="B1732" s="24" t="inlineStr">
        <is>
          <t>ORLISTAT CAPSULE ORAL 60 mg</t>
        </is>
      </c>
      <c r="C1732" s="25">
        <f>IF(COUNTIF('کدهای پیام‌داروساز'!$A$2:$A$2442,A1732)&gt;0,"بله","خیر")</f>
        <v/>
      </c>
    </row>
    <row r="1733" ht="15" customHeight="1" s="14">
      <c r="A1733" s="24" t="n">
        <v>11886</v>
      </c>
      <c r="B1733" s="24" t="inlineStr">
        <is>
          <t>CALCIUM FOLINATE INJECTION PARENTERAL 10 mg/1mL 10 mL</t>
        </is>
      </c>
      <c r="C1733" s="25">
        <f>IF(COUNTIF('کدهای پیام‌داروساز'!$A$2:$A$2442,A1733)&gt;0,"بله","خیر")</f>
        <v/>
      </c>
    </row>
    <row r="1734" ht="15" customHeight="1" s="14">
      <c r="A1734" s="24" t="n">
        <v>11889</v>
      </c>
      <c r="B1734" s="24" t="inlineStr">
        <is>
          <t>CALCIUM FOLINATE INJECTION PARENTERAL 10 mg/1mL 5 mL</t>
        </is>
      </c>
      <c r="C1734" s="25">
        <f>IF(COUNTIF('کدهای پیام‌داروساز'!$A$2:$A$2442,A1734)&gt;0,"بله","خیر")</f>
        <v/>
      </c>
    </row>
    <row r="1735" ht="15" customHeight="1" s="14">
      <c r="A1735" s="24" t="n">
        <v>11908</v>
      </c>
      <c r="B1735" s="24" t="inlineStr">
        <is>
          <t>FOMEPIZOLE INJECTION PARENTERAL 1 g/1mL 1.5 mL</t>
        </is>
      </c>
      <c r="C1735" s="25">
        <f>IF(COUNTIF('کدهای پیام‌داروساز'!$A$2:$A$2442,A1735)&gt;0,"بله","خیر")</f>
        <v/>
      </c>
    </row>
    <row r="1736" ht="15" customHeight="1" s="14">
      <c r="A1736" s="24" t="n">
        <v>11910</v>
      </c>
      <c r="B1736" s="24" t="inlineStr">
        <is>
          <t>PINDOLOL TABLET ORAL 5 mg</t>
        </is>
      </c>
      <c r="C1736" s="25">
        <f>IF(COUNTIF('کدهای پیام‌داروساز'!$A$2:$A$2442,A1736)&gt;0,"بله","خیر")</f>
        <v/>
      </c>
    </row>
    <row r="1737" ht="15" customHeight="1" s="14">
      <c r="A1737" s="24" t="n">
        <v>11954</v>
      </c>
      <c r="B1737" s="24" t="inlineStr">
        <is>
          <t>CROMOLYN SODIUM SPRAY NASAL 20 mg/1mL 20 mL</t>
        </is>
      </c>
      <c r="C1737" s="25">
        <f>IF(COUNTIF('کدهای پیام‌داروساز'!$A$2:$A$2442,A1737)&gt;0,"بله","خیر")</f>
        <v/>
      </c>
    </row>
    <row r="1738" ht="15" customHeight="1" s="14">
      <c r="A1738" s="24" t="n">
        <v>12036</v>
      </c>
      <c r="B1738" s="24" t="inlineStr">
        <is>
          <t>URSODEOXYCHOLIC ACID TABLET ORAL 300 mg</t>
        </is>
      </c>
      <c r="C1738" s="25">
        <f>IF(COUNTIF('کدهای پیام‌داروساز'!$A$2:$A$2442,A1738)&gt;0,"بله","خیر")</f>
        <v/>
      </c>
    </row>
    <row r="1739" ht="15" customHeight="1" s="14">
      <c r="A1739" s="24" t="n">
        <v>12056</v>
      </c>
      <c r="B1739" s="24" t="inlineStr">
        <is>
          <t>ISOTRETINOIN CAPSULE ORAL 10 mg</t>
        </is>
      </c>
      <c r="C1739" s="25">
        <f>IF(COUNTIF('کدهای پیام‌داروساز'!$A$2:$A$2442,A1739)&gt;0,"بله","خیر")</f>
        <v/>
      </c>
    </row>
    <row r="1740" ht="15" customHeight="1" s="14">
      <c r="A1740" s="24" t="n">
        <v>12102</v>
      </c>
      <c r="B1740" s="24" t="inlineStr">
        <is>
          <t>RASBURICASE INJECTION, POWDER, FOR SOLUTION PARENTERAL 1.5 mg</t>
        </is>
      </c>
      <c r="C1740" s="25">
        <f>IF(COUNTIF('کدهای پیام‌داروساز'!$A$2:$A$2442,A1740)&gt;0,"بله","خیر")</f>
        <v/>
      </c>
    </row>
    <row r="1741" ht="15" customHeight="1" s="14">
      <c r="A1741" s="24" t="n">
        <v>12112</v>
      </c>
      <c r="B1741" s="24" t="inlineStr">
        <is>
          <t>LEVODOPA / CARBIDOPA / ENTACAPONE TABLET ORAL 150 mg/37.5 mg/200 mg</t>
        </is>
      </c>
      <c r="C1741" s="25">
        <f>IF(COUNTIF('کدهای پیام‌داروساز'!$A$2:$A$2442,A1741)&gt;0,"بله","خیر")</f>
        <v/>
      </c>
    </row>
    <row r="1742" ht="15" customHeight="1" s="14">
      <c r="A1742" s="24" t="n">
        <v>12114</v>
      </c>
      <c r="B1742" s="24" t="inlineStr">
        <is>
          <t>BOSENTAN TABLET ORAL 62.5 mg</t>
        </is>
      </c>
      <c r="C1742" s="25">
        <f>IF(COUNTIF('کدهای پیام‌داروساز'!$A$2:$A$2442,A1742)&gt;0,"بله","خیر")</f>
        <v/>
      </c>
    </row>
    <row r="1743" ht="15" customHeight="1" s="14">
      <c r="A1743" s="24" t="n">
        <v>12115</v>
      </c>
      <c r="B1743" s="24" t="inlineStr">
        <is>
          <t>TRIMETAZIDINE TABLET, FILM COATED, EXTENDED RELEASE ORAL 35 mg</t>
        </is>
      </c>
      <c r="C1743" s="25">
        <f>IF(COUNTIF('کدهای پیام‌داروساز'!$A$2:$A$2442,A1743)&gt;0,"بله","خیر")</f>
        <v/>
      </c>
    </row>
    <row r="1744" ht="15" customHeight="1" s="14">
      <c r="A1744" s="24" t="n">
        <v>12118</v>
      </c>
      <c r="B1744" s="24" t="inlineStr">
        <is>
          <t>ATAZANAVIR (AS SULFATE) CAPSULE ORAL 150 mg</t>
        </is>
      </c>
      <c r="C1744" s="25">
        <f>IF(COUNTIF('کدهای پیام‌داروساز'!$A$2:$A$2442,A1744)&gt;0,"بله","خیر")</f>
        <v/>
      </c>
    </row>
    <row r="1745" ht="15" customHeight="1" s="14">
      <c r="A1745" s="24" t="n">
        <v>12199</v>
      </c>
      <c r="B1745" s="24" t="inlineStr">
        <is>
          <t>PREGABALIN CAPSULE ORAL 200 mg</t>
        </is>
      </c>
      <c r="C1745" s="25">
        <f>IF(COUNTIF('کدهای پیام‌داروساز'!$A$2:$A$2442,A1745)&gt;0,"بله","خیر")</f>
        <v/>
      </c>
    </row>
    <row r="1746" ht="15" customHeight="1" s="14">
      <c r="A1746" s="24" t="n">
        <v>12225</v>
      </c>
      <c r="B1746" s="24" t="inlineStr">
        <is>
          <t>MORPHINE SULFATE SUPPOSITORY RECTAL 10 mg</t>
        </is>
      </c>
      <c r="C1746" s="25">
        <f>IF(COUNTIF('کدهای پیام‌داروساز'!$A$2:$A$2442,A1746)&gt;0,"بله","خیر")</f>
        <v/>
      </c>
    </row>
    <row r="1747" ht="15" customHeight="1" s="14">
      <c r="A1747" s="24" t="n">
        <v>12273</v>
      </c>
      <c r="B1747" s="24" t="inlineStr">
        <is>
          <t>NILOTINIB CAPSULE ORAL 200 mg</t>
        </is>
      </c>
      <c r="C1747" s="25">
        <f>IF(COUNTIF('کدهای پیام‌داروساز'!$A$2:$A$2442,A1747)&gt;0,"بله","خیر")</f>
        <v/>
      </c>
    </row>
    <row r="1748" ht="15" customHeight="1" s="14">
      <c r="A1748" s="24" t="n">
        <v>12280</v>
      </c>
      <c r="B1748" s="24" t="inlineStr">
        <is>
          <t>LEVOFLOXACIN HEMIHYDRATE SOLUTION, DROPS OPHTHALMIC 0.5 % 0.5 mL</t>
        </is>
      </c>
      <c r="C1748" s="25">
        <f>IF(COUNTIF('کدهای پیام‌داروساز'!$A$2:$A$2442,A1748)&gt;0,"بله","خیر")</f>
        <v/>
      </c>
    </row>
    <row r="1749" ht="15" customHeight="1" s="14">
      <c r="A1749" s="24" t="n">
        <v>12282</v>
      </c>
      <c r="B1749" s="24" t="inlineStr">
        <is>
          <t>OLOPATADINE (AS HYDROCHLORIDE) SOLUTION, DROPS OPHTHALMIC 0.1 % 5 mL</t>
        </is>
      </c>
      <c r="C1749" s="25">
        <f>IF(COUNTIF('کدهای پیام‌داروساز'!$A$2:$A$2442,A1749)&gt;0,"بله","خیر")</f>
        <v/>
      </c>
    </row>
    <row r="1750" ht="15" customHeight="1" s="14">
      <c r="A1750" s="24" t="n">
        <v>12292</v>
      </c>
      <c r="B1750" s="24" t="inlineStr">
        <is>
          <t>ALGLUCOSIDASE ALFA INJECTION, POWDER, FOR SOLUTION PARENTERAL 50 mg</t>
        </is>
      </c>
      <c r="C1750" s="25">
        <f>IF(COUNTIF('کدهای پیام‌داروساز'!$A$2:$A$2442,A1750)&gt;0,"بله","خیر")</f>
        <v/>
      </c>
    </row>
    <row r="1751" ht="15" customHeight="1" s="14">
      <c r="A1751" s="24" t="n">
        <v>12297</v>
      </c>
      <c r="B1751" s="24" t="inlineStr">
        <is>
          <t>AMLODIPINE (AS BESILATE) / ATORVASTATIN (AS CALCIUM) TABLET ORAL 5 mg/10 mg</t>
        </is>
      </c>
      <c r="C1751" s="25">
        <f>IF(COUNTIF('کدهای پیام‌داروساز'!$A$2:$A$2442,A1751)&gt;0,"بله","خیر")</f>
        <v/>
      </c>
    </row>
    <row r="1752" ht="15" customHeight="1" s="14">
      <c r="A1752" s="24" t="n">
        <v>12299</v>
      </c>
      <c r="B1752" s="24" t="inlineStr">
        <is>
          <t>LAPATINIB DITOSYLATE TABLET ORAL 250 mg</t>
        </is>
      </c>
      <c r="C1752" s="25">
        <f>IF(COUNTIF('کدهای پیام‌داروساز'!$A$2:$A$2442,A1752)&gt;0,"بله","خیر")</f>
        <v/>
      </c>
    </row>
    <row r="1753" ht="15" customHeight="1" s="14">
      <c r="A1753" s="24" t="n">
        <v>12312</v>
      </c>
      <c r="B1753" s="24" t="inlineStr">
        <is>
          <t>PANCREATIN CAPSULE, DELAYED RELEASE PELLETS ORAL 25000 [iU]</t>
        </is>
      </c>
      <c r="C1753" s="25">
        <f>IF(COUNTIF('کدهای پیام‌داروساز'!$A$2:$A$2442,A1753)&gt;0,"بله","خیر")</f>
        <v/>
      </c>
    </row>
    <row r="1754" ht="15" customHeight="1" s="14">
      <c r="A1754" s="24" t="n">
        <v>12319</v>
      </c>
      <c r="B1754" s="24" t="inlineStr">
        <is>
          <t>OXYMETAZOLINE HYDROCHLORIDE SPRAY NASAL 0.05 % 15 mL</t>
        </is>
      </c>
      <c r="C1754" s="25">
        <f>IF(COUNTIF('کدهای پیام‌داروساز'!$A$2:$A$2442,A1754)&gt;0,"بله","خیر")</f>
        <v/>
      </c>
    </row>
    <row r="1755" ht="15" customHeight="1" s="14">
      <c r="A1755" s="24" t="n">
        <v>12322</v>
      </c>
      <c r="B1755" s="24" t="inlineStr">
        <is>
          <t>EDROPHONIUM CHLORIDE INJECTION PARENTERAL 10 mg/1mL 1 mL</t>
        </is>
      </c>
      <c r="C1755" s="25">
        <f>IF(COUNTIF('کدهای پیام‌داروساز'!$A$2:$A$2442,A1755)&gt;0,"بله","خیر")</f>
        <v/>
      </c>
    </row>
    <row r="1756" ht="15" customHeight="1" s="14">
      <c r="A1756" s="24" t="n">
        <v>12330</v>
      </c>
      <c r="B1756" s="24" t="inlineStr">
        <is>
          <t>PHENYLEPHRINE HYDROCHLORIDE SPRAY NASAL 0.25 % 20 mL</t>
        </is>
      </c>
      <c r="C1756" s="25">
        <f>IF(COUNTIF('کدهای پیام‌داروساز'!$A$2:$A$2442,A1756)&gt;0,"بله","خیر")</f>
        <v/>
      </c>
    </row>
    <row r="1757" ht="15" customHeight="1" s="14">
      <c r="A1757" s="24" t="n">
        <v>12359</v>
      </c>
      <c r="B1757" s="24" t="inlineStr">
        <is>
          <t>ZOLEDRONIC ACID INJECTION PARENTERAL 4 mg/5mL</t>
        </is>
      </c>
      <c r="C1757" s="25">
        <f>IF(COUNTIF('کدهای پیام‌داروساز'!$A$2:$A$2442,A1757)&gt;0,"بله","خیر")</f>
        <v/>
      </c>
    </row>
    <row r="1758" ht="15" customHeight="1" s="14">
      <c r="A1758" s="24" t="n">
        <v>12401</v>
      </c>
      <c r="B1758" s="24" t="inlineStr">
        <is>
          <t>ACICLOVIR TABLET ORAL 800 mg</t>
        </is>
      </c>
      <c r="C1758" s="25">
        <f>IF(COUNTIF('کدهای پیام‌داروساز'!$A$2:$A$2442,A1758)&gt;0,"بله","خیر")</f>
        <v/>
      </c>
    </row>
    <row r="1759" ht="15" customHeight="1" s="14">
      <c r="A1759" s="24" t="n">
        <v>12423</v>
      </c>
      <c r="B1759" s="24" t="inlineStr">
        <is>
          <t>FACTOR VIII / VON WILLEBRAND FACTOR INJECTION, POWDER, LYOPHILIZED, FOR SOLUTION PARENTERAL 250 [iU]/600 [iU]</t>
        </is>
      </c>
      <c r="C1759" s="25">
        <f>IF(COUNTIF('کدهای پیام‌داروساز'!$A$2:$A$2442,A1759)&gt;0,"بله","خیر")</f>
        <v/>
      </c>
    </row>
    <row r="1760" ht="15" customHeight="1" s="14">
      <c r="A1760" s="24" t="n">
        <v>12455</v>
      </c>
      <c r="B1760" s="24" t="inlineStr">
        <is>
          <t>RITONAVIR CAPSULE ORAL 100 mg</t>
        </is>
      </c>
      <c r="C1760" s="25">
        <f>IF(COUNTIF('کدهای پیام‌داروساز'!$A$2:$A$2442,A1760)&gt;0,"بله","خیر")</f>
        <v/>
      </c>
    </row>
    <row r="1761" ht="15" customHeight="1" s="14">
      <c r="A1761" s="24" t="n">
        <v>12482</v>
      </c>
      <c r="B1761" s="24" t="inlineStr">
        <is>
          <t>LEVODOPA / CARBIDOPA / ENTACAPONE TABLET ORAL 50 mg/12.5 mg/200 mg</t>
        </is>
      </c>
      <c r="C1761" s="25">
        <f>IF(COUNTIF('کدهای پیام‌داروساز'!$A$2:$A$2442,A1761)&gt;0,"بله","خیر")</f>
        <v/>
      </c>
    </row>
    <row r="1762" ht="15" customHeight="1" s="14">
      <c r="A1762" s="24" t="n">
        <v>12534</v>
      </c>
      <c r="B1762" s="24" t="inlineStr">
        <is>
          <t>NATALIZUMAB INJECTION, SOLUTION, CONCENTRATE PARENTERAL 20 mg/1mL 15 mL</t>
        </is>
      </c>
      <c r="C1762" s="25">
        <f>IF(COUNTIF('کدهای پیام‌داروساز'!$A$2:$A$2442,A1762)&gt;0,"بله","خیر")</f>
        <v/>
      </c>
    </row>
    <row r="1763" ht="15" customHeight="1" s="14">
      <c r="A1763" s="24" t="n">
        <v>12540</v>
      </c>
      <c r="B1763" s="24" t="inlineStr">
        <is>
          <t>PANITUMUMAB INJECTION, SOLUTION, CONCENTRATE PARENTERAL 20 mg/1mL 5 mL</t>
        </is>
      </c>
      <c r="C1763" s="25">
        <f>IF(COUNTIF('کدهای پیام‌داروساز'!$A$2:$A$2442,A1763)&gt;0,"بله","خیر")</f>
        <v/>
      </c>
    </row>
    <row r="1764" ht="15" customHeight="1" s="14">
      <c r="A1764" s="24" t="n">
        <v>12541</v>
      </c>
      <c r="B1764" s="24" t="inlineStr">
        <is>
          <t>PANITUMUMAB INJECTION, SOLUTION, CONCENTRATE PARENTERAL 20 mg/1mL 20 mL</t>
        </is>
      </c>
      <c r="C1764" s="25">
        <f>IF(COUNTIF('کدهای پیام‌داروساز'!$A$2:$A$2442,A1764)&gt;0,"بله","خیر")</f>
        <v/>
      </c>
    </row>
    <row r="1765" ht="15" customHeight="1" s="14">
      <c r="A1765" s="24" t="n">
        <v>12544</v>
      </c>
      <c r="B1765" s="24" t="inlineStr">
        <is>
          <t>COAGULATION FACTOR VIII (HUMAN PLASMA DERIVED) INJECTION, POWDER, LYOPHILIZED, FOR SOLUTION PARENTERAL 500 [iU]</t>
        </is>
      </c>
      <c r="C1765" s="25">
        <f>IF(COUNTIF('کدهای پیام‌داروساز'!$A$2:$A$2442,A1765)&gt;0,"بله","خیر")</f>
        <v/>
      </c>
    </row>
    <row r="1766" ht="15" customHeight="1" s="14">
      <c r="A1766" s="24" t="n">
        <v>12550</v>
      </c>
      <c r="B1766" s="24" t="inlineStr">
        <is>
          <t>GALSULFASE INJECTION PARENTERAL 1 mg/1mL 5 mL</t>
        </is>
      </c>
      <c r="C1766" s="25">
        <f>IF(COUNTIF('کدهای پیام‌داروساز'!$A$2:$A$2442,A1766)&gt;0,"بله","خیر")</f>
        <v/>
      </c>
    </row>
    <row r="1767" ht="15" customHeight="1" s="14">
      <c r="A1767" s="24" t="n">
        <v>12560</v>
      </c>
      <c r="B1767" s="24" t="inlineStr">
        <is>
          <t>INTERFERON BETA-1B INJECTION, POWDER, FOR SOLUTION PARENTERAL 9600000 [iU]</t>
        </is>
      </c>
      <c r="C1767" s="25">
        <f>IF(COUNTIF('کدهای پیام‌داروساز'!$A$2:$A$2442,A1767)&gt;0,"بله","خیر")</f>
        <v/>
      </c>
    </row>
    <row r="1768" ht="15" customHeight="1" s="14">
      <c r="A1768" s="24" t="n">
        <v>12597</v>
      </c>
      <c r="B1768" s="24" t="inlineStr">
        <is>
          <t>INSULIN GLARGINE INJECTION PARENTERAL 300 [iU]/1mL 1.5 mL</t>
        </is>
      </c>
      <c r="C1768" s="25">
        <f>IF(COUNTIF('کدهای پیام‌داروساز'!$A$2:$A$2442,A1768)&gt;0,"بله","خیر")</f>
        <v/>
      </c>
    </row>
    <row r="1769" ht="15" customHeight="1" s="14">
      <c r="A1769" s="24" t="n">
        <v>12650</v>
      </c>
      <c r="B1769" s="24" t="inlineStr">
        <is>
          <t>ACETAMINOPHEN / CAFFEINE TABLET ORAL 500 mg/65 mg</t>
        </is>
      </c>
      <c r="C1769" s="25">
        <f>IF(COUNTIF('کدهای پیام‌داروساز'!$A$2:$A$2442,A1769)&gt;0,"بله","خیر")</f>
        <v/>
      </c>
    </row>
    <row r="1770" ht="15" customHeight="1" s="14">
      <c r="A1770" s="24" t="n">
        <v>12741</v>
      </c>
      <c r="B1770" s="24" t="inlineStr">
        <is>
          <t>ENTECAVIR TABLET ORAL 1 mg</t>
        </is>
      </c>
      <c r="C1770" s="25">
        <f>IF(COUNTIF('کدهای پیام‌داروساز'!$A$2:$A$2442,A1770)&gt;0,"بله","خیر")</f>
        <v/>
      </c>
    </row>
    <row r="1771" ht="15" customHeight="1" s="14">
      <c r="A1771" s="24" t="n">
        <v>12761</v>
      </c>
      <c r="B1771" s="24" t="inlineStr">
        <is>
          <t>LISINOPRIL / HYDROCHLOROTHIAZIDE TABLET ORAL 20 mg/12.5 mg</t>
        </is>
      </c>
      <c r="C1771" s="25">
        <f>IF(COUNTIF('کدهای پیام‌داروساز'!$A$2:$A$2442,A1771)&gt;0,"بله","خیر")</f>
        <v/>
      </c>
    </row>
    <row r="1772" ht="15" customHeight="1" s="14">
      <c r="A1772" s="24" t="n">
        <v>12837</v>
      </c>
      <c r="B1772" s="24" t="inlineStr">
        <is>
          <t>INSULIN DETEMIR INJECTION, SOLUTION PARENTERAL 100 [iU]/1mL 3 mL</t>
        </is>
      </c>
      <c r="C1772" s="25">
        <f>IF(COUNTIF('کدهای پیام‌داروساز'!$A$2:$A$2442,A1772)&gt;0,"بله","خیر")</f>
        <v/>
      </c>
    </row>
    <row r="1773" ht="15" customHeight="1" s="14">
      <c r="A1773" s="24" t="n">
        <v>12847</v>
      </c>
      <c r="B1773" s="24" t="inlineStr">
        <is>
          <t>LENALIDOMIDE CAPSULE ORAL 25 mg</t>
        </is>
      </c>
      <c r="C1773" s="25">
        <f>IF(COUNTIF('کدهای پیام‌داروساز'!$A$2:$A$2442,A1773)&gt;0,"بله","خیر")</f>
        <v/>
      </c>
    </row>
    <row r="1774" ht="15" customHeight="1" s="14">
      <c r="A1774" s="24" t="n">
        <v>12863</v>
      </c>
      <c r="B1774" s="24" t="inlineStr">
        <is>
          <t>GOLD SODIUM THIOMALATE INJECTION PARENTERAL 20 mg/1mL 0.5 mL</t>
        </is>
      </c>
      <c r="C1774" s="25">
        <f>IF(COUNTIF('کدهای پیام‌داروساز'!$A$2:$A$2442,A1774)&gt;0,"بله","خیر")</f>
        <v/>
      </c>
    </row>
    <row r="1775" ht="15" customHeight="1" s="14">
      <c r="A1775" s="24" t="n">
        <v>12912</v>
      </c>
      <c r="B1775" s="24" t="inlineStr">
        <is>
          <t>METRONIDAZOLE SUPPOSITORY VAGINAL 500 mg</t>
        </is>
      </c>
      <c r="C1775" s="25">
        <f>IF(COUNTIF('کدهای پیام‌داروساز'!$A$2:$A$2442,A1775)&gt;0,"بله","خیر")</f>
        <v/>
      </c>
    </row>
    <row r="1776" ht="15" customHeight="1" s="14">
      <c r="A1776" s="24" t="n">
        <v>12928</v>
      </c>
      <c r="B1776" s="24" t="inlineStr">
        <is>
          <t>ACETAMINOPHEN TABLET, EFFERVESCENT ORAL 500 mg</t>
        </is>
      </c>
      <c r="C1776" s="25">
        <f>IF(COUNTIF('کدهای پیام‌داروساز'!$A$2:$A$2442,A1776)&gt;0,"بله","خیر")</f>
        <v/>
      </c>
    </row>
    <row r="1777" ht="15" customHeight="1" s="14">
      <c r="A1777" s="24" t="n">
        <v>12972</v>
      </c>
      <c r="B1777" s="24" t="inlineStr">
        <is>
          <t>CIPROFLOXACIN / DEXAMETHASONE SUSPENSION, DROPS AURICULAR (OTIC) 0.3 %/0.1 %</t>
        </is>
      </c>
      <c r="C1777" s="25">
        <f>IF(COUNTIF('کدهای پیام‌داروساز'!$A$2:$A$2442,A1777)&gt;0,"بله","خیر")</f>
        <v/>
      </c>
    </row>
    <row r="1778" ht="15" customHeight="1" s="14">
      <c r="A1778" s="24" t="n">
        <v>13016</v>
      </c>
      <c r="B1778" s="24" t="inlineStr">
        <is>
          <t>SODIUM CHLORIDE INJECTION, SOLUTION PARENTERAL 0.9 % 100 mL</t>
        </is>
      </c>
      <c r="C1778" s="25">
        <f>IF(COUNTIF('کدهای پیام‌داروساز'!$A$2:$A$2442,A1778)&gt;0,"بله","خیر")</f>
        <v/>
      </c>
    </row>
    <row r="1779" ht="15" customHeight="1" s="14">
      <c r="A1779" s="24" t="n">
        <v>13022</v>
      </c>
      <c r="B1779" s="24" t="inlineStr">
        <is>
          <t>TOBRAMYCIN (AS SULFATE) INJECTION PARENTERAL 50 mg/1mL 2 mL</t>
        </is>
      </c>
      <c r="C1779" s="25">
        <f>IF(COUNTIF('کدهای پیام‌داروساز'!$A$2:$A$2442,A1779)&gt;0,"بله","خیر")</f>
        <v/>
      </c>
    </row>
    <row r="1780" ht="15" customHeight="1" s="14">
      <c r="A1780" s="24" t="n">
        <v>13060</v>
      </c>
      <c r="B1780" s="24" t="inlineStr">
        <is>
          <t>L-CARNITINE SOLUTION ORAL 100 mg/1mL 120 mL</t>
        </is>
      </c>
      <c r="C1780" s="25">
        <f>IF(COUNTIF('کدهای پیام‌داروساز'!$A$2:$A$2442,A1780)&gt;0,"بله","خیر")</f>
        <v/>
      </c>
    </row>
    <row r="1781" ht="15" customHeight="1" s="14">
      <c r="A1781" s="24" t="n">
        <v>13080</v>
      </c>
      <c r="B1781" s="24" t="inlineStr">
        <is>
          <t>BUDESONIDE POWDER, METERED RESPIRATORY 400 ug/1{dose} 100 {dose}</t>
        </is>
      </c>
      <c r="C1781" s="25">
        <f>IF(COUNTIF('کدهای پیام‌داروساز'!$A$2:$A$2442,A1781)&gt;0,"بله","خیر")</f>
        <v/>
      </c>
    </row>
    <row r="1782" ht="15" customHeight="1" s="14">
      <c r="A1782" s="24" t="n">
        <v>13143</v>
      </c>
      <c r="B1782" s="24" t="inlineStr">
        <is>
          <t>SODIUM CHLORIDE SOLUTION OPHTHALMIC 0.9 % 5 mL</t>
        </is>
      </c>
      <c r="C1782" s="25">
        <f>IF(COUNTIF('کدهای پیام‌داروساز'!$A$2:$A$2442,A1782)&gt;0,"بله","خیر")</f>
        <v/>
      </c>
    </row>
    <row r="1783" ht="15" customHeight="1" s="14">
      <c r="A1783" s="24" t="n">
        <v>13171</v>
      </c>
      <c r="B1783" s="24" t="inlineStr">
        <is>
          <t>CARGLUMIC ACID TABLET, FOR SUSPENSION ORAL 200 mg</t>
        </is>
      </c>
      <c r="C1783" s="25">
        <f>IF(COUNTIF('کدهای پیام‌داروساز'!$A$2:$A$2442,A1783)&gt;0,"بله","خیر")</f>
        <v/>
      </c>
    </row>
    <row r="1784" ht="15" customHeight="1" s="14">
      <c r="A1784" s="24" t="n">
        <v>13199</v>
      </c>
      <c r="B1784" s="24" t="inlineStr">
        <is>
          <t>ENALAPRIL MALEATE TABLET ORAL 2.5 mg</t>
        </is>
      </c>
      <c r="C1784" s="25">
        <f>IF(COUNTIF('کدهای پیام‌داروساز'!$A$2:$A$2442,A1784)&gt;0,"بله","خیر")</f>
        <v/>
      </c>
    </row>
    <row r="1785" ht="15" customHeight="1" s="14">
      <c r="A1785" s="24" t="n">
        <v>13238</v>
      </c>
      <c r="B1785" s="24" t="inlineStr">
        <is>
          <t>COAGULATION FACTOR VIII (HUMAN PLASMA DERIVED) INJECTION, POWDER, LYOPHILIZED, FOR SOLUTION PARENTERAL 250 [iU]</t>
        </is>
      </c>
      <c r="C1785" s="25">
        <f>IF(COUNTIF('کدهای پیام‌داروساز'!$A$2:$A$2442,A1785)&gt;0,"بله","خیر")</f>
        <v/>
      </c>
    </row>
    <row r="1786" ht="15" customHeight="1" s="14">
      <c r="A1786" s="24" t="n">
        <v>13245</v>
      </c>
      <c r="B1786" s="24" t="inlineStr">
        <is>
          <t>BENDAMUSTINE HYDROCHLORIDE INJECTION, POWDER, FOR SOLUTION PARENTERAL 100 mg</t>
        </is>
      </c>
      <c r="C1786" s="25">
        <f>IF(COUNTIF('کدهای پیام‌داروساز'!$A$2:$A$2442,A1786)&gt;0,"بله","خیر")</f>
        <v/>
      </c>
    </row>
    <row r="1787" ht="15" customHeight="1" s="14">
      <c r="A1787" s="24" t="n">
        <v>13254</v>
      </c>
      <c r="B1787" s="24" t="inlineStr">
        <is>
          <t>VINORELBINE (AS TARTRATE) CAPSULE, LIQUID FILLED ORAL 20 mg</t>
        </is>
      </c>
      <c r="C1787" s="25">
        <f>IF(COUNTIF('کدهای پیام‌داروساز'!$A$2:$A$2442,A1787)&gt;0,"بله","خیر")</f>
        <v/>
      </c>
    </row>
    <row r="1788" ht="15" customHeight="1" s="14">
      <c r="A1788" s="24" t="n">
        <v>13291</v>
      </c>
      <c r="B1788" s="24" t="inlineStr">
        <is>
          <t>CEFTRIAXONE (AS SODIUM) INJECTION, POWDER, FOR SOLUTION PARENTERAL 2 g</t>
        </is>
      </c>
      <c r="C1788" s="25">
        <f>IF(COUNTIF('کدهای پیام‌داروساز'!$A$2:$A$2442,A1788)&gt;0,"بله","خیر")</f>
        <v/>
      </c>
    </row>
    <row r="1789" ht="15" customHeight="1" s="14">
      <c r="A1789" s="24" t="n">
        <v>13323</v>
      </c>
      <c r="B1789" s="24" t="inlineStr">
        <is>
          <t>ISONIAZID / RIFAMPICIN TABLET ORAL 75 mg/150 mg</t>
        </is>
      </c>
      <c r="C1789" s="25">
        <f>IF(COUNTIF('کدهای پیام‌داروساز'!$A$2:$A$2442,A1789)&gt;0,"بله","خیر")</f>
        <v/>
      </c>
    </row>
    <row r="1790" ht="15" customHeight="1" s="14">
      <c r="A1790" s="24" t="n">
        <v>13345</v>
      </c>
      <c r="B1790" s="24" t="inlineStr">
        <is>
          <t>ETHAMBUTOL / ISONIAZID / PYRAZINAMIDE / RIFAMPICIN TABLET ORAL 275 mg/75 mg/400 mg/150 mg</t>
        </is>
      </c>
      <c r="C1790" s="25">
        <f>IF(COUNTIF('کدهای پیام‌داروساز'!$A$2:$A$2442,A1790)&gt;0,"بله","خیر")</f>
        <v/>
      </c>
    </row>
    <row r="1791" ht="15" customHeight="1" s="14">
      <c r="A1791" s="24" t="n">
        <v>13413</v>
      </c>
      <c r="B1791" s="24" t="inlineStr">
        <is>
          <t>IOPAMIDOL INJECTION PARENTERAL 370 mg/1mL 20 mL</t>
        </is>
      </c>
      <c r="C1791" s="25">
        <f>IF(COUNTIF('کدهای پیام‌داروساز'!$A$2:$A$2442,A1791)&gt;0,"بله","خیر")</f>
        <v/>
      </c>
    </row>
    <row r="1792" ht="15" customHeight="1" s="14">
      <c r="A1792" s="24" t="n">
        <v>13416</v>
      </c>
      <c r="B1792" s="24" t="inlineStr">
        <is>
          <t>IOPAMIDOL INJECTION PARENTERAL 300 mg/1mL 20 mL</t>
        </is>
      </c>
      <c r="C1792" s="25">
        <f>IF(COUNTIF('کدهای پیام‌داروساز'!$A$2:$A$2442,A1792)&gt;0,"بله","خیر")</f>
        <v/>
      </c>
    </row>
    <row r="1793" ht="15" customHeight="1" s="14">
      <c r="A1793" s="24" t="n">
        <v>13425</v>
      </c>
      <c r="B1793" s="24" t="inlineStr">
        <is>
          <t>ALISKIREN HEMIFUMARATE TABLET ORAL 300 mg</t>
        </is>
      </c>
      <c r="C1793" s="25">
        <f>IF(COUNTIF('کدهای پیام‌داروساز'!$A$2:$A$2442,A1793)&gt;0,"بله","خیر")</f>
        <v/>
      </c>
    </row>
    <row r="1794" ht="15" customHeight="1" s="14">
      <c r="A1794" s="24" t="n">
        <v>13434</v>
      </c>
      <c r="B1794" s="24" t="inlineStr">
        <is>
          <t>APREPITANT CAPSULE ORAL 125 mg</t>
        </is>
      </c>
      <c r="C1794" s="25">
        <f>IF(COUNTIF('کدهای پیام‌داروساز'!$A$2:$A$2442,A1794)&gt;0,"بله","خیر")</f>
        <v/>
      </c>
    </row>
    <row r="1795" ht="15" customHeight="1" s="14">
      <c r="A1795" s="24" t="n">
        <v>13435</v>
      </c>
      <c r="B1795" s="24" t="inlineStr">
        <is>
          <t>APREPITANT CAPSULE ORAL 80 mg</t>
        </is>
      </c>
      <c r="C1795" s="25">
        <f>IF(COUNTIF('کدهای پیام‌داروساز'!$A$2:$A$2442,A1795)&gt;0,"بله","خیر")</f>
        <v/>
      </c>
    </row>
    <row r="1796" ht="15" customHeight="1" s="14">
      <c r="A1796" s="24" t="n">
        <v>13524</v>
      </c>
      <c r="B1796" s="24" t="inlineStr">
        <is>
          <t>TENOFOVIR DISOPROXIL FUMARATE TABLET ORAL 300 mg</t>
        </is>
      </c>
      <c r="C1796" s="25">
        <f>IF(COUNTIF('کدهای پیام‌داروساز'!$A$2:$A$2442,A1796)&gt;0,"بله","خیر")</f>
        <v/>
      </c>
    </row>
    <row r="1797" ht="15" customHeight="1" s="14">
      <c r="A1797" s="24" t="n">
        <v>13536</v>
      </c>
      <c r="B1797" s="24" t="inlineStr">
        <is>
          <t>IMIGLUCERASE INJECTION, POWDER, FOR SOLUTION PARENTERAL 400 [iU]</t>
        </is>
      </c>
      <c r="C1797" s="25">
        <f>IF(COUNTIF('کدهای پیام‌داروساز'!$A$2:$A$2442,A1797)&gt;0,"بله","خیر")</f>
        <v/>
      </c>
    </row>
    <row r="1798" ht="15" customHeight="1" s="14">
      <c r="A1798" s="24" t="n">
        <v>13571</v>
      </c>
      <c r="B1798" s="24" t="inlineStr">
        <is>
          <t>CINACALCET (AS HYDROCHLORIDE) TABLET ORAL 60 mg</t>
        </is>
      </c>
      <c r="C1798" s="25">
        <f>IF(COUNTIF('کدهای پیام‌داروساز'!$A$2:$A$2442,A1798)&gt;0,"بله","خیر")</f>
        <v/>
      </c>
    </row>
    <row r="1799" ht="15" customHeight="1" s="14">
      <c r="A1799" s="24" t="n">
        <v>13573</v>
      </c>
      <c r="B1799" s="24" t="inlineStr">
        <is>
          <t>KETOROLAC TROMETAMOL TABLET ORAL 10 mg</t>
        </is>
      </c>
      <c r="C1799" s="25">
        <f>IF(COUNTIF('کدهای پیام‌داروساز'!$A$2:$A$2442,A1799)&gt;0,"بله","خیر")</f>
        <v/>
      </c>
    </row>
    <row r="1800" ht="15" customHeight="1" s="14">
      <c r="A1800" s="24" t="n">
        <v>13583</v>
      </c>
      <c r="B1800" s="24" t="inlineStr">
        <is>
          <t>DABIGATRAN ETEXILATE (AS MESYLATE) CAPSULE ORAL 110 mg</t>
        </is>
      </c>
      <c r="C1800" s="25">
        <f>IF(COUNTIF('کدهای پیام‌داروساز'!$A$2:$A$2442,A1800)&gt;0,"بله","خیر")</f>
        <v/>
      </c>
    </row>
    <row r="1801" ht="15" customHeight="1" s="14">
      <c r="A1801" s="24" t="n">
        <v>13584</v>
      </c>
      <c r="B1801" s="24" t="inlineStr">
        <is>
          <t>DABIGATRAN ETEXILATE (AS MESYLATE) CAPSULE ORAL 75 mg</t>
        </is>
      </c>
      <c r="C1801" s="25">
        <f>IF(COUNTIF('کدهای پیام‌داروساز'!$A$2:$A$2442,A1801)&gt;0,"بله","خیر")</f>
        <v/>
      </c>
    </row>
    <row r="1802" ht="15" customHeight="1" s="14">
      <c r="A1802" s="24" t="n">
        <v>13610</v>
      </c>
      <c r="B1802" s="24" t="inlineStr">
        <is>
          <t>CINACALCET (AS HYDROCHLORIDE) TABLET ORAL 90 mg</t>
        </is>
      </c>
      <c r="C1802" s="25">
        <f>IF(COUNTIF('کدهای پیام‌داروساز'!$A$2:$A$2442,A1802)&gt;0,"بله","خیر")</f>
        <v/>
      </c>
    </row>
    <row r="1803" ht="15" customHeight="1" s="14">
      <c r="A1803" s="24" t="n">
        <v>13616</v>
      </c>
      <c r="B1803" s="24" t="inlineStr">
        <is>
          <t>DIMETHICONE LOTION TOPICAL 4 % 60 mL</t>
        </is>
      </c>
      <c r="C1803" s="25">
        <f>IF(COUNTIF('کدهای پیام‌داروساز'!$A$2:$A$2442,A1803)&gt;0,"بله","خیر")</f>
        <v/>
      </c>
    </row>
    <row r="1804" ht="15" customHeight="1" s="14">
      <c r="A1804" s="24" t="n">
        <v>13706</v>
      </c>
      <c r="B1804" s="24" t="inlineStr">
        <is>
          <t>ACETAMINOPHEN CAPSULE, GELATIN COATED ORAL 500 mg</t>
        </is>
      </c>
      <c r="C1804" s="25">
        <f>IF(COUNTIF('کدهای پیام‌داروساز'!$A$2:$A$2442,A1804)&gt;0,"بله","خیر")</f>
        <v/>
      </c>
    </row>
    <row r="1805" ht="15" customHeight="1" s="14">
      <c r="A1805" s="24" t="n">
        <v>13708</v>
      </c>
      <c r="B1805" s="24" t="inlineStr">
        <is>
          <t>ACETAMINOPHEN CAPSULE, LIQUID FILLED ORAL 325 mg</t>
        </is>
      </c>
      <c r="C1805" s="25">
        <f>IF(COUNTIF('کدهای پیام‌داروساز'!$A$2:$A$2442,A1805)&gt;0,"بله","خیر")</f>
        <v/>
      </c>
    </row>
    <row r="1806" ht="15" customHeight="1" s="14">
      <c r="A1806" s="24" t="n">
        <v>13710</v>
      </c>
      <c r="B1806" s="24" t="inlineStr">
        <is>
          <t>ADULT COLD PREPARATIONS (4-11) CAPSULE, LIQUID FILLED ORAL 325 mg/2 mg/5 mg</t>
        </is>
      </c>
      <c r="C1806" s="25">
        <f>IF(COUNTIF('کدهای پیام‌داروساز'!$A$2:$A$2442,A1806)&gt;0,"بله","خیر")</f>
        <v/>
      </c>
    </row>
    <row r="1807" ht="15" customHeight="1" s="14">
      <c r="A1807" s="24" t="n">
        <v>13743</v>
      </c>
      <c r="B1807" s="24" t="inlineStr">
        <is>
          <t>LAMIVUDINE / ZIDOVUDINE TABLET ORAL 150 mg/300 mg</t>
        </is>
      </c>
      <c r="C1807" s="25">
        <f>IF(COUNTIF('کدهای پیام‌داروساز'!$A$2:$A$2442,A1807)&gt;0,"بله","خیر")</f>
        <v/>
      </c>
    </row>
    <row r="1808" ht="15" customHeight="1" s="14">
      <c r="A1808" s="24" t="n">
        <v>13800</v>
      </c>
      <c r="B1808" s="24" t="inlineStr">
        <is>
          <t>SALICYLIC ACID COMPOUND SOLUTION TOPICAL 16.7 %/16.7 % 18 mL</t>
        </is>
      </c>
      <c r="C1808" s="25">
        <f>IF(COUNTIF('کدهای پیام‌داروساز'!$A$2:$A$2442,A1808)&gt;0,"بله","خیر")</f>
        <v/>
      </c>
    </row>
    <row r="1809" ht="15" customHeight="1" s="14">
      <c r="A1809" s="24" t="n">
        <v>13803</v>
      </c>
      <c r="B1809" s="24" t="inlineStr">
        <is>
          <t>CLOTRIMAZOLE SUPPOSITORY VAGINAL 100 mg</t>
        </is>
      </c>
      <c r="C1809" s="25">
        <f>IF(COUNTIF('کدهای پیام‌داروساز'!$A$2:$A$2442,A1809)&gt;0,"بله","خیر")</f>
        <v/>
      </c>
    </row>
    <row r="1810" ht="15" customHeight="1" s="14">
      <c r="A1810" s="24" t="n">
        <v>13830</v>
      </c>
      <c r="B1810" s="24" t="inlineStr">
        <is>
          <t>CARBOPLATIN INJECTION, SOLUTION, CONCENTRATE INTRAVENOUS 10 mg/1mL 45 mL</t>
        </is>
      </c>
      <c r="C1810" s="25">
        <f>IF(COUNTIF('کدهای پیام‌داروساز'!$A$2:$A$2442,A1810)&gt;0,"بله","خیر")</f>
        <v/>
      </c>
    </row>
    <row r="1811" ht="15" customHeight="1" s="14">
      <c r="A1811" s="24" t="n">
        <v>13873</v>
      </c>
      <c r="B1811" s="24" t="inlineStr">
        <is>
          <t>VENLAFAXINE CAPSULE, EXTENDED RELEASE ORAL 75 mg</t>
        </is>
      </c>
      <c r="C1811" s="25">
        <f>IF(COUNTIF('کدهای پیام‌داروساز'!$A$2:$A$2442,A1811)&gt;0,"بله","خیر")</f>
        <v/>
      </c>
    </row>
    <row r="1812" ht="15" customHeight="1" s="14">
      <c r="A1812" s="24" t="n">
        <v>13879</v>
      </c>
      <c r="B1812" s="24" t="inlineStr">
        <is>
          <t>PACLITAXEL (ALBUMIN BAND) NANO INJECTION, POWDER, FOR SUSPENSION PARENTERAL 100 mg</t>
        </is>
      </c>
      <c r="C1812" s="25">
        <f>IF(COUNTIF('کدهای پیام‌داروساز'!$A$2:$A$2442,A1812)&gt;0,"بله","خیر")</f>
        <v/>
      </c>
    </row>
    <row r="1813" ht="15" customHeight="1" s="14">
      <c r="A1813" s="24" t="n">
        <v>13898</v>
      </c>
      <c r="B1813" s="24" t="inlineStr">
        <is>
          <t>OXYMETAZOLINE HYDROCHLORIDE SPRAY NASAL 0.05 % 20 mL</t>
        </is>
      </c>
      <c r="C1813" s="25">
        <f>IF(COUNTIF('کدهای پیام‌داروساز'!$A$2:$A$2442,A1813)&gt;0,"بله","خیر")</f>
        <v/>
      </c>
    </row>
    <row r="1814" ht="15" customHeight="1" s="14">
      <c r="A1814" s="24" t="n">
        <v>13919</v>
      </c>
      <c r="B1814" s="24" t="inlineStr">
        <is>
          <t>LISINOPRIL / HYDROCHLOROTHIAZIDE TABLET ORAL 20 mg/25 mg</t>
        </is>
      </c>
      <c r="C1814" s="25">
        <f>IF(COUNTIF('کدهای پیام‌داروساز'!$A$2:$A$2442,A1814)&gt;0,"بله","خیر")</f>
        <v/>
      </c>
    </row>
    <row r="1815" ht="15" customHeight="1" s="14">
      <c r="A1815" s="24" t="n">
        <v>13923</v>
      </c>
      <c r="B1815" s="24" t="inlineStr">
        <is>
          <t>CETIRIZINE HYDROCHLORIDE CAPSULE, LIQUID FILLED ORAL 10 mg</t>
        </is>
      </c>
      <c r="C1815" s="25">
        <f>IF(COUNTIF('کدهای پیام‌داروساز'!$A$2:$A$2442,A1815)&gt;0,"بله","خیر")</f>
        <v/>
      </c>
    </row>
    <row r="1816" ht="15" customHeight="1" s="14">
      <c r="A1816" s="24" t="n">
        <v>13930</v>
      </c>
      <c r="B1816" s="24" t="inlineStr">
        <is>
          <t>HEPATITIS B IMMUNE GLOBULIN INJECTION PARENTERAL 200 [iU]/1mL 5 mL</t>
        </is>
      </c>
      <c r="C1816" s="25">
        <f>IF(COUNTIF('کدهای پیام‌داروساز'!$A$2:$A$2442,A1816)&gt;0,"بله","خیر")</f>
        <v/>
      </c>
    </row>
    <row r="1817" ht="15" customHeight="1" s="14">
      <c r="A1817" s="24" t="n">
        <v>13935</v>
      </c>
      <c r="B1817" s="24" t="inlineStr">
        <is>
          <t>TRABECTEDIN INJECTION, POWDER, FOR SOLUTION PARENTERAL 1 mg</t>
        </is>
      </c>
      <c r="C1817" s="25">
        <f>IF(COUNTIF('کدهای پیام‌داروساز'!$A$2:$A$2442,A1817)&gt;0,"بله","خیر")</f>
        <v/>
      </c>
    </row>
    <row r="1818" ht="15" customHeight="1" s="14">
      <c r="A1818" s="24" t="n">
        <v>13957</v>
      </c>
      <c r="B1818" s="24" t="inlineStr">
        <is>
          <t>ACETYLCYSTEINE POWDER ORAL 600 mg</t>
        </is>
      </c>
      <c r="C1818" s="25">
        <f>IF(COUNTIF('کدهای پیام‌داروساز'!$A$2:$A$2442,A1818)&gt;0,"بله","خیر")</f>
        <v/>
      </c>
    </row>
    <row r="1819" ht="15" customHeight="1" s="14">
      <c r="A1819" s="24" t="n">
        <v>13973</v>
      </c>
      <c r="B1819" s="24" t="inlineStr">
        <is>
          <t>ESOMEPRAZOLE CAPSULE, DELAYED RELEASE ORAL 20 mg</t>
        </is>
      </c>
      <c r="C1819" s="25">
        <f>IF(COUNTIF('کدهای پیام‌داروساز'!$A$2:$A$2442,A1819)&gt;0,"بله","خیر")</f>
        <v/>
      </c>
    </row>
    <row r="1820" ht="15" customHeight="1" s="14">
      <c r="A1820" s="24" t="n">
        <v>13974</v>
      </c>
      <c r="B1820" s="24" t="inlineStr">
        <is>
          <t>ESOMEPRAZOLE CAPSULE, DELAYED RELEASE ORAL 40 mg</t>
        </is>
      </c>
      <c r="C1820" s="25">
        <f>IF(COUNTIF('کدهای پیام‌داروساز'!$A$2:$A$2442,A1820)&gt;0,"بله","خیر")</f>
        <v/>
      </c>
    </row>
    <row r="1821" ht="15" customHeight="1" s="14">
      <c r="A1821" s="24" t="n">
        <v>13980</v>
      </c>
      <c r="B1821" s="24" t="inlineStr">
        <is>
          <t>RANOLAZINE TABLET, EXTENDED RELEASE ORAL 500 mg</t>
        </is>
      </c>
      <c r="C1821" s="25">
        <f>IF(COUNTIF('کدهای پیام‌داروساز'!$A$2:$A$2442,A1821)&gt;0,"بله","خیر")</f>
        <v/>
      </c>
    </row>
    <row r="1822" ht="15" customHeight="1" s="14">
      <c r="A1822" s="24" t="n">
        <v>13992</v>
      </c>
      <c r="B1822" s="24" t="inlineStr">
        <is>
          <t>RIFAXIMIN TABLET ORAL 200 mg</t>
        </is>
      </c>
      <c r="C1822" s="25">
        <f>IF(COUNTIF('کدهای پیام‌داروساز'!$A$2:$A$2442,A1822)&gt;0,"بله","خیر")</f>
        <v/>
      </c>
    </row>
    <row r="1823" ht="15" customHeight="1" s="14">
      <c r="A1823" s="24" t="n">
        <v>14000</v>
      </c>
      <c r="B1823" s="24" t="inlineStr">
        <is>
          <t>CAFFEINE (AS CITRATE) INJECTION, SOLUTION PARENTERAL 10 mg/1mL 3 mL</t>
        </is>
      </c>
      <c r="C1823" s="25">
        <f>IF(COUNTIF('کدهای پیام‌داروساز'!$A$2:$A$2442,A1823)&gt;0,"بله","خیر")</f>
        <v/>
      </c>
    </row>
    <row r="1824" ht="15" customHeight="1" s="14">
      <c r="A1824" s="24" t="n">
        <v>14051</v>
      </c>
      <c r="B1824" s="24" t="inlineStr">
        <is>
          <t>RABIES VACCINE INJECTION, POWDER, FOR SUSPENSION PARENTERAL 2.5 [iU] 0.5 mL</t>
        </is>
      </c>
      <c r="C1824" s="25">
        <f>IF(COUNTIF('کدهای پیام‌داروساز'!$A$2:$A$2442,A1824)&gt;0,"بله","خیر")</f>
        <v/>
      </c>
    </row>
    <row r="1825" ht="15" customHeight="1" s="14">
      <c r="A1825" s="24" t="n">
        <v>14083</v>
      </c>
      <c r="B1825" s="24" t="inlineStr">
        <is>
          <t>ABCIXIMAB INJECTION PARENTERAL 2 mg/1mL 5 mL</t>
        </is>
      </c>
      <c r="C1825" s="25">
        <f>IF(COUNTIF('کدهای پیام‌داروساز'!$A$2:$A$2442,A1825)&gt;0,"بله","خیر")</f>
        <v/>
      </c>
    </row>
    <row r="1826" ht="15" customHeight="1" s="14">
      <c r="A1826" s="24" t="n">
        <v>14098</v>
      </c>
      <c r="B1826" s="24" t="inlineStr">
        <is>
          <t>PEMETREXED (AS DISODIUM) INJECTION, POWDER, LYOPHILIZED, FOR SOLUTION PARENTERAL 100 mg</t>
        </is>
      </c>
      <c r="C1826" s="25">
        <f>IF(COUNTIF('کدهای پیام‌داروساز'!$A$2:$A$2442,A1826)&gt;0,"بله","خیر")</f>
        <v/>
      </c>
    </row>
    <row r="1827" ht="15" customHeight="1" s="14">
      <c r="A1827" s="24" t="n">
        <v>14109</v>
      </c>
      <c r="B1827" s="24" t="inlineStr">
        <is>
          <t>PHOSPHATE (ORGANIC) INJECTION PARENTERAL 216 mg/1mL 20 mL</t>
        </is>
      </c>
      <c r="C1827" s="25">
        <f>IF(COUNTIF('کدهای پیام‌داروساز'!$A$2:$A$2442,A1827)&gt;0,"بله","خیر")</f>
        <v/>
      </c>
    </row>
    <row r="1828" ht="15" customHeight="1" s="14">
      <c r="A1828" s="24" t="n">
        <v>14111</v>
      </c>
      <c r="B1828" s="24" t="inlineStr">
        <is>
          <t>TRACE METAL COMBINATION (3) INJECTION PARENTERAL 521 ug/53.7 ug/3.6 ug/6.66 ug/126 ug/1.31 ug/1mL 10 mL</t>
        </is>
      </c>
      <c r="C1828" s="25">
        <f>IF(COUNTIF('کدهای پیام‌داروساز'!$A$2:$A$2442,A1828)&gt;0,"بله","خیر")</f>
        <v/>
      </c>
    </row>
    <row r="1829" ht="15" customHeight="1" s="14">
      <c r="A1829" s="24" t="n">
        <v>14113</v>
      </c>
      <c r="B1829" s="24" t="inlineStr">
        <is>
          <t>TRACE METAL COMBINATION (2-1) INJECTION PARENTERAL 5.33 ug/0.34 mg/0.54 mg/99 ug/16.6 ug/0.21 mg/4.85 ug/6.9 ug/1.36 mg/1mL 10 mL</t>
        </is>
      </c>
      <c r="C1829" s="25">
        <f>IF(COUNTIF('کدهای پیام‌داروساز'!$A$2:$A$2442,A1829)&gt;0,"بله","خیر")</f>
        <v/>
      </c>
    </row>
    <row r="1830" ht="15" customHeight="1" s="14">
      <c r="A1830" s="24" t="n">
        <v>14115</v>
      </c>
      <c r="B1830" s="24" t="inlineStr">
        <is>
          <t>AMINO ACID 10% (2) INJECTION, SOLUTION INTRAVENOUS 5 mg/8.9 mg/5.74 mg/3.12 mg/4.4 mg/4.7 mg/4.2 mg/1.6 mg/6.2 mg/11.5 mg/3 mg/10.5 mg/12 mg/5.6 mg/7.2 mg/5.5 mg/2.3 mg/0.4 mg/1mL 250 mL</t>
        </is>
      </c>
      <c r="C1830" s="25">
        <f>IF(COUNTIF('کدهای پیام‌داروساز'!$A$2:$A$2442,A1830)&gt;0,"بله","خیر")</f>
        <v/>
      </c>
    </row>
    <row r="1831" ht="15" customHeight="1" s="14">
      <c r="A1831" s="24" t="n">
        <v>14119</v>
      </c>
      <c r="B1831" s="24" t="inlineStr">
        <is>
          <t>ARTICAINE / EPINEPHRINE INJECTION PARENTERAL 4 %/0.001 %/1 mL 1.8 mL</t>
        </is>
      </c>
      <c r="C1831" s="25">
        <f>IF(COUNTIF('کدهای پیام‌داروساز'!$A$2:$A$2442,A1831)&gt;0,"بله","خیر")</f>
        <v/>
      </c>
    </row>
    <row r="1832" ht="15" customHeight="1" s="14">
      <c r="A1832" s="24" t="n">
        <v>14120</v>
      </c>
      <c r="B1832" s="24" t="inlineStr">
        <is>
          <t>ARTICAINE / EPINEPHRINE INJECTION PARENTERAL 4 %/0.0005 %/1 mL 1.8 mL</t>
        </is>
      </c>
      <c r="C1832" s="25">
        <f>IF(COUNTIF('کدهای پیام‌داروساز'!$A$2:$A$2442,A1832)&gt;0,"بله","خیر")</f>
        <v/>
      </c>
    </row>
    <row r="1833" ht="15" customHeight="1" s="14">
      <c r="A1833" s="24" t="n">
        <v>14155</v>
      </c>
      <c r="B1833" s="24" t="inlineStr">
        <is>
          <t>STIRIPENTOL CAPSULE ORAL 250 mg</t>
        </is>
      </c>
      <c r="C1833" s="25">
        <f>IF(COUNTIF('کدهای پیام‌داروساز'!$A$2:$A$2442,A1833)&gt;0,"بله","خیر")</f>
        <v/>
      </c>
    </row>
    <row r="1834" ht="15" customHeight="1" s="14">
      <c r="A1834" s="24" t="n">
        <v>14202</v>
      </c>
      <c r="B1834" s="24" t="inlineStr">
        <is>
          <t>MULTIVITAMIN INJECTION, POWDER, LYOPHILIZED, FOR SOLUTION PARENTERAL 0.25 mg/0.36 mg/0.4 mg/0.5 ug/4 mg/1.5 mg/6 ug/10 mg/40 ug/1mL 10 mL</t>
        </is>
      </c>
      <c r="C1834" s="25">
        <f>IF(COUNTIF('کدهای پیام‌داروساز'!$A$2:$A$2442,A1834)&gt;0,"بله","خیر")</f>
        <v/>
      </c>
    </row>
    <row r="1835" ht="15" customHeight="1" s="14">
      <c r="A1835" s="24" t="n">
        <v>14214</v>
      </c>
      <c r="B1835" s="24" t="inlineStr">
        <is>
          <t>LISINOPRIL / HYDROCHLOROTHIAZIDE TABLET ORAL 12.5 mg/10 mg</t>
        </is>
      </c>
      <c r="C1835" s="25">
        <f>IF(COUNTIF('کدهای پیام‌داروساز'!$A$2:$A$2442,A1835)&gt;0,"بله","خیر")</f>
        <v/>
      </c>
    </row>
    <row r="1836" ht="15" customHeight="1" s="14">
      <c r="A1836" s="24" t="n">
        <v>14254</v>
      </c>
      <c r="B1836" s="24" t="inlineStr">
        <is>
          <t>ACETAMINOPHEN INJECTION, SOLUTION INTRAVENOUS 10 mg/1mL 100 mL</t>
        </is>
      </c>
      <c r="C1836" s="25">
        <f>IF(COUNTIF('کدهای پیام‌داروساز'!$A$2:$A$2442,A1836)&gt;0,"بله","خیر")</f>
        <v/>
      </c>
    </row>
    <row r="1837" ht="15" customHeight="1" s="14">
      <c r="A1837" s="24" t="n">
        <v>14266</v>
      </c>
      <c r="B1837" s="24" t="inlineStr">
        <is>
          <t>MOXIFLOXACIN SOLUTION, DROPS OPHTHALMIC 0.5 % 5 mL</t>
        </is>
      </c>
      <c r="C1837" s="25">
        <f>IF(COUNTIF('کدهای پیام‌داروساز'!$A$2:$A$2442,A1837)&gt;0,"بله","خیر")</f>
        <v/>
      </c>
    </row>
    <row r="1838" ht="15" customHeight="1" s="14">
      <c r="A1838" s="24" t="n">
        <v>14399</v>
      </c>
      <c r="B1838" s="24" t="inlineStr">
        <is>
          <t>BARIUM SULFATE SUSPENSION ORAL 1 g/1mL 240 mL</t>
        </is>
      </c>
      <c r="C1838" s="25">
        <f>IF(COUNTIF('کدهای پیام‌داروساز'!$A$2:$A$2442,A1838)&gt;0,"بله","خیر")</f>
        <v/>
      </c>
    </row>
    <row r="1839" ht="15" customHeight="1" s="14">
      <c r="A1839" s="24" t="n">
        <v>14456</v>
      </c>
      <c r="B1839" s="24" t="inlineStr">
        <is>
          <t>FACTOR VIIA INJECTION, POWDER, LYOPHILIZED, FOR SOLUTION PARENTERAL 1 mg</t>
        </is>
      </c>
      <c r="C1839" s="25">
        <f>IF(COUNTIF('کدهای پیام‌داروساز'!$A$2:$A$2442,A1839)&gt;0,"بله","خیر")</f>
        <v/>
      </c>
    </row>
    <row r="1840" ht="15" customHeight="1" s="14">
      <c r="A1840" s="24" t="n">
        <v>14457</v>
      </c>
      <c r="B1840" s="24" t="inlineStr">
        <is>
          <t>FACTOR VIIA INJECTION, POWDER, LYOPHILIZED, FOR SOLUTION PARENTERAL 2 mg</t>
        </is>
      </c>
      <c r="C1840" s="25">
        <f>IF(COUNTIF('کدهای پیام‌داروساز'!$A$2:$A$2442,A1840)&gt;0,"بله","خیر")</f>
        <v/>
      </c>
    </row>
    <row r="1841" ht="15" customHeight="1" s="14">
      <c r="A1841" s="24" t="n">
        <v>14495</v>
      </c>
      <c r="B1841" s="24" t="inlineStr">
        <is>
          <t>ACETAMINOPHEN INJECTION, SOLUTION INTRAVENOUS 10 mg/1mL 50 mL</t>
        </is>
      </c>
      <c r="C1841" s="25">
        <f>IF(COUNTIF('کدهای پیام‌داروساز'!$A$2:$A$2442,A1841)&gt;0,"بله","خیر")</f>
        <v/>
      </c>
    </row>
    <row r="1842" ht="15" customHeight="1" s="14">
      <c r="A1842" s="24" t="n">
        <v>14528</v>
      </c>
      <c r="B1842" s="24" t="inlineStr">
        <is>
          <t>FLUOROURACIL INJECTION PARENTERAL 50 mg/1mL 10 mL</t>
        </is>
      </c>
      <c r="C1842" s="25">
        <f>IF(COUNTIF('کدهای پیام‌داروساز'!$A$2:$A$2442,A1842)&gt;0,"بله","خیر")</f>
        <v/>
      </c>
    </row>
    <row r="1843" ht="15" customHeight="1" s="14">
      <c r="A1843" s="24" t="n">
        <v>14530</v>
      </c>
      <c r="B1843" s="24" t="inlineStr">
        <is>
          <t>FLUOROURACIL INJECTION PARENTERAL 50 mg/1mL 20 mL</t>
        </is>
      </c>
      <c r="C1843" s="25">
        <f>IF(COUNTIF('کدهای پیام‌داروساز'!$A$2:$A$2442,A1843)&gt;0,"بله","خیر")</f>
        <v/>
      </c>
    </row>
    <row r="1844" ht="15" customHeight="1" s="14">
      <c r="A1844" s="24" t="n">
        <v>14532</v>
      </c>
      <c r="B1844" s="24" t="inlineStr">
        <is>
          <t>EPIRUBICIN HYDROCHLORIDE INJECTION, SOLUTION, CONCENTRATE PARENTERAL 2 mg/1mL 25 mL</t>
        </is>
      </c>
      <c r="C1844" s="25">
        <f>IF(COUNTIF('کدهای پیام‌داروساز'!$A$2:$A$2442,A1844)&gt;0,"بله","خیر")</f>
        <v/>
      </c>
    </row>
    <row r="1845" ht="15" customHeight="1" s="14">
      <c r="A1845" s="24" t="n">
        <v>14626</v>
      </c>
      <c r="B1845" s="24" t="inlineStr">
        <is>
          <t>RIFAMPICIN SYRUP ORAL 20 mg/1mL 200 mL</t>
        </is>
      </c>
      <c r="C1845" s="25">
        <f>IF(COUNTIF('کدهای پیام‌داروساز'!$A$2:$A$2442,A1845)&gt;0,"بله","خیر")</f>
        <v/>
      </c>
    </row>
    <row r="1846" ht="15" customHeight="1" s="14">
      <c r="A1846" s="24" t="n">
        <v>14659</v>
      </c>
      <c r="B1846" s="24" t="inlineStr">
        <is>
          <t>POLIOMYELITIS VACCINE INJECTION PARENTERAL 1 {dose}</t>
        </is>
      </c>
      <c r="C1846" s="25">
        <f>IF(COUNTIF('کدهای پیام‌داروساز'!$A$2:$A$2442,A1846)&gt;0,"بله","خیر")</f>
        <v/>
      </c>
    </row>
    <row r="1847" ht="15" customHeight="1" s="14">
      <c r="A1847" s="24" t="n">
        <v>14664</v>
      </c>
      <c r="B1847" s="24" t="inlineStr">
        <is>
          <t>FACTOR XIII INJECTION, POWDER, LYOPHILIZED, FOR SOLUTION PARENTERAL 250 [iU]</t>
        </is>
      </c>
      <c r="C1847" s="25">
        <f>IF(COUNTIF('کدهای پیام‌داروساز'!$A$2:$A$2442,A1847)&gt;0,"بله","خیر")</f>
        <v/>
      </c>
    </row>
    <row r="1848" ht="15" customHeight="1" s="14">
      <c r="A1848" s="24" t="n">
        <v>14710</v>
      </c>
      <c r="B1848" s="24" t="inlineStr">
        <is>
          <t>CALCITRIOL INJECTION PARENTERAL 1 ug/1mL</t>
        </is>
      </c>
      <c r="C1848" s="25">
        <f>IF(COUNTIF('کدهای پیام‌داروساز'!$A$2:$A$2442,A1848)&gt;0,"بله","خیر")</f>
        <v/>
      </c>
    </row>
    <row r="1849" ht="15" customHeight="1" s="14">
      <c r="A1849" s="24" t="n">
        <v>14735</v>
      </c>
      <c r="B1849" s="24" t="inlineStr">
        <is>
          <t>TRIPTORELIN (AS PAMOATE) INJECTION, POWDER, LYOPHILIZED, FOR SUSPENSION, EXTENDED RELEASE PARENTERAL 11.25 mg</t>
        </is>
      </c>
      <c r="C1849" s="25">
        <f>IF(COUNTIF('کدهای پیام‌داروساز'!$A$2:$A$2442,A1849)&gt;0,"بله","خیر")</f>
        <v/>
      </c>
    </row>
    <row r="1850" ht="15" customHeight="1" s="14">
      <c r="A1850" s="24" t="n">
        <v>14761</v>
      </c>
      <c r="B1850" s="24" t="inlineStr">
        <is>
          <t>ANTIHISTAMINE DECONGESTANT (1) CAPSULE, LIQUID FILLED ORAL 2 mg/30 mg</t>
        </is>
      </c>
      <c r="C1850" s="25">
        <f>IF(COUNTIF('کدهای پیام‌داروساز'!$A$2:$A$2442,A1850)&gt;0,"بله","خیر")</f>
        <v/>
      </c>
    </row>
    <row r="1851" ht="15" customHeight="1" s="14">
      <c r="A1851" s="24" t="n">
        <v>14860</v>
      </c>
      <c r="B1851" s="24" t="inlineStr">
        <is>
          <t>AMLODIPINE (AS BESILATE) / VALSARTAN TABLET ORAL 5 mg/160 mg</t>
        </is>
      </c>
      <c r="C1851" s="25">
        <f>IF(COUNTIF('کدهای پیام‌داروساز'!$A$2:$A$2442,A1851)&gt;0,"بله","خیر")</f>
        <v/>
      </c>
    </row>
    <row r="1852" ht="15" customHeight="1" s="14">
      <c r="A1852" s="24" t="n">
        <v>14870</v>
      </c>
      <c r="B1852" s="24" t="inlineStr">
        <is>
          <t>DROSPIRENONE / ETHINYLESTRADIOL TABLET ORAL 3 mg/0.02 mg</t>
        </is>
      </c>
      <c r="C1852" s="25">
        <f>IF(COUNTIF('کدهای پیام‌داروساز'!$A$2:$A$2442,A1852)&gt;0,"بله","خیر")</f>
        <v/>
      </c>
    </row>
    <row r="1853" ht="15" customHeight="1" s="14">
      <c r="A1853" s="24" t="n">
        <v>14887</v>
      </c>
      <c r="B1853" s="24" t="inlineStr">
        <is>
          <t>ERLOTINIB (AS HYDROCHLORIDE) TABLET ORAL 100 mg</t>
        </is>
      </c>
      <c r="C1853" s="25">
        <f>IF(COUNTIF('کدهای پیام‌داروساز'!$A$2:$A$2442,A1853)&gt;0,"بله","خیر")</f>
        <v/>
      </c>
    </row>
    <row r="1854" ht="15" customHeight="1" s="14">
      <c r="A1854" s="24" t="n">
        <v>15068</v>
      </c>
      <c r="B1854" s="24" t="inlineStr">
        <is>
          <t>SALBUTAMOL (AS SULFATE) SPRAY, METERED RESPIRATORY 100 ug/1{dose} 200 {dose}</t>
        </is>
      </c>
      <c r="C1854" s="25">
        <f>IF(COUNTIF('کدهای پیام‌داروساز'!$A$2:$A$2442,A1854)&gt;0,"بله","خیر")</f>
        <v/>
      </c>
    </row>
    <row r="1855" ht="15" customHeight="1" s="14">
      <c r="A1855" s="24" t="n">
        <v>15142</v>
      </c>
      <c r="B1855" s="24" t="inlineStr">
        <is>
          <t>CLINDAMYCIN (AS PHOSPHATE) SUPPOSITORY VAGINAL 100 mg</t>
        </is>
      </c>
      <c r="C1855" s="25">
        <f>IF(COUNTIF('کدهای پیام‌داروساز'!$A$2:$A$2442,A1855)&gt;0,"بله","خیر")</f>
        <v/>
      </c>
    </row>
    <row r="1856" ht="15" customHeight="1" s="14">
      <c r="A1856" s="24" t="n">
        <v>15157</v>
      </c>
      <c r="B1856" s="24" t="inlineStr">
        <is>
          <t>TOCILIZUMAB INJECTION, SOLUTION, CONCENTRATE PARENTERAL 20 mg/1mL 20 mL</t>
        </is>
      </c>
      <c r="C1856" s="25">
        <f>IF(COUNTIF('کدهای پیام‌داروساز'!$A$2:$A$2442,A1856)&gt;0,"بله","خیر")</f>
        <v/>
      </c>
    </row>
    <row r="1857" ht="15" customHeight="1" s="14">
      <c r="A1857" s="24" t="n">
        <v>15281</v>
      </c>
      <c r="B1857" s="24" t="inlineStr">
        <is>
          <t>INDOCYANINE GREEN INJECTION, POWDER, FOR SOLUTION PARENTERAL 25 mg</t>
        </is>
      </c>
      <c r="C1857" s="25">
        <f>IF(COUNTIF('کدهای پیام‌داروساز'!$A$2:$A$2442,A1857)&gt;0,"بله","خیر")</f>
        <v/>
      </c>
    </row>
    <row r="1858" ht="15" customHeight="1" s="14">
      <c r="A1858" s="24" t="n">
        <v>15311</v>
      </c>
      <c r="B1858" s="24" t="inlineStr">
        <is>
          <t>PREGABALIN CAPSULE ORAL 225 mg</t>
        </is>
      </c>
      <c r="C1858" s="25">
        <f>IF(COUNTIF('کدهای پیام‌داروساز'!$A$2:$A$2442,A1858)&gt;0,"بله","خیر")</f>
        <v/>
      </c>
    </row>
    <row r="1859" ht="15" customHeight="1" s="14">
      <c r="A1859" s="24" t="n">
        <v>15449</v>
      </c>
      <c r="B1859" s="24" t="inlineStr">
        <is>
          <t>MIDODRINE HYDROCHLORIDE TABLET ORAL 5 mg</t>
        </is>
      </c>
      <c r="C1859" s="25">
        <f>IF(COUNTIF('کدهای پیام‌داروساز'!$A$2:$A$2442,A1859)&gt;0,"بله","خیر")</f>
        <v/>
      </c>
    </row>
    <row r="1860" ht="15" customHeight="1" s="14">
      <c r="A1860" s="24" t="n">
        <v>15465</v>
      </c>
      <c r="B1860" s="24" t="inlineStr">
        <is>
          <t>ADULT COLD PREPARATIONS (1-3) CAPSULE, LIQUID FILLED ORAL 200 mg/5 mg</t>
        </is>
      </c>
      <c r="C1860" s="25">
        <f>IF(COUNTIF('کدهای پیام‌داروساز'!$A$2:$A$2442,A1860)&gt;0,"بله","خیر")</f>
        <v/>
      </c>
    </row>
    <row r="1861" ht="15" customHeight="1" s="14">
      <c r="A1861" s="24" t="n">
        <v>15467</v>
      </c>
      <c r="B1861" s="24" t="inlineStr">
        <is>
          <t>SERTACONAZOLE NITRATE CREAM TOPICAL 2 % 15 g</t>
        </is>
      </c>
      <c r="C1861" s="25">
        <f>IF(COUNTIF('کدهای پیام‌داروساز'!$A$2:$A$2442,A1861)&gt;0,"بله","خیر")</f>
        <v/>
      </c>
    </row>
    <row r="1862" ht="15" customHeight="1" s="14">
      <c r="A1862" s="24" t="n">
        <v>15478</v>
      </c>
      <c r="B1862" s="24" t="inlineStr">
        <is>
          <t>SITAGLIPTIN (AS PHOSPHATE) / METFORMIN HYDROCHLORIDE TABLET ORAL 50 mg/1000 mg</t>
        </is>
      </c>
      <c r="C1862" s="25">
        <f>IF(COUNTIF('کدهای پیام‌داروساز'!$A$2:$A$2442,A1862)&gt;0,"بله","خیر")</f>
        <v/>
      </c>
    </row>
    <row r="1863" ht="15" customHeight="1" s="14">
      <c r="A1863" s="24" t="n">
        <v>15522</v>
      </c>
      <c r="B1863" s="24" t="inlineStr">
        <is>
          <t>AMLODIPINE (AS BESILATE) / ATORVASTATIN (AS CALCIUM) TABLET ORAL 10 mg/10 mg</t>
        </is>
      </c>
      <c r="C1863" s="25">
        <f>IF(COUNTIF('کدهای پیام‌داروساز'!$A$2:$A$2442,A1863)&gt;0,"بله","خیر")</f>
        <v/>
      </c>
    </row>
    <row r="1864" ht="15" customHeight="1" s="14">
      <c r="A1864" s="24" t="n">
        <v>15544</v>
      </c>
      <c r="B1864" s="24" t="inlineStr">
        <is>
          <t>OPHTHALMIC BATH-1 SOLUTION OPHTHALMIC 1610 mg/100 mL 60 mL</t>
        </is>
      </c>
      <c r="C1864" s="25">
        <f>IF(COUNTIF('کدهای پیام‌داروساز'!$A$2:$A$2442,A1864)&gt;0,"بله","خیر")</f>
        <v/>
      </c>
    </row>
    <row r="1865" ht="15" customHeight="1" s="14">
      <c r="A1865" s="24" t="n">
        <v>15589</v>
      </c>
      <c r="B1865" s="24" t="inlineStr">
        <is>
          <t>SUMATRIPTAN (AS SUCCINATE) / NAPROXEN TABLET ORAL 85 mg/500 mg</t>
        </is>
      </c>
      <c r="C1865" s="25">
        <f>IF(COUNTIF('کدهای پیام‌داروساز'!$A$2:$A$2442,A1865)&gt;0,"بله","خیر")</f>
        <v/>
      </c>
    </row>
    <row r="1866" ht="15" customHeight="1" s="14">
      <c r="A1866" s="24" t="n">
        <v>15618</v>
      </c>
      <c r="B1866" s="24" t="inlineStr">
        <is>
          <t>QUETIAPINE (AS FUMARATE) TABLET ORAL 150 mg</t>
        </is>
      </c>
      <c r="C1866" s="25">
        <f>IF(COUNTIF('کدهای پیام‌داروساز'!$A$2:$A$2442,A1866)&gt;0,"بله","خیر")</f>
        <v/>
      </c>
    </row>
    <row r="1867" ht="15" customHeight="1" s="14">
      <c r="A1867" s="24" t="n">
        <v>15666</v>
      </c>
      <c r="B1867" s="24" t="inlineStr">
        <is>
          <t>TRIPTORELIN (AS ACETATE) INJECTION PARENTERAL 95.6 ug</t>
        </is>
      </c>
      <c r="C1867" s="25">
        <f>IF(COUNTIF('کدهای پیام‌داروساز'!$A$2:$A$2442,A1867)&gt;0,"بله","خیر")</f>
        <v/>
      </c>
    </row>
    <row r="1868" ht="15" customHeight="1" s="14">
      <c r="A1868" s="24" t="n">
        <v>15691</v>
      </c>
      <c r="B1868" s="24" t="inlineStr">
        <is>
          <t>CETUXIMAB INJECTION PARENTERAL 5 mg/1mL 20 mL</t>
        </is>
      </c>
      <c r="C1868" s="25">
        <f>IF(COUNTIF('کدهای پیام‌داروساز'!$A$2:$A$2442,A1868)&gt;0,"بله","خیر")</f>
        <v/>
      </c>
    </row>
    <row r="1869" ht="15" customHeight="1" s="14">
      <c r="A1869" s="24" t="n">
        <v>15754</v>
      </c>
      <c r="B1869" s="24" t="inlineStr">
        <is>
          <t>SITAGLIPTIN (AS PHOSPHATE) / METFORMIN HYDROCHLORIDE TABLET ORAL 50 mg/500 mg</t>
        </is>
      </c>
      <c r="C1869" s="25">
        <f>IF(COUNTIF('کدهای پیام‌داروساز'!$A$2:$A$2442,A1869)&gt;0,"بله","خیر")</f>
        <v/>
      </c>
    </row>
    <row r="1870" ht="15" customHeight="1" s="14">
      <c r="A1870" s="24" t="n">
        <v>15846</v>
      </c>
      <c r="B1870" s="24" t="inlineStr">
        <is>
          <t>STREPTOKINASE INJECTION, POWDER, FOR SOLUTION PARENTERAL 1500000 [iU]</t>
        </is>
      </c>
      <c r="C1870" s="25">
        <f>IF(COUNTIF('کدهای پیام‌داروساز'!$A$2:$A$2442,A1870)&gt;0,"بله","خیر")</f>
        <v/>
      </c>
    </row>
    <row r="1871" ht="15" customHeight="1" s="14">
      <c r="A1871" s="24" t="n">
        <v>15856</v>
      </c>
      <c r="B1871" s="24" t="inlineStr">
        <is>
          <t>AMLODIPINE (AS BESILATE) / VALSARTAN TABLET ORAL 10 mg/160 mg</t>
        </is>
      </c>
      <c r="C1871" s="25">
        <f>IF(COUNTIF('کدهای پیام‌داروساز'!$A$2:$A$2442,A1871)&gt;0,"بله","خیر")</f>
        <v/>
      </c>
    </row>
    <row r="1872" ht="15" customHeight="1" s="14">
      <c r="A1872" s="24" t="n">
        <v>15893</v>
      </c>
      <c r="B1872" s="24" t="inlineStr">
        <is>
          <t>MINOCYCLINE (AS HYDROCHLORIDE) CAPSULE ORAL 50 mg</t>
        </is>
      </c>
      <c r="C1872" s="25">
        <f>IF(COUNTIF('کدهای پیام‌داروساز'!$A$2:$A$2442,A1872)&gt;0,"بله","خیر")</f>
        <v/>
      </c>
    </row>
    <row r="1873" ht="15" customHeight="1" s="14">
      <c r="A1873" s="24" t="n">
        <v>15917</v>
      </c>
      <c r="B1873" s="24" t="inlineStr">
        <is>
          <t>DICLOFENAC POTASSIUM TABLET ORAL 50 mg</t>
        </is>
      </c>
      <c r="C1873" s="25">
        <f>IF(COUNTIF('کدهای پیام‌داروساز'!$A$2:$A$2442,A1873)&gt;0,"بله","خیر")</f>
        <v/>
      </c>
    </row>
    <row r="1874" ht="15" customHeight="1" s="14">
      <c r="A1874" s="24" t="n">
        <v>15951</v>
      </c>
      <c r="B1874" s="24" t="inlineStr">
        <is>
          <t>DEXTROSE INJECTION, SOLUTION INTRAVENOUS 20 % 50 mL</t>
        </is>
      </c>
      <c r="C1874" s="25">
        <f>IF(COUNTIF('کدهای پیام‌داروساز'!$A$2:$A$2442,A1874)&gt;0,"بله","خیر")</f>
        <v/>
      </c>
    </row>
    <row r="1875" ht="15" customHeight="1" s="14">
      <c r="A1875" s="24" t="n">
        <v>15952</v>
      </c>
      <c r="B1875" s="24" t="inlineStr">
        <is>
          <t>DEXTROSE INJECTION, SOLUTION, CONCENTRATE INTRAVENOUS 50 % 50 mL</t>
        </is>
      </c>
      <c r="C1875" s="25">
        <f>IF(COUNTIF('کدهای پیام‌داروساز'!$A$2:$A$2442,A1875)&gt;0,"بله","خیر")</f>
        <v/>
      </c>
    </row>
    <row r="1876" ht="15" customHeight="1" s="14">
      <c r="A1876" s="24" t="n">
        <v>15970</v>
      </c>
      <c r="B1876" s="24" t="inlineStr">
        <is>
          <t>DOXORUBICIN HYDROCHLORIDE INJECTION, SOLUTION, CONCENTRATE PARENTERAL 2 mg/1mL 5 mL</t>
        </is>
      </c>
      <c r="C1876" s="25">
        <f>IF(COUNTIF('کدهای پیام‌داروساز'!$A$2:$A$2442,A1876)&gt;0,"بله","خیر")</f>
        <v/>
      </c>
    </row>
    <row r="1877" ht="15" customHeight="1" s="14">
      <c r="A1877" s="24" t="n">
        <v>15971</v>
      </c>
      <c r="B1877" s="24" t="inlineStr">
        <is>
          <t>DOXORUBICIN HYDROCHLORIDE INJECTION, SOLUTION, CONCENTRATE PARENTERAL 2 mg/1mL 25 mL</t>
        </is>
      </c>
      <c r="C1877" s="25">
        <f>IF(COUNTIF('کدهای پیام‌داروساز'!$A$2:$A$2442,A1877)&gt;0,"بله","خیر")</f>
        <v/>
      </c>
    </row>
    <row r="1878" ht="15" customHeight="1" s="14">
      <c r="A1878" s="24" t="n">
        <v>15976</v>
      </c>
      <c r="B1878" s="24" t="inlineStr">
        <is>
          <t>EPIRUBICIN HYDROCHLORIDE INJECTION, SOLUTION, CONCENTRATE PARENTERAL 2 mg/1mL 10 mL</t>
        </is>
      </c>
      <c r="C1878" s="25">
        <f>IF(COUNTIF('کدهای پیام‌داروساز'!$A$2:$A$2442,A1878)&gt;0,"بله","خیر")</f>
        <v/>
      </c>
    </row>
    <row r="1879" ht="15" customHeight="1" s="14">
      <c r="A1879" s="24" t="n">
        <v>16009</v>
      </c>
      <c r="B1879" s="24" t="inlineStr">
        <is>
          <t>PRASUGREL TABLET ORAL 10 mg</t>
        </is>
      </c>
      <c r="C1879" s="25">
        <f>IF(COUNTIF('کدهای پیام‌داروساز'!$A$2:$A$2442,A1879)&gt;0,"بله","خیر")</f>
        <v/>
      </c>
    </row>
    <row r="1880" ht="15" customHeight="1" s="14">
      <c r="A1880" s="24" t="n">
        <v>16010</v>
      </c>
      <c r="B1880" s="24" t="inlineStr">
        <is>
          <t>PRASUGREL TABLET ORAL 5 mg</t>
        </is>
      </c>
      <c r="C1880" s="25">
        <f>IF(COUNTIF('کدهای پیام‌داروساز'!$A$2:$A$2442,A1880)&gt;0,"بله","خیر")</f>
        <v/>
      </c>
    </row>
    <row r="1881" ht="15" customHeight="1" s="14">
      <c r="A1881" s="24" t="n">
        <v>16035</v>
      </c>
      <c r="B1881" s="24" t="inlineStr">
        <is>
          <t>VENLAFAXINE CAPSULE, EXTENDED RELEASE ORAL 37.5 mg</t>
        </is>
      </c>
      <c r="C1881" s="25">
        <f>IF(COUNTIF('کدهای پیام‌داروساز'!$A$2:$A$2442,A1881)&gt;0,"بله","خیر")</f>
        <v/>
      </c>
    </row>
    <row r="1882" ht="15" customHeight="1" s="14">
      <c r="A1882" s="24" t="n">
        <v>16068</v>
      </c>
      <c r="B1882" s="24" t="inlineStr">
        <is>
          <t>FOLLITROPIN ALFA INJECTION PARENTERAL 600 [iU]/1mL 1.5 mL</t>
        </is>
      </c>
      <c r="C1882" s="25">
        <f>IF(COUNTIF('کدهای پیام‌داروساز'!$A$2:$A$2442,A1882)&gt;0,"بله","خیر")</f>
        <v/>
      </c>
    </row>
    <row r="1883" ht="15" customHeight="1" s="14">
      <c r="A1883" s="24" t="n">
        <v>16112</v>
      </c>
      <c r="B1883" s="24" t="inlineStr">
        <is>
          <t>METOPROLOL SUCCINATE TABLET, EXTENDED RELEASE ORAL 23.75 mg</t>
        </is>
      </c>
      <c r="C1883" s="25">
        <f>IF(COUNTIF('کدهای پیام‌داروساز'!$A$2:$A$2442,A1883)&gt;0,"بله","خیر")</f>
        <v/>
      </c>
    </row>
    <row r="1884" ht="15" customHeight="1" s="14">
      <c r="A1884" s="24" t="n">
        <v>16153</v>
      </c>
      <c r="B1884" s="24" t="inlineStr">
        <is>
          <t>THYROTROPIN ALFA INJECTION, POWDER, LYOPHILIZED, FOR SOLUTION PARENTERAL 0.9 mg</t>
        </is>
      </c>
      <c r="C1884" s="25">
        <f>IF(COUNTIF('کدهای پیام‌داروساز'!$A$2:$A$2442,A1884)&gt;0,"بله","خیر")</f>
        <v/>
      </c>
    </row>
    <row r="1885" ht="15" customHeight="1" s="14">
      <c r="A1885" s="24" t="n">
        <v>16164</v>
      </c>
      <c r="B1885" s="24" t="inlineStr">
        <is>
          <t>ADALIMUMAB INJECTION, SOLUTION PARENTERAL 50 mg/1mL 0.8 mL</t>
        </is>
      </c>
      <c r="C1885" s="25">
        <f>IF(COUNTIF('کدهای پیام‌داروساز'!$A$2:$A$2442,A1885)&gt;0,"بله","خیر")</f>
        <v/>
      </c>
    </row>
    <row r="1886" ht="15" customHeight="1" s="14">
      <c r="A1886" s="24" t="n">
        <v>16179</v>
      </c>
      <c r="B1886" s="24" t="inlineStr">
        <is>
          <t>FOLLITROPIN ALFA INJECTION PARENTERAL 600 [iU]/1mL 0.5 mL</t>
        </is>
      </c>
      <c r="C1886" s="25">
        <f>IF(COUNTIF('کدهای پیام‌داروساز'!$A$2:$A$2442,A1886)&gt;0,"بله","خیر")</f>
        <v/>
      </c>
    </row>
    <row r="1887" ht="15" customHeight="1" s="14">
      <c r="A1887" s="24" t="n">
        <v>16180</v>
      </c>
      <c r="B1887" s="24" t="inlineStr">
        <is>
          <t>FOLLITROPIN ALFA INJECTION PARENTERAL 600 [iU]/1mL 0.75 mL</t>
        </is>
      </c>
      <c r="C1887" s="25">
        <f>IF(COUNTIF('کدهای پیام‌داروساز'!$A$2:$A$2442,A1887)&gt;0,"بله","خیر")</f>
        <v/>
      </c>
    </row>
    <row r="1888" ht="15" customHeight="1" s="14">
      <c r="A1888" s="24" t="n">
        <v>16215</v>
      </c>
      <c r="B1888" s="24" t="inlineStr">
        <is>
          <t>CLOFARABINE INJECTION, SOLUTION, CONCENTRATE PARENTERAL 1 mg/1mL 20 mL</t>
        </is>
      </c>
      <c r="C1888" s="25">
        <f>IF(COUNTIF('کدهای پیام‌داروساز'!$A$2:$A$2442,A1888)&gt;0,"بله","خیر")</f>
        <v/>
      </c>
    </row>
    <row r="1889" ht="15" customHeight="1" s="14">
      <c r="A1889" s="24" t="n">
        <v>16254</v>
      </c>
      <c r="B1889" s="24" t="inlineStr">
        <is>
          <t>TOCILIZUMAB INJECTION, SOLUTION, CONCENTRATE PARENTERAL 20 mg/1mL 4 mL</t>
        </is>
      </c>
      <c r="C1889" s="25">
        <f>IF(COUNTIF('کدهای پیام‌داروساز'!$A$2:$A$2442,A1889)&gt;0,"بله","خیر")</f>
        <v/>
      </c>
    </row>
    <row r="1890" ht="15" customHeight="1" s="14">
      <c r="A1890" s="24" t="n">
        <v>16255</v>
      </c>
      <c r="B1890" s="24" t="inlineStr">
        <is>
          <t>ALENDRONIC ACID / COLECALCIFEROL TABLET ORAL 70 mg/70 ug</t>
        </is>
      </c>
      <c r="C1890" s="25">
        <f>IF(COUNTIF('کدهای پیام‌داروساز'!$A$2:$A$2442,A1890)&gt;0,"بله","خیر")</f>
        <v/>
      </c>
    </row>
    <row r="1891" ht="15" customHeight="1" s="14">
      <c r="A1891" s="24" t="n">
        <v>16303</v>
      </c>
      <c r="B1891" s="24" t="inlineStr">
        <is>
          <t>SITAGLIPTIN (AS PHOSPHATE) TABLET ORAL 100 mg</t>
        </is>
      </c>
      <c r="C1891" s="25">
        <f>IF(COUNTIF('کدهای پیام‌داروساز'!$A$2:$A$2442,A1891)&gt;0,"بله","خیر")</f>
        <v/>
      </c>
    </row>
    <row r="1892" ht="15" customHeight="1" s="14">
      <c r="A1892" s="24" t="n">
        <v>16320</v>
      </c>
      <c r="B1892" s="24" t="inlineStr">
        <is>
          <t>LEVOFLOXACIN INJECTION, SOLUTION INTRAVENOUS 5 mg/1mL 100 mL</t>
        </is>
      </c>
      <c r="C1892" s="25">
        <f>IF(COUNTIF('کدهای پیام‌داروساز'!$A$2:$A$2442,A1892)&gt;0,"بله","خیر")</f>
        <v/>
      </c>
    </row>
    <row r="1893" ht="15" customHeight="1" s="14">
      <c r="A1893" s="24" t="n">
        <v>16416</v>
      </c>
      <c r="B1893" s="24" t="inlineStr">
        <is>
          <t>CARBETOCIN INJECTION, SOLUTION PARENTERAL 100 ug/1mL 1 mL</t>
        </is>
      </c>
      <c r="C1893" s="25">
        <f>IF(COUNTIF('کدهای پیام‌داروساز'!$A$2:$A$2442,A1893)&gt;0,"بله","خیر")</f>
        <v/>
      </c>
    </row>
    <row r="1894" ht="15" customHeight="1" s="14">
      <c r="A1894" s="24" t="n">
        <v>16426</v>
      </c>
      <c r="B1894" s="24" t="inlineStr">
        <is>
          <t>PALIPERIDONE TABLET, EXTENDED RELEASE ORAL 6 mg</t>
        </is>
      </c>
      <c r="C1894" s="25">
        <f>IF(COUNTIF('کدهای پیام‌داروساز'!$A$2:$A$2442,A1894)&gt;0,"بله","خیر")</f>
        <v/>
      </c>
    </row>
    <row r="1895" ht="15" customHeight="1" s="14">
      <c r="A1895" s="24" t="n">
        <v>16491</v>
      </c>
      <c r="B1895" s="24" t="inlineStr">
        <is>
          <t>DIPHTHERIA TOXOID / TETANUS TOXOID / PERTUSSIS / HAEMOPHILUS INFLUENZAE TYPE B VACCINE INJECTION, SUSPENSION PARENTERAL 10 {dose} 5 mL</t>
        </is>
      </c>
      <c r="C1895" s="25">
        <f>IF(COUNTIF('کدهای پیام‌داروساز'!$A$2:$A$2442,A1895)&gt;0,"بله","خیر")</f>
        <v/>
      </c>
    </row>
    <row r="1896" ht="15" customHeight="1" s="14">
      <c r="A1896" s="24" t="n">
        <v>16496</v>
      </c>
      <c r="B1896" s="24" t="inlineStr">
        <is>
          <t>IOPROMIDE INJECTION PARENTERAL 300 mg/1mL 100 mL</t>
        </is>
      </c>
      <c r="C1896" s="25">
        <f>IF(COUNTIF('کدهای پیام‌داروساز'!$A$2:$A$2442,A1896)&gt;0,"بله","خیر")</f>
        <v/>
      </c>
    </row>
    <row r="1897" ht="15" customHeight="1" s="14">
      <c r="A1897" s="24" t="n">
        <v>16503</v>
      </c>
      <c r="B1897" s="24" t="inlineStr">
        <is>
          <t>BUDESONIDE / FORMOTEROL FUMARATE POWDER, METERED RESPIRATORY 320 ug/9 ug/1{dose} 60 {dose}</t>
        </is>
      </c>
      <c r="C1897" s="25">
        <f>IF(COUNTIF('کدهای پیام‌داروساز'!$A$2:$A$2442,A1897)&gt;0,"بله","خیر")</f>
        <v/>
      </c>
    </row>
    <row r="1898" ht="15" customHeight="1" s="14">
      <c r="A1898" s="24" t="n">
        <v>16506</v>
      </c>
      <c r="B1898" s="24" t="inlineStr">
        <is>
          <t>BUDESONIDE / FORMOTEROL FUMARATE POWDER, METERED RESPIRATORY 160 ug/4.5 ug/1{dose} 60 {dose}</t>
        </is>
      </c>
      <c r="C1898" s="25">
        <f>IF(COUNTIF('کدهای پیام‌داروساز'!$A$2:$A$2442,A1898)&gt;0,"بله","خیر")</f>
        <v/>
      </c>
    </row>
    <row r="1899" ht="15" customHeight="1" s="14">
      <c r="A1899" s="24" t="n">
        <v>16582</v>
      </c>
      <c r="B1899" s="24" t="inlineStr">
        <is>
          <t>HYDROCHLOROTHIAZIDE TABLET ORAL 25 mg</t>
        </is>
      </c>
      <c r="C1899" s="25">
        <f>IF(COUNTIF('کدهای پیام‌داروساز'!$A$2:$A$2442,A1899)&gt;0,"بله","خیر")</f>
        <v/>
      </c>
    </row>
    <row r="1900" ht="15" customHeight="1" s="14">
      <c r="A1900" s="24" t="n">
        <v>16641</v>
      </c>
      <c r="B1900" s="24" t="inlineStr">
        <is>
          <t>LEVETIRACETAM INJECTION, SOLUTION, CONCENTRATE PARENTERAL 100 mg/1mL 5 mL</t>
        </is>
      </c>
      <c r="C1900" s="25">
        <f>IF(COUNTIF('کدهای پیام‌داروساز'!$A$2:$A$2442,A1900)&gt;0,"بله","خیر")</f>
        <v/>
      </c>
    </row>
    <row r="1901" ht="15" customHeight="1" s="14">
      <c r="A1901" s="24" t="n">
        <v>16682</v>
      </c>
      <c r="B1901" s="24" t="inlineStr">
        <is>
          <t>EVEROLIMUS TABLET ORAL 5 mg</t>
        </is>
      </c>
      <c r="C1901" s="25">
        <f>IF(COUNTIF('کدهای پیام‌داروساز'!$A$2:$A$2442,A1901)&gt;0,"بله","خیر")</f>
        <v/>
      </c>
    </row>
    <row r="1902" ht="15" customHeight="1" s="14">
      <c r="A1902" s="24" t="n">
        <v>16686</v>
      </c>
      <c r="B1902" s="24" t="inlineStr">
        <is>
          <t>BETHANECHOL CHLORIDE TABLET ORAL 25 mg</t>
        </is>
      </c>
      <c r="C1902" s="25">
        <f>IF(COUNTIF('کدهای پیام‌داروساز'!$A$2:$A$2442,A1902)&gt;0,"بله","خیر")</f>
        <v/>
      </c>
    </row>
    <row r="1903" ht="15" customHeight="1" s="14">
      <c r="A1903" s="24" t="n">
        <v>16693</v>
      </c>
      <c r="B1903" s="24" t="inlineStr">
        <is>
          <t>FEBUXOSTAT TABLET ORAL 40 mg</t>
        </is>
      </c>
      <c r="C1903" s="25">
        <f>IF(COUNTIF('کدهای پیام‌داروساز'!$A$2:$A$2442,A1903)&gt;0,"بله","خیر")</f>
        <v/>
      </c>
    </row>
    <row r="1904" ht="15" customHeight="1" s="14">
      <c r="A1904" s="24" t="n">
        <v>16766</v>
      </c>
      <c r="B1904" s="24" t="inlineStr">
        <is>
          <t>CALCIUM FOLINATE INJECTION, POWDER, FOR SOLUTION PARENTERAL 100 mg</t>
        </is>
      </c>
      <c r="C1904" s="25">
        <f>IF(COUNTIF('کدهای پیام‌داروساز'!$A$2:$A$2442,A1904)&gt;0,"بله","خیر")</f>
        <v/>
      </c>
    </row>
    <row r="1905" ht="15" customHeight="1" s="14">
      <c r="A1905" s="24" t="n">
        <v>16775</v>
      </c>
      <c r="B1905" s="24" t="inlineStr">
        <is>
          <t>TOBRAMYCIN SOLUTION RESPIRATORY 75 mg/1mL 4 mL</t>
        </is>
      </c>
      <c r="C1905" s="25">
        <f>IF(COUNTIF('کدهای پیام‌داروساز'!$A$2:$A$2442,A1905)&gt;0,"بله","خیر")</f>
        <v/>
      </c>
    </row>
    <row r="1906" ht="15" customHeight="1" s="14">
      <c r="A1906" s="24" t="n">
        <v>16776</v>
      </c>
      <c r="B1906" s="24" t="inlineStr">
        <is>
          <t>GALANTAMINE (AS HYDROBROMIDE) CAPSULE, EXTENDED RELEASE ORAL 8 mg</t>
        </is>
      </c>
      <c r="C1906" s="25">
        <f>IF(COUNTIF('کدهای پیام‌داروساز'!$A$2:$A$2442,A1906)&gt;0,"بله","خیر")</f>
        <v/>
      </c>
    </row>
    <row r="1907" ht="15" customHeight="1" s="14">
      <c r="A1907" s="24" t="n">
        <v>16777</v>
      </c>
      <c r="B1907" s="24" t="inlineStr">
        <is>
          <t>GALANTAMINE (AS HYDROBROMIDE) CAPSULE, DELAYED RELEASE ORAL 16 mg</t>
        </is>
      </c>
      <c r="C1907" s="25">
        <f>IF(COUNTIF('کدهای پیام‌داروساز'!$A$2:$A$2442,A1907)&gt;0,"بله","خیر")</f>
        <v/>
      </c>
    </row>
    <row r="1908" ht="15" customHeight="1" s="14">
      <c r="A1908" s="24" t="n">
        <v>16778</v>
      </c>
      <c r="B1908" s="24" t="inlineStr">
        <is>
          <t>GALANTAMINE (AS HYDROBROMIDE) CAPSULE, DELAYED RELEASE ORAL 24 mg</t>
        </is>
      </c>
      <c r="C1908" s="25">
        <f>IF(COUNTIF('کدهای پیام‌داروساز'!$A$2:$A$2442,A1908)&gt;0,"بله","خیر")</f>
        <v/>
      </c>
    </row>
    <row r="1909" ht="15" customHeight="1" s="14">
      <c r="A1909" s="24" t="n">
        <v>16792</v>
      </c>
      <c r="B1909" s="24" t="inlineStr">
        <is>
          <t>GADOBUTROL INJECTION PARENTERAL 604.72 mg/1mL 7.5 mL</t>
        </is>
      </c>
      <c r="C1909" s="25">
        <f>IF(COUNTIF('کدهای پیام‌داروساز'!$A$2:$A$2442,A1909)&gt;0,"بله","خیر")</f>
        <v/>
      </c>
    </row>
    <row r="1910" ht="15" customHeight="1" s="14">
      <c r="A1910" s="24" t="n">
        <v>16793</v>
      </c>
      <c r="B1910" s="24" t="inlineStr">
        <is>
          <t>GADOBUTROL INJECTION PARENTERAL 604.72 mg/1mL 15 mL</t>
        </is>
      </c>
      <c r="C1910" s="25">
        <f>IF(COUNTIF('کدهای پیام‌داروساز'!$A$2:$A$2442,A1910)&gt;0,"بله","خیر")</f>
        <v/>
      </c>
    </row>
    <row r="1911" ht="15" customHeight="1" s="14">
      <c r="A1911" s="24" t="n">
        <v>16844</v>
      </c>
      <c r="B1911" s="24" t="inlineStr">
        <is>
          <t>METFORMIN HYDROCHLORIDE TABLET, EXTENDED RELEASE ORAL 750 mg</t>
        </is>
      </c>
      <c r="C1911" s="25">
        <f>IF(COUNTIF('کدهای پیام‌داروساز'!$A$2:$A$2442,A1911)&gt;0,"بله","خیر")</f>
        <v/>
      </c>
    </row>
    <row r="1912" ht="15" customHeight="1" s="14">
      <c r="A1912" s="24" t="n">
        <v>16845</v>
      </c>
      <c r="B1912" s="24" t="inlineStr">
        <is>
          <t>METFORMIN HYDROCHLORIDE TABLET, EXTENDED RELEASE ORAL 1000 mg</t>
        </is>
      </c>
      <c r="C1912" s="25">
        <f>IF(COUNTIF('کدهای پیام‌داروساز'!$A$2:$A$2442,A1912)&gt;0,"بله","خیر")</f>
        <v/>
      </c>
    </row>
    <row r="1913" ht="15" customHeight="1" s="14">
      <c r="A1913" s="24" t="n">
        <v>16848</v>
      </c>
      <c r="B1913" s="24" t="inlineStr">
        <is>
          <t>LEVOTHYROXINE SODIUM TABLET ORAL 150 ug</t>
        </is>
      </c>
      <c r="C1913" s="25">
        <f>IF(COUNTIF('کدهای پیام‌داروساز'!$A$2:$A$2442,A1913)&gt;0,"بله","خیر")</f>
        <v/>
      </c>
    </row>
    <row r="1914" ht="15" customHeight="1" s="14">
      <c r="A1914" s="24" t="n">
        <v>16870</v>
      </c>
      <c r="B1914" s="24" t="inlineStr">
        <is>
          <t>LEVONORGESTREL TABLET ORAL 1.5 mg</t>
        </is>
      </c>
      <c r="C1914" s="25">
        <f>IF(COUNTIF('کدهای پیام‌داروساز'!$A$2:$A$2442,A1914)&gt;0,"بله","خیر")</f>
        <v/>
      </c>
    </row>
    <row r="1915" ht="15" customHeight="1" s="14">
      <c r="A1915" s="24" t="n">
        <v>16873</v>
      </c>
      <c r="B1915" s="24" t="inlineStr">
        <is>
          <t>PROPOFOL INJECTION, EMULSION PARENTERAL 20 mg/1mL 50 mL</t>
        </is>
      </c>
      <c r="C1915" s="25">
        <f>IF(COUNTIF('کدهای پیام‌داروساز'!$A$2:$A$2442,A1915)&gt;0,"بله","خیر")</f>
        <v/>
      </c>
    </row>
    <row r="1916" ht="15" customHeight="1" s="14">
      <c r="A1916" s="24" t="n">
        <v>16889</v>
      </c>
      <c r="B1916" s="24" t="inlineStr">
        <is>
          <t>BERACTANT INJECTION, SUSPENSION ENDOTRACHEAL 25 mg/1mL 4 mL</t>
        </is>
      </c>
      <c r="C1916" s="25">
        <f>IF(COUNTIF('کدهای پیام‌داروساز'!$A$2:$A$2442,A1916)&gt;0,"بله","خیر")</f>
        <v/>
      </c>
    </row>
    <row r="1917" ht="15" customHeight="1" s="14">
      <c r="A1917" s="24" t="n">
        <v>16954</v>
      </c>
      <c r="B1917" s="24" t="inlineStr">
        <is>
          <t>FERRIC CARBOXYMALTOSE INJECTION PARENTERAL 50 mg/1mL 10 mL</t>
        </is>
      </c>
      <c r="C1917" s="25">
        <f>IF(COUNTIF('کدهای پیام‌داروساز'!$A$2:$A$2442,A1917)&gt;0,"بله","خیر")</f>
        <v/>
      </c>
    </row>
    <row r="1918" ht="15" customHeight="1" s="14">
      <c r="A1918" s="24" t="n">
        <v>17011</v>
      </c>
      <c r="B1918" s="24" t="inlineStr">
        <is>
          <t>IVABRADINE (AS HYDROCHLORIDE) TABLET ORAL 5 mg</t>
        </is>
      </c>
      <c r="C1918" s="25">
        <f>IF(COUNTIF('کدهای پیام‌داروساز'!$A$2:$A$2442,A1918)&gt;0,"بله","خیر")</f>
        <v/>
      </c>
    </row>
    <row r="1919" ht="15" customHeight="1" s="14">
      <c r="A1919" s="24" t="n">
        <v>17013</v>
      </c>
      <c r="B1919" s="24" t="inlineStr">
        <is>
          <t>DEXAMETHASONE IMPLANT INTRAVITREAL 0.7 mg</t>
        </is>
      </c>
      <c r="C1919" s="25">
        <f>IF(COUNTIF('کدهای پیام‌داروساز'!$A$2:$A$2442,A1919)&gt;0,"بله","خیر")</f>
        <v/>
      </c>
    </row>
    <row r="1920" ht="15" customHeight="1" s="14">
      <c r="A1920" s="24" t="n">
        <v>17038</v>
      </c>
      <c r="B1920" s="24" t="inlineStr">
        <is>
          <t>ROMIPLOSTIM INJECTION, POWDER, FOR SOLUTION PARENTERAL 250 ug</t>
        </is>
      </c>
      <c r="C1920" s="25">
        <f>IF(COUNTIF('کدهای پیام‌داروساز'!$A$2:$A$2442,A1920)&gt;0,"بله","خیر")</f>
        <v/>
      </c>
    </row>
    <row r="1921" ht="15" customHeight="1" s="14">
      <c r="A1921" s="24" t="n">
        <v>17070</v>
      </c>
      <c r="B1921" s="24" t="inlineStr">
        <is>
          <t>RINGER LACTATE INJECTION, SOLUTION INTRAVENOUS 130 meq/3 meq/4 meq/109 meq/28 meq/1L 250 mL</t>
        </is>
      </c>
      <c r="C1921" s="25">
        <f>IF(COUNTIF('کدهای پیام‌داروساز'!$A$2:$A$2442,A1921)&gt;0,"بله","خیر")</f>
        <v/>
      </c>
    </row>
    <row r="1922" ht="15" customHeight="1" s="14">
      <c r="A1922" s="24" t="n">
        <v>17084</v>
      </c>
      <c r="B1922" s="24" t="inlineStr">
        <is>
          <t>ROCURONIUM BROMIDE INJECTION, SOLUTION PARENTERAL 10 mg/1mL 5 mL</t>
        </is>
      </c>
      <c r="C1922" s="25">
        <f>IF(COUNTIF('کدهای پیام‌داروساز'!$A$2:$A$2442,A1922)&gt;0,"بله","خیر")</f>
        <v/>
      </c>
    </row>
    <row r="1923" ht="15" customHeight="1" s="14">
      <c r="A1923" s="24" t="n">
        <v>17094</v>
      </c>
      <c r="B1923" s="24" t="inlineStr">
        <is>
          <t>AMPHOTERICIN B LIPOSOME INJECTION, POWDER, FOR SOLUTION PARENTERAL 50 mg</t>
        </is>
      </c>
      <c r="C1923" s="25">
        <f>IF(COUNTIF('کدهای پیام‌داروساز'!$A$2:$A$2442,A1923)&gt;0,"بله","خیر")</f>
        <v/>
      </c>
    </row>
    <row r="1924" ht="15" customHeight="1" s="14">
      <c r="A1924" s="24" t="n">
        <v>17104</v>
      </c>
      <c r="B1924" s="24" t="inlineStr">
        <is>
          <t>IBUPROFEN GEL TOPICAL 5 % 60 g</t>
        </is>
      </c>
      <c r="C1924" s="25">
        <f>IF(COUNTIF('کدهای پیام‌داروساز'!$A$2:$A$2442,A1924)&gt;0,"بله","خیر")</f>
        <v/>
      </c>
    </row>
    <row r="1925" ht="15" customHeight="1" s="14">
      <c r="A1925" s="24" t="n">
        <v>17106</v>
      </c>
      <c r="B1925" s="24" t="inlineStr">
        <is>
          <t>METFORMIN HYDROCHLORIDE / GLIBENCLAMIDE TABLET ORAL 500 mg/2.5 mg</t>
        </is>
      </c>
      <c r="C1925" s="25">
        <f>IF(COUNTIF('کدهای پیام‌داروساز'!$A$2:$A$2442,A1925)&gt;0,"بله","خیر")</f>
        <v/>
      </c>
    </row>
    <row r="1926" ht="15" customHeight="1" s="14">
      <c r="A1926" s="24" t="n">
        <v>17124</v>
      </c>
      <c r="B1926" s="24" t="inlineStr">
        <is>
          <t>FLUTICASONE PROPIONATE SPRAY NASAL 50 ug/1{Puff} 200 {Puff}</t>
        </is>
      </c>
      <c r="C1926" s="25">
        <f>IF(COUNTIF('کدهای پیام‌داروساز'!$A$2:$A$2442,A1926)&gt;0,"بله","خیر")</f>
        <v/>
      </c>
    </row>
    <row r="1927" ht="15" customHeight="1" s="14">
      <c r="A1927" s="24" t="n">
        <v>17169</v>
      </c>
      <c r="B1927" s="24" t="inlineStr">
        <is>
          <t>PERITONEAL DIALYSIS I SOLUTION INTRAPERITONEAL 13.62 g/132 meq/3.5 meq/1.5 meq/35 meq/102 meq/1000 mL 5 L</t>
        </is>
      </c>
      <c r="C1927" s="25">
        <f>IF(COUNTIF('کدهای پیام‌داروساز'!$A$2:$A$2442,A1927)&gt;0,"بله","خیر")</f>
        <v/>
      </c>
    </row>
    <row r="1928" ht="15" customHeight="1" s="14">
      <c r="A1928" s="24" t="n">
        <v>17170</v>
      </c>
      <c r="B1928" s="24" t="inlineStr">
        <is>
          <t>PERITONEAL DIALYSIS II SOLUTION INTRAPERITONEAL 22.7 g/1025.67 meq/3.5 meq/1.5 meq/35 meq/132 meq/1000 mL 5 L</t>
        </is>
      </c>
      <c r="C1928" s="25">
        <f>IF(COUNTIF('کدهای پیام‌داروساز'!$A$2:$A$2442,A1928)&gt;0,"بله","خیر")</f>
        <v/>
      </c>
    </row>
    <row r="1929" ht="15" customHeight="1" s="14">
      <c r="A1929" s="24" t="n">
        <v>17171</v>
      </c>
      <c r="B1929" s="24" t="inlineStr">
        <is>
          <t>PERITONEAL DIALYSIS III SOLUTION INTRAPERITONEAL 38.6 g/5.67 g/0.257 g/0.152 g/3.922 g/1000 mL 5 L</t>
        </is>
      </c>
      <c r="C1929" s="25">
        <f>IF(COUNTIF('کدهای پیام‌داروساز'!$A$2:$A$2442,A1929)&gt;0,"بله","خیر")</f>
        <v/>
      </c>
    </row>
    <row r="1930" ht="15" customHeight="1" s="14">
      <c r="A1930" s="24" t="n">
        <v>17197</v>
      </c>
      <c r="B1930" s="24" t="inlineStr">
        <is>
          <t>METFORMIN HYDROCHLORIDE / GLIBENCLAMIDE TABLET ORAL 500 mg/5 mg</t>
        </is>
      </c>
      <c r="C1930" s="25">
        <f>IF(COUNTIF('کدهای پیام‌داروساز'!$A$2:$A$2442,A1930)&gt;0,"بله","خیر")</f>
        <v/>
      </c>
    </row>
    <row r="1931" ht="15" customHeight="1" s="14">
      <c r="A1931" s="24" t="n">
        <v>17213</v>
      </c>
      <c r="B1931" s="24" t="inlineStr">
        <is>
          <t>BRINZOLAMIDE / TIMOLOL (AS MALEATE) SUSPENSION, DROPS OPHTHALMIC 10 mg/5 mg/1mL 5 mL</t>
        </is>
      </c>
      <c r="C1931" s="25">
        <f>IF(COUNTIF('کدهای پیام‌داروساز'!$A$2:$A$2442,A1931)&gt;0,"بله","خیر")</f>
        <v/>
      </c>
    </row>
    <row r="1932" ht="15" customHeight="1" s="14">
      <c r="A1932" s="24" t="n">
        <v>17228</v>
      </c>
      <c r="B1932" s="24" t="inlineStr">
        <is>
          <t>MOMETASONE FUROATE OINTMENT TOPICAL 0.1 % 15 g</t>
        </is>
      </c>
      <c r="C1932" s="25">
        <f>IF(COUNTIF('کدهای پیام‌داروساز'!$A$2:$A$2442,A1932)&gt;0,"بله","خیر")</f>
        <v/>
      </c>
    </row>
    <row r="1933" ht="15" customHeight="1" s="14">
      <c r="A1933" s="24" t="n">
        <v>17247</v>
      </c>
      <c r="B1933" s="24" t="inlineStr">
        <is>
          <t>ETHERIFIED STARCH INJECTION, SOLUTION PARENTERAL 6 % 500 mL</t>
        </is>
      </c>
      <c r="C1933" s="25">
        <f>IF(COUNTIF('کدهای پیام‌داروساز'!$A$2:$A$2442,A1933)&gt;0,"بله","خیر")</f>
        <v/>
      </c>
    </row>
    <row r="1934" ht="15" customHeight="1" s="14">
      <c r="A1934" s="24" t="n">
        <v>17253</v>
      </c>
      <c r="B1934" s="24" t="inlineStr">
        <is>
          <t>EVEROLIMUS TABLET ORAL 10 mg</t>
        </is>
      </c>
      <c r="C1934" s="25">
        <f>IF(COUNTIF('کدهای پیام‌داروساز'!$A$2:$A$2442,A1934)&gt;0,"بله","خیر")</f>
        <v/>
      </c>
    </row>
    <row r="1935" ht="15" customHeight="1" s="14">
      <c r="A1935" s="24" t="n">
        <v>17336</v>
      </c>
      <c r="B1935" s="24" t="inlineStr">
        <is>
          <t>BECLOMETHASONE DIPROPIONATE AEROSOL, METERED RESPIRATORY 100 ug/1{dose} 200 {Puff}</t>
        </is>
      </c>
      <c r="C1935" s="25">
        <f>IF(COUNTIF('کدهای پیام‌داروساز'!$A$2:$A$2442,A1935)&gt;0,"بله","خیر")</f>
        <v/>
      </c>
    </row>
    <row r="1936" ht="15" customHeight="1" s="14">
      <c r="A1936" s="24" t="n">
        <v>17340</v>
      </c>
      <c r="B1936" s="24" t="inlineStr">
        <is>
          <t>CIPROFLOXACIN (AS HYDROCHLORIDE) OINTMENT OPHTHALMIC 0.3 % 5 g</t>
        </is>
      </c>
      <c r="C1936" s="25">
        <f>IF(COUNTIF('کدهای پیام‌داروساز'!$A$2:$A$2442,A1936)&gt;0,"بله","خیر")</f>
        <v/>
      </c>
    </row>
    <row r="1937" ht="15" customHeight="1" s="14">
      <c r="A1937" s="24" t="n">
        <v>17381</v>
      </c>
      <c r="B1937" s="24" t="inlineStr">
        <is>
          <t>BENDAMUSTINE HYDROCHLORIDE INJECTION, POWDER, FOR SOLUTION PARENTERAL 25 mg</t>
        </is>
      </c>
      <c r="C1937" s="25">
        <f>IF(COUNTIF('کدهای پیام‌داروساز'!$A$2:$A$2442,A1937)&gt;0,"بله","خیر")</f>
        <v/>
      </c>
    </row>
    <row r="1938" ht="15" customHeight="1" s="14">
      <c r="A1938" s="24" t="n">
        <v>17397</v>
      </c>
      <c r="B1938" s="24" t="inlineStr">
        <is>
          <t>ZOLEDRONIC ACID INJECTION, SOLUTION PARENTERAL 5 mg/100mL</t>
        </is>
      </c>
      <c r="C1938" s="25">
        <f>IF(COUNTIF('کدهای پیام‌داروساز'!$A$2:$A$2442,A1938)&gt;0,"بله","خیر")</f>
        <v/>
      </c>
    </row>
    <row r="1939" ht="15" customHeight="1" s="14">
      <c r="A1939" s="24" t="n">
        <v>17398</v>
      </c>
      <c r="B1939" s="24" t="inlineStr">
        <is>
          <t>NAPROXEN TABLET ORAL 375 mg</t>
        </is>
      </c>
      <c r="C1939" s="25">
        <f>IF(COUNTIF('کدهای پیام‌داروساز'!$A$2:$A$2442,A1939)&gt;0,"بله","خیر")</f>
        <v/>
      </c>
    </row>
    <row r="1940" ht="15" customHeight="1" s="14">
      <c r="A1940" s="24" t="n">
        <v>17416</v>
      </c>
      <c r="B1940" s="24" t="inlineStr">
        <is>
          <t>ACETAMINOPHEN / CAFFEINE / ASA TABLET ORAL 250 mg/65 mg/250 mg</t>
        </is>
      </c>
      <c r="C1940" s="25">
        <f>IF(COUNTIF('کدهای پیام‌داروساز'!$A$2:$A$2442,A1940)&gt;0,"بله","خیر")</f>
        <v/>
      </c>
    </row>
    <row r="1941" ht="15" customHeight="1" s="14">
      <c r="A1941" s="24" t="n">
        <v>17461</v>
      </c>
      <c r="B1941" s="24" t="inlineStr">
        <is>
          <t>URSODEOXYCHOLIC ACID TABLET ORAL 500 mg</t>
        </is>
      </c>
      <c r="C1941" s="25">
        <f>IF(COUNTIF('کدهای پیام‌داروساز'!$A$2:$A$2442,A1941)&gt;0,"بله","خیر")</f>
        <v/>
      </c>
    </row>
    <row r="1942" ht="15" customHeight="1" s="14">
      <c r="A1942" s="24" t="n">
        <v>17486</v>
      </c>
      <c r="B1942" s="24" t="inlineStr">
        <is>
          <t>OPIUM TINCTURE ORAL 10 mg/1mL 250 mL</t>
        </is>
      </c>
      <c r="C1942" s="25">
        <f>IF(COUNTIF('کدهای پیام‌داروساز'!$A$2:$A$2442,A1942)&gt;0,"بله","خیر")</f>
        <v/>
      </c>
    </row>
    <row r="1943" ht="15" customHeight="1" s="14">
      <c r="A1943" s="24" t="n">
        <v>17568</v>
      </c>
      <c r="B1943" s="24" t="inlineStr">
        <is>
          <t>VALPROATE SODIUM INJECTION PARENTERAL 100 mg/1mL 5 mL</t>
        </is>
      </c>
      <c r="C1943" s="25">
        <f>IF(COUNTIF('کدهای پیام‌داروساز'!$A$2:$A$2442,A1943)&gt;0,"بله","خیر")</f>
        <v/>
      </c>
    </row>
    <row r="1944" ht="15" customHeight="1" s="14">
      <c r="A1944" s="24" t="n">
        <v>17581</v>
      </c>
      <c r="B1944" s="24" t="inlineStr">
        <is>
          <t>DEXMEDETOMIDINE (AS HYDROCHLORIDE) INJECTION, SOLUTION, CONCENTRATE PARENTERAL 100 ug/1mL 2 mL</t>
        </is>
      </c>
      <c r="C1944" s="25">
        <f>IF(COUNTIF('کدهای پیام‌داروساز'!$A$2:$A$2442,A1944)&gt;0,"بله","خیر")</f>
        <v/>
      </c>
    </row>
    <row r="1945" ht="15" customHeight="1" s="14">
      <c r="A1945" s="24" t="n">
        <v>17597</v>
      </c>
      <c r="B1945" s="24" t="inlineStr">
        <is>
          <t>RIVAROXABAN TABLET ORAL 10 mg</t>
        </is>
      </c>
      <c r="C1945" s="25">
        <f>IF(COUNTIF('کدهای پیام‌داروساز'!$A$2:$A$2442,A1945)&gt;0,"بله","خیر")</f>
        <v/>
      </c>
    </row>
    <row r="1946" ht="15" customHeight="1" s="14">
      <c r="A1946" s="24" t="n">
        <v>17611</v>
      </c>
      <c r="B1946" s="24" t="inlineStr">
        <is>
          <t>IPRATROPIUM BROMIDE / FENOTEROL HYDROBROMIDE AEROSOL, METERED RESPIRATORY 20 ug/50 ug/1{dose} 200 {dose}</t>
        </is>
      </c>
      <c r="C1946" s="25">
        <f>IF(COUNTIF('کدهای پیام‌داروساز'!$A$2:$A$2442,A1946)&gt;0,"بله","خیر")</f>
        <v/>
      </c>
    </row>
    <row r="1947" ht="15" customHeight="1" s="14">
      <c r="A1947" s="24" t="n">
        <v>17640</v>
      </c>
      <c r="B1947" s="24" t="inlineStr">
        <is>
          <t>EFLORNITHINE HYDROCHLORIDE CREAM TOPICAL 13.9 % 30 g</t>
        </is>
      </c>
      <c r="C1947" s="25">
        <f>IF(COUNTIF('کدهای پیام‌داروساز'!$A$2:$A$2442,A1947)&gt;0,"بله","خیر")</f>
        <v/>
      </c>
    </row>
    <row r="1948" ht="15" customHeight="1" s="14">
      <c r="A1948" s="24" t="n">
        <v>17643</v>
      </c>
      <c r="B1948" s="24" t="inlineStr">
        <is>
          <t>METFORMIN HYDROCHLORIDE / PIOGLITAZONE TABLET ORAL 500 mg/15 mg</t>
        </is>
      </c>
      <c r="C1948" s="25">
        <f>IF(COUNTIF('کدهای پیام‌داروساز'!$A$2:$A$2442,A1948)&gt;0,"بله","خیر")</f>
        <v/>
      </c>
    </row>
    <row r="1949" ht="15" customHeight="1" s="14">
      <c r="A1949" s="24" t="n">
        <v>17665</v>
      </c>
      <c r="B1949" s="24" t="inlineStr">
        <is>
          <t>AZATHIOPRINE TABLET ORAL 25 mg</t>
        </is>
      </c>
      <c r="C1949" s="25">
        <f>IF(COUNTIF('کدهای پیام‌داروساز'!$A$2:$A$2442,A1949)&gt;0,"بله","خیر")</f>
        <v/>
      </c>
    </row>
    <row r="1950" ht="15" customHeight="1" s="14">
      <c r="A1950" s="24" t="n">
        <v>17672</v>
      </c>
      <c r="B1950" s="24" t="inlineStr">
        <is>
          <t>GEMIFLOXACIN (AS MESILATE) TABLET ORAL 320 mg</t>
        </is>
      </c>
      <c r="C1950" s="25">
        <f>IF(COUNTIF('کدهای پیام‌داروساز'!$A$2:$A$2442,A1950)&gt;0,"بله","خیر")</f>
        <v/>
      </c>
    </row>
    <row r="1951" ht="15" customHeight="1" s="14">
      <c r="A1951" s="24" t="n">
        <v>17675</v>
      </c>
      <c r="B1951" s="24" t="inlineStr">
        <is>
          <t>TIROFIBAN INJECTION PARENTERAL 0.25 mg/1mL 50 mL</t>
        </is>
      </c>
      <c r="C1951" s="25">
        <f>IF(COUNTIF('کدهای پیام‌داروساز'!$A$2:$A$2442,A1951)&gt;0,"بله","خیر")</f>
        <v/>
      </c>
    </row>
    <row r="1952" ht="15" customHeight="1" s="14">
      <c r="A1952" s="24" t="n">
        <v>17677</v>
      </c>
      <c r="B1952" s="24" t="inlineStr">
        <is>
          <t>CALCIPOTRIOL / BETAMETHASONE DIPROPIONATE OINTMENT TOPICAL 0.005 %/0.064 % 30 g</t>
        </is>
      </c>
      <c r="C1952" s="25">
        <f>IF(COUNTIF('کدهای پیام‌داروساز'!$A$2:$A$2442,A1952)&gt;0,"بله","خیر")</f>
        <v/>
      </c>
    </row>
    <row r="1953" ht="15" customHeight="1" s="14">
      <c r="A1953" s="24" t="n">
        <v>17679</v>
      </c>
      <c r="B1953" s="24" t="inlineStr">
        <is>
          <t>ACETAMINOPHEN TABLET, ORALLY DISINTEGRATING ORAL 125 mg</t>
        </is>
      </c>
      <c r="C1953" s="25">
        <f>IF(COUNTIF('کدهای پیام‌داروساز'!$A$2:$A$2442,A1953)&gt;0,"بله","خیر")</f>
        <v/>
      </c>
    </row>
    <row r="1954" ht="15" customHeight="1" s="14">
      <c r="A1954" s="24" t="n">
        <v>17725</v>
      </c>
      <c r="B1954" s="24" t="inlineStr">
        <is>
          <t>ENOXAPARIN SODIUM INJECTION PARENTERAL 100 mg/1mL 1 mL</t>
        </is>
      </c>
      <c r="C1954" s="25">
        <f>IF(COUNTIF('کدهای پیام‌داروساز'!$A$2:$A$2442,A1954)&gt;0,"بله","خیر")</f>
        <v/>
      </c>
    </row>
    <row r="1955" ht="15" customHeight="1" s="14">
      <c r="A1955" s="24" t="n">
        <v>17745</v>
      </c>
      <c r="B1955" s="24" t="inlineStr">
        <is>
          <t>OSELTAMIVIR (AS PHOSPHATE) CAPSULE ORAL 30 mg</t>
        </is>
      </c>
      <c r="C1955" s="25">
        <f>IF(COUNTIF('کدهای پیام‌داروساز'!$A$2:$A$2442,A1955)&gt;0,"بله","خیر")</f>
        <v/>
      </c>
    </row>
    <row r="1956" ht="15" customHeight="1" s="14">
      <c r="A1956" s="24" t="n">
        <v>17746</v>
      </c>
      <c r="B1956" s="24" t="inlineStr">
        <is>
          <t>OSELTAMIVIR (AS PHOSPHATE) CAPSULE ORAL 45 mg</t>
        </is>
      </c>
      <c r="C1956" s="25">
        <f>IF(COUNTIF('کدهای پیام‌داروساز'!$A$2:$A$2442,A1956)&gt;0,"بله","خیر")</f>
        <v/>
      </c>
    </row>
    <row r="1957" ht="15" customHeight="1" s="14">
      <c r="A1957" s="24" t="n">
        <v>17753</v>
      </c>
      <c r="B1957" s="24" t="inlineStr">
        <is>
          <t>DOCETAXEL INJECTION, SOLUTION INTRAVENOUS 10 mg/1mL 16 mL</t>
        </is>
      </c>
      <c r="C1957" s="25">
        <f>IF(COUNTIF('کدهای پیام‌داروساز'!$A$2:$A$2442,A1957)&gt;0,"بله","خیر")</f>
        <v/>
      </c>
    </row>
    <row r="1958" ht="15" customHeight="1" s="14">
      <c r="A1958" s="24" t="n">
        <v>17761</v>
      </c>
      <c r="B1958" s="24" t="inlineStr">
        <is>
          <t>POLYETHYLENE GLYCOL - ELECTROLYTE 2 POWDER, FOR SOLUTION ORAL 17.6 mmol/1.46 g/1.68 g/0.745 g/5.68 g 70 g</t>
        </is>
      </c>
      <c r="C1958" s="25">
        <f>IF(COUNTIF('کدهای پیام‌داروساز'!$A$2:$A$2442,A1958)&gt;0,"بله","خیر")</f>
        <v/>
      </c>
    </row>
    <row r="1959" ht="15" customHeight="1" s="14">
      <c r="A1959" s="24" t="n">
        <v>17768</v>
      </c>
      <c r="B1959" s="24" t="inlineStr">
        <is>
          <t>BOTULINUM A TOXIN INJECTION, POWDER, LYOPHILIZED, FOR SOLUTION PARENTERAL 100 [iU]</t>
        </is>
      </c>
      <c r="C1959" s="25">
        <f>IF(COUNTIF('کدهای پیام‌داروساز'!$A$2:$A$2442,A1959)&gt;0,"بله","خیر")</f>
        <v/>
      </c>
    </row>
    <row r="1960" ht="15" customHeight="1" s="14">
      <c r="A1960" s="24" t="n">
        <v>17770</v>
      </c>
      <c r="B1960" s="24" t="inlineStr">
        <is>
          <t>IMMUNE GLOBULIN INJECTION PARENTERAL 100 mg/1mL 25 mL</t>
        </is>
      </c>
      <c r="C1960" s="25">
        <f>IF(COUNTIF('کدهای پیام‌داروساز'!$A$2:$A$2442,A1960)&gt;0,"بله","خیر")</f>
        <v/>
      </c>
    </row>
    <row r="1961" ht="15" customHeight="1" s="14">
      <c r="A1961" s="24" t="n">
        <v>17772</v>
      </c>
      <c r="B1961" s="24" t="inlineStr">
        <is>
          <t>IMMUNE GLOBULIN INJECTION PARENTERAL 100 mg/1mL 100 mL</t>
        </is>
      </c>
      <c r="C1961" s="25">
        <f>IF(COUNTIF('کدهای پیام‌داروساز'!$A$2:$A$2442,A1961)&gt;0,"بله","خیر")</f>
        <v/>
      </c>
    </row>
    <row r="1962" ht="15" customHeight="1" s="14">
      <c r="A1962" s="24" t="n">
        <v>17773</v>
      </c>
      <c r="B1962" s="24" t="inlineStr">
        <is>
          <t>IMMUNE GLOBULIN INJECTION PARENTERAL 100 mg/1mL 50 mL</t>
        </is>
      </c>
      <c r="C1962" s="25">
        <f>IF(COUNTIF('کدهای پیام‌داروساز'!$A$2:$A$2442,A1962)&gt;0,"بله","خیر")</f>
        <v/>
      </c>
    </row>
    <row r="1963" ht="15" customHeight="1" s="14">
      <c r="A1963" s="24" t="n">
        <v>17793</v>
      </c>
      <c r="B1963" s="24" t="inlineStr">
        <is>
          <t>BUDESONIDE POWDER, METERED RESPIRATORY 200 ug/1{dose} 200 {dose}</t>
        </is>
      </c>
      <c r="C1963" s="25">
        <f>IF(COUNTIF('کدهای پیام‌داروساز'!$A$2:$A$2442,A1963)&gt;0,"بله","خیر")</f>
        <v/>
      </c>
    </row>
    <row r="1964" ht="15" customHeight="1" s="14">
      <c r="A1964" s="24" t="n">
        <v>17803</v>
      </c>
      <c r="B1964" s="24" t="inlineStr">
        <is>
          <t>AZITHROMYCIN DIHYDRATE SOLUTION, DROPS OPHTHALMIC 1 % 2.5 mL</t>
        </is>
      </c>
      <c r="C1964" s="25">
        <f>IF(COUNTIF('کدهای پیام‌داروساز'!$A$2:$A$2442,A1964)&gt;0,"بله","خیر")</f>
        <v/>
      </c>
    </row>
    <row r="1965" ht="15" customHeight="1" s="14">
      <c r="A1965" s="24" t="n">
        <v>17831</v>
      </c>
      <c r="B1965" s="24" t="inlineStr">
        <is>
          <t>MAGNESIUM SULFATE INJECTION PARENTERAL 10 % 10 mL</t>
        </is>
      </c>
      <c r="C1965" s="25">
        <f>IF(COUNTIF('کدهای پیام‌داروساز'!$A$2:$A$2442,A1965)&gt;0,"بله","خیر")</f>
        <v/>
      </c>
    </row>
    <row r="1966" ht="15" customHeight="1" s="14">
      <c r="A1966" s="24" t="n">
        <v>17832</v>
      </c>
      <c r="B1966" s="24" t="inlineStr">
        <is>
          <t>MAGNESIUM SULFATE INJECTION PARENTERAL 20 % 50 mL</t>
        </is>
      </c>
      <c r="C1966" s="25">
        <f>IF(COUNTIF('کدهای پیام‌داروساز'!$A$2:$A$2442,A1966)&gt;0,"بله","خیر")</f>
        <v/>
      </c>
    </row>
    <row r="1967" ht="15" customHeight="1" s="14">
      <c r="A1967" s="24" t="n">
        <v>17833</v>
      </c>
      <c r="B1967" s="24" t="inlineStr">
        <is>
          <t>SODIUM BICARBONATE INJECTION PARENTERAL 7.5 % 50 mL</t>
        </is>
      </c>
      <c r="C1967" s="25">
        <f>IF(COUNTIF('کدهای پیام‌داروساز'!$A$2:$A$2442,A1967)&gt;0,"بله","خیر")</f>
        <v/>
      </c>
    </row>
    <row r="1968" ht="15" customHeight="1" s="14">
      <c r="A1968" s="24" t="n">
        <v>17836</v>
      </c>
      <c r="B1968" s="24" t="inlineStr">
        <is>
          <t>PRAMIPEXOLE (AS DIHYDROCHLORIDE) TABLET, EXTENDED RELEASE ORAL 0.52 mg</t>
        </is>
      </c>
      <c r="C1968" s="25">
        <f>IF(COUNTIF('کدهای پیام‌داروساز'!$A$2:$A$2442,A1968)&gt;0,"بله","خیر")</f>
        <v/>
      </c>
    </row>
    <row r="1969" ht="15" customHeight="1" s="14">
      <c r="A1969" s="24" t="n">
        <v>17837</v>
      </c>
      <c r="B1969" s="24" t="inlineStr">
        <is>
          <t>PRAMIPEXOLE (AS DIHYDROCHLORIDE) TABLET, EXTENDED RELEASE ORAL 0.26 mg</t>
        </is>
      </c>
      <c r="C1969" s="25">
        <f>IF(COUNTIF('کدهای پیام‌داروساز'!$A$2:$A$2442,A1969)&gt;0,"بله","خیر")</f>
        <v/>
      </c>
    </row>
    <row r="1970" ht="15" customHeight="1" s="14">
      <c r="A1970" s="24" t="n">
        <v>17838</v>
      </c>
      <c r="B1970" s="24" t="inlineStr">
        <is>
          <t>PRAMIPEXOLE (AS DIHYDROCHLORIDE) TABLET, EXTENDED RELEASE ORAL 1.05 mg</t>
        </is>
      </c>
      <c r="C1970" s="25">
        <f>IF(COUNTIF('کدهای پیام‌داروساز'!$A$2:$A$2442,A1970)&gt;0,"بله","خیر")</f>
        <v/>
      </c>
    </row>
    <row r="1971" ht="15" customHeight="1" s="14">
      <c r="A1971" s="24" t="n">
        <v>17853</v>
      </c>
      <c r="B1971" s="24" t="inlineStr">
        <is>
          <t>DEFERIPRONE TABLET, DELAYED RELEASE ORAL 500 mg</t>
        </is>
      </c>
      <c r="C1971" s="25">
        <f>IF(COUNTIF('کدهای پیام‌داروساز'!$A$2:$A$2442,A1971)&gt;0,"بله","خیر")</f>
        <v/>
      </c>
    </row>
    <row r="1972" ht="15" customHeight="1" s="14">
      <c r="A1972" s="24" t="n">
        <v>17872</v>
      </c>
      <c r="B1972" s="24" t="inlineStr">
        <is>
          <t>RANITIDINE SOLUTION ORAL 75 mg/5mL 200 mL</t>
        </is>
      </c>
      <c r="C1972" s="25">
        <f>IF(COUNTIF('کدهای پیام‌داروساز'!$A$2:$A$2442,A1972)&gt;0,"بله","خیر")</f>
        <v/>
      </c>
    </row>
    <row r="1973" ht="15" customHeight="1" s="14">
      <c r="A1973" s="24" t="n">
        <v>17874</v>
      </c>
      <c r="B1973" s="24" t="inlineStr">
        <is>
          <t>DIPHTHERIA TOXOID / TETANUS TOXOIDS ADSORBED VACCINE (Td) (ADULT) INJECTION PARENTERAL 10 {dose} 5 mL</t>
        </is>
      </c>
      <c r="C1973" s="25">
        <f>IF(COUNTIF('کدهای پیام‌داروساز'!$A$2:$A$2442,A1973)&gt;0,"بله","خیر")</f>
        <v/>
      </c>
    </row>
    <row r="1974" ht="15" customHeight="1" s="14">
      <c r="A1974" s="24" t="n">
        <v>17886</v>
      </c>
      <c r="B1974" s="24" t="inlineStr">
        <is>
          <t>VANCOMYCIN (AS HYDROCHLORIDE) INJECTION, POWDER, FOR SOLUTION PARENTERAL 1 g</t>
        </is>
      </c>
      <c r="C1974" s="25">
        <f>IF(COUNTIF('کدهای پیام‌داروساز'!$A$2:$A$2442,A1974)&gt;0,"بله","خیر")</f>
        <v/>
      </c>
    </row>
    <row r="1975" ht="15" customHeight="1" s="14">
      <c r="A1975" s="24" t="n">
        <v>17947</v>
      </c>
      <c r="B1975" s="24" t="inlineStr">
        <is>
          <t>ZALEPLON CAPSULE ORAL 5 mg</t>
        </is>
      </c>
      <c r="C1975" s="25">
        <f>IF(COUNTIF('کدهای پیام‌داروساز'!$A$2:$A$2442,A1975)&gt;0,"بله","خیر")</f>
        <v/>
      </c>
    </row>
    <row r="1976" ht="15" customHeight="1" s="14">
      <c r="A1976" s="24" t="n">
        <v>17956</v>
      </c>
      <c r="B1976" s="24" t="inlineStr">
        <is>
          <t>MEMANTINE HYDROCHLORIDE TABLET ORAL 20 mg</t>
        </is>
      </c>
      <c r="C1976" s="25">
        <f>IF(COUNTIF('کدهای پیام‌داروساز'!$A$2:$A$2442,A1976)&gt;0,"بله","خیر")</f>
        <v/>
      </c>
    </row>
    <row r="1977" ht="15" customHeight="1" s="14">
      <c r="A1977" s="24" t="n">
        <v>17972</v>
      </c>
      <c r="B1977" s="24" t="inlineStr">
        <is>
          <t>KETOROLAC TROMETAMOL INJECTION, SOLUTION PARENTERAL 30 mg/1mL 1 mL</t>
        </is>
      </c>
      <c r="C1977" s="25">
        <f>IF(COUNTIF('کدهای پیام‌داروساز'!$A$2:$A$2442,A1977)&gt;0,"بله","خیر")</f>
        <v/>
      </c>
    </row>
    <row r="1978" ht="15" customHeight="1" s="14">
      <c r="A1978" s="24" t="n">
        <v>18002</v>
      </c>
      <c r="B1978" s="24" t="inlineStr">
        <is>
          <t>TICAGRELOR TABLET ORAL 90 mg</t>
        </is>
      </c>
      <c r="C1978" s="25">
        <f>IF(COUNTIF('کدهای پیام‌داروساز'!$A$2:$A$2442,A1978)&gt;0,"بله","خیر")</f>
        <v/>
      </c>
    </row>
    <row r="1979" ht="15" customHeight="1" s="14">
      <c r="A1979" s="24" t="n">
        <v>18006</v>
      </c>
      <c r="B1979" s="24" t="inlineStr">
        <is>
          <t>ANAKINRA INJECTION, SOLUTION PARENTERAL 150 mg/1 mL 0.67 mL</t>
        </is>
      </c>
      <c r="C1979" s="25">
        <f>IF(COUNTIF('کدهای پیام‌داروساز'!$A$2:$A$2442,A1979)&gt;0,"بله","خیر")</f>
        <v/>
      </c>
    </row>
    <row r="1980" ht="15" customHeight="1" s="14">
      <c r="A1980" s="24" t="n">
        <v>18046</v>
      </c>
      <c r="B1980" s="24" t="inlineStr">
        <is>
          <t>SALMETEROL (AS XINAFOATE) / FLUTICASONE PROPIONATE DISC RESPIRATORY 50 ug/500 ug/1{dose} 60 {dose}</t>
        </is>
      </c>
      <c r="C1980" s="25">
        <f>IF(COUNTIF('کدهای پیام‌داروساز'!$A$2:$A$2442,A1980)&gt;0,"بله","خیر")</f>
        <v/>
      </c>
    </row>
    <row r="1981" ht="15" customHeight="1" s="14">
      <c r="A1981" s="24" t="n">
        <v>18064</v>
      </c>
      <c r="B1981" s="24" t="inlineStr">
        <is>
          <t>HEPATITIS B IMMUNE GLOBULIN INJECTION PARENTERAL 50 [iU]/1mL 10 mL</t>
        </is>
      </c>
      <c r="C1981" s="25">
        <f>IF(COUNTIF('کدهای پیام‌داروساز'!$A$2:$A$2442,A1981)&gt;0,"بله","خیر")</f>
        <v/>
      </c>
    </row>
    <row r="1982" ht="15" customHeight="1" s="14">
      <c r="A1982" s="24" t="n">
        <v>18065</v>
      </c>
      <c r="B1982" s="24" t="inlineStr">
        <is>
          <t>HEPATITIS B IMMUNE GLOBULIN INJECTION PARENTERAL 50 [iU]/1mL 50 mL</t>
        </is>
      </c>
      <c r="C1982" s="25">
        <f>IF(COUNTIF('کدهای پیام‌داروساز'!$A$2:$A$2442,A1982)&gt;0,"بله","خیر")</f>
        <v/>
      </c>
    </row>
    <row r="1983" ht="15" customHeight="1" s="14">
      <c r="A1983" s="24" t="n">
        <v>18084</v>
      </c>
      <c r="B1983" s="24" t="inlineStr">
        <is>
          <t>DENOSUMAB INJECTION, SOLUTION PARENTERAL 60 mg/1mL 1 mL</t>
        </is>
      </c>
      <c r="C1983" s="25">
        <f>IF(COUNTIF('کدهای پیام‌داروساز'!$A$2:$A$2442,A1983)&gt;0,"بله","خیر")</f>
        <v/>
      </c>
    </row>
    <row r="1984" ht="15" customHeight="1" s="14">
      <c r="A1984" s="24" t="n">
        <v>18099</v>
      </c>
      <c r="B1984" s="24" t="inlineStr">
        <is>
          <t>FINGOLIMOD (AS HYDROCHLORIDE) CAPSULE ORAL 0.5 mg</t>
        </is>
      </c>
      <c r="C1984" s="25">
        <f>IF(COUNTIF('کدهای پیام‌داروساز'!$A$2:$A$2442,A1984)&gt;0,"بله","خیر")</f>
        <v/>
      </c>
    </row>
    <row r="1985" ht="15" customHeight="1" s="14">
      <c r="A1985" s="24" t="n">
        <v>18133</v>
      </c>
      <c r="B1985" s="24" t="inlineStr">
        <is>
          <t>ACETAMINOPHEN TABLET, ORALLY DISINTEGRATING ORAL 160 mg</t>
        </is>
      </c>
      <c r="C1985" s="25">
        <f>IF(COUNTIF('کدهای پیام‌داروساز'!$A$2:$A$2442,A1985)&gt;0,"بله","خیر")</f>
        <v/>
      </c>
    </row>
    <row r="1986" ht="15" customHeight="1" s="14">
      <c r="A1986" s="24" t="n">
        <v>18193</v>
      </c>
      <c r="B1986" s="24" t="inlineStr">
        <is>
          <t>LENALIDOMIDE CAPSULE ORAL 10 mg</t>
        </is>
      </c>
      <c r="C1986" s="25">
        <f>IF(COUNTIF('کدهای پیام‌داروساز'!$A$2:$A$2442,A1986)&gt;0,"بله","خیر")</f>
        <v/>
      </c>
    </row>
    <row r="1987" ht="15" customHeight="1" s="14">
      <c r="A1987" s="24" t="n">
        <v>18233</v>
      </c>
      <c r="B1987" s="24" t="inlineStr">
        <is>
          <t>FAMOTIDINE / CALCIUM CARBONATE / MAGNESIUM HYDROXIDE TABLET, CHEWABLE ORAL 10 mg/800 mg/165 mg</t>
        </is>
      </c>
      <c r="C1987" s="25">
        <f>IF(COUNTIF('کدهای پیام‌داروساز'!$A$2:$A$2442,A1987)&gt;0,"بله","خیر")</f>
        <v/>
      </c>
    </row>
    <row r="1988" ht="15" customHeight="1" s="14">
      <c r="A1988" s="24" t="n">
        <v>18312</v>
      </c>
      <c r="B1988" s="24" t="inlineStr">
        <is>
          <t>POLYETHYLENE GLYCOL POWDER ORAL  10 g</t>
        </is>
      </c>
      <c r="C1988" s="25">
        <f>IF(COUNTIF('کدهای پیام‌داروساز'!$A$2:$A$2442,A1988)&gt;0,"بله","خیر")</f>
        <v/>
      </c>
    </row>
    <row r="1989" ht="15" customHeight="1" s="14">
      <c r="A1989" s="24" t="n">
        <v>18333</v>
      </c>
      <c r="B1989" s="24" t="inlineStr">
        <is>
          <t>CARBOPROST INJECTION INTRAMUSCULAR 250 ug/1mL 1 mL</t>
        </is>
      </c>
      <c r="C1989" s="25">
        <f>IF(COUNTIF('کدهای پیام‌داروساز'!$A$2:$A$2442,A1989)&gt;0,"بله","خیر")</f>
        <v/>
      </c>
    </row>
    <row r="1990" ht="15" customHeight="1" s="14">
      <c r="A1990" s="24" t="n">
        <v>18354</v>
      </c>
      <c r="B1990" s="24" t="inlineStr">
        <is>
          <t>KETOTIFEN (AS FUMARATE) SYRUP ORAL 1 mg/5mL 60 mL</t>
        </is>
      </c>
      <c r="C1990" s="25">
        <f>IF(COUNTIF('کدهای پیام‌داروساز'!$A$2:$A$2442,A1990)&gt;0,"بله","خیر")</f>
        <v/>
      </c>
    </row>
    <row r="1991" ht="15" customHeight="1" s="14">
      <c r="A1991" s="24" t="n">
        <v>18384</v>
      </c>
      <c r="B1991" s="24" t="inlineStr">
        <is>
          <t>AMIFAMPRIDINE (AS PHOSPHATE) TABLET ORAL 20 mg</t>
        </is>
      </c>
      <c r="C1991" s="25">
        <f>IF(COUNTIF('کدهای پیام‌داروساز'!$A$2:$A$2442,A1991)&gt;0,"بله","خیر")</f>
        <v/>
      </c>
    </row>
    <row r="1992" ht="15" customHeight="1" s="14">
      <c r="A1992" s="24" t="n">
        <v>18407</v>
      </c>
      <c r="B1992" s="24" t="inlineStr">
        <is>
          <t>SELENIUM (AS SODIUM SELENITE PENTAHYDRATE) INJECTION PARENTERAL 50 ug/1mL 2 mL</t>
        </is>
      </c>
      <c r="C1992" s="25">
        <f>IF(COUNTIF('کدهای پیام‌داروساز'!$A$2:$A$2442,A1992)&gt;0,"بله","خیر")</f>
        <v/>
      </c>
    </row>
    <row r="1993" ht="15" customHeight="1" s="14">
      <c r="A1993" s="24" t="n">
        <v>18420</v>
      </c>
      <c r="B1993" s="24" t="inlineStr">
        <is>
          <t>ACETAMINOPHEN INJECTION, SOLUTION, CONCENTRATE INTRAVENOUS 150 mg/1mL 6.7 mL</t>
        </is>
      </c>
      <c r="C1993" s="25">
        <f>IF(COUNTIF('کدهای پیام‌داروساز'!$A$2:$A$2442,A1993)&gt;0,"بله","خیر")</f>
        <v/>
      </c>
    </row>
    <row r="1994" ht="15" customHeight="1" s="14">
      <c r="A1994" s="24" t="n">
        <v>18430</v>
      </c>
      <c r="B1994" s="24" t="inlineStr">
        <is>
          <t>DULOXETINE CAPSULE, DELAYED RELEASE ORAL 20 mg</t>
        </is>
      </c>
      <c r="C1994" s="25">
        <f>IF(COUNTIF('کدهای پیام‌داروساز'!$A$2:$A$2442,A1994)&gt;0,"بله","خیر")</f>
        <v/>
      </c>
    </row>
    <row r="1995" ht="15" customHeight="1" s="14">
      <c r="A1995" s="24" t="n">
        <v>18435</v>
      </c>
      <c r="B1995" s="24" t="inlineStr">
        <is>
          <t>EPIRUBICIN HYDROCHLORIDE INJECTION, SOLUTION, CONCENTRATE PARENTERAL 2 mg/1mL 5 mL</t>
        </is>
      </c>
      <c r="C1995" s="25">
        <f>IF(COUNTIF('کدهای پیام‌داروساز'!$A$2:$A$2442,A1995)&gt;0,"بله","خیر")</f>
        <v/>
      </c>
    </row>
    <row r="1996" ht="15" customHeight="1" s="14">
      <c r="A1996" s="24" t="n">
        <v>18438</v>
      </c>
      <c r="B1996" s="24" t="inlineStr">
        <is>
          <t>LEUPRORELIN ACETATE INJECTION, POWDER, FOR SUSPENSION, EXTENDED RELEASE PARENTERAL 3.75 mg</t>
        </is>
      </c>
      <c r="C1996" s="25">
        <f>IF(COUNTIF('کدهای پیام‌داروساز'!$A$2:$A$2442,A1996)&gt;0,"بله","خیر")</f>
        <v/>
      </c>
    </row>
    <row r="1997" ht="15" customHeight="1" s="14">
      <c r="A1997" s="24" t="n">
        <v>18452</v>
      </c>
      <c r="B1997" s="24" t="inlineStr">
        <is>
          <t>ALENDRONIC ACID / COLECALCIFEROL TABLET ORAL 70 mg/140 ug</t>
        </is>
      </c>
      <c r="C1997" s="25">
        <f>IF(COUNTIF('کدهای پیام‌داروساز'!$A$2:$A$2442,A1997)&gt;0,"بله","خیر")</f>
        <v/>
      </c>
    </row>
    <row r="1998" ht="15" customHeight="1" s="14">
      <c r="A1998" s="24" t="n">
        <v>18457</v>
      </c>
      <c r="B1998" s="24" t="inlineStr">
        <is>
          <t>NAPROXEN CAPSULE, LIQUID FILLED ORAL 200 mg</t>
        </is>
      </c>
      <c r="C1998" s="25">
        <f>IF(COUNTIF('کدهای پیام‌داروساز'!$A$2:$A$2442,A1998)&gt;0,"بله","خیر")</f>
        <v/>
      </c>
    </row>
    <row r="1999" ht="15" customHeight="1" s="14">
      <c r="A1999" s="24" t="n">
        <v>18466</v>
      </c>
      <c r="B1999" s="24" t="inlineStr">
        <is>
          <t>ADULT COLD PREPARATIONS (8-1) TABLET ORAL 325 mg/15 mg/200 mg/5 mg</t>
        </is>
      </c>
      <c r="C1999" s="25">
        <f>IF(COUNTIF('کدهای پیام‌داروساز'!$A$2:$A$2442,A1999)&gt;0,"بله","خیر")</f>
        <v/>
      </c>
    </row>
    <row r="2000" ht="15" customHeight="1" s="14">
      <c r="A2000" s="24" t="n">
        <v>18505</v>
      </c>
      <c r="B2000" s="24" t="inlineStr">
        <is>
          <t>DECITABINE INJECTION, POWDER, LYOPHILIZED, FOR SOLUTION PARENTERAL 50 mg</t>
        </is>
      </c>
      <c r="C2000" s="25">
        <f>IF(COUNTIF('کدهای پیام‌داروساز'!$A$2:$A$2442,A2000)&gt;0,"بله","خیر")</f>
        <v/>
      </c>
    </row>
    <row r="2001" ht="15" customHeight="1" s="14">
      <c r="A2001" s="24" t="n">
        <v>18546</v>
      </c>
      <c r="B2001" s="24" t="inlineStr">
        <is>
          <t>IOHEXOL INJECTION PARENTERAL 240 mg/1mL 10 mL</t>
        </is>
      </c>
      <c r="C2001" s="25">
        <f>IF(COUNTIF('کدهای پیام‌داروساز'!$A$2:$A$2442,A2001)&gt;0,"بله","خیر")</f>
        <v/>
      </c>
    </row>
    <row r="2002" ht="15" customHeight="1" s="14">
      <c r="A2002" s="24" t="n">
        <v>18556</v>
      </c>
      <c r="B2002" s="24" t="inlineStr">
        <is>
          <t>IRINOTECAN HYDROCHLORIDE INJECTION, SOLUTION, CONCENTRATE PARENTERAL 20 mg/1mL 15 mL</t>
        </is>
      </c>
      <c r="C2002" s="25">
        <f>IF(COUNTIF('کدهای پیام‌داروساز'!$A$2:$A$2442,A2002)&gt;0,"بله","خیر")</f>
        <v/>
      </c>
    </row>
    <row r="2003" ht="15" customHeight="1" s="14">
      <c r="A2003" s="24" t="n">
        <v>18586</v>
      </c>
      <c r="B2003" s="24" t="inlineStr">
        <is>
          <t>ETHAMBUTOL / ISONIAZID / RIFAMPICIN TABLET ORAL 275 mg/75 mg/150 mg</t>
        </is>
      </c>
      <c r="C2003" s="25">
        <f>IF(COUNTIF('کدهای پیام‌داروساز'!$A$2:$A$2442,A2003)&gt;0,"بله","خیر")</f>
        <v/>
      </c>
    </row>
    <row r="2004" ht="15" customHeight="1" s="14">
      <c r="A2004" s="24" t="n">
        <v>18626</v>
      </c>
      <c r="B2004" s="24" t="inlineStr">
        <is>
          <t>LEVOFLOXACIN HEMIHYDRATE SOLUTION, DROPS OPHTHALMIC 0.5 % 5 mL</t>
        </is>
      </c>
      <c r="C2004" s="25">
        <f>IF(COUNTIF('کدهای پیام‌داروساز'!$A$2:$A$2442,A2004)&gt;0,"بله","خیر")</f>
        <v/>
      </c>
    </row>
    <row r="2005" ht="15" customHeight="1" s="14">
      <c r="A2005" s="24" t="n">
        <v>18649</v>
      </c>
      <c r="B2005" s="24" t="inlineStr">
        <is>
          <t>INSULIN BIPHASIC ISOPHANE INJECTION PARENTERAL 70 %/30 % 3 mL</t>
        </is>
      </c>
      <c r="C2005" s="25">
        <f>IF(COUNTIF('کدهای پیام‌داروساز'!$A$2:$A$2442,A2005)&gt;0,"بله","خیر")</f>
        <v/>
      </c>
    </row>
    <row r="2006" ht="15" customHeight="1" s="14">
      <c r="A2006" s="24" t="n">
        <v>18672</v>
      </c>
      <c r="B2006" s="24" t="inlineStr">
        <is>
          <t>AZITHROMYCIN FOR SUSPENSION, EXTENDED RELEASE ORAL 2 g</t>
        </is>
      </c>
      <c r="C2006" s="25">
        <f>IF(COUNTIF('کدهای پیام‌داروساز'!$A$2:$A$2442,A2006)&gt;0,"بله","خیر")</f>
        <v/>
      </c>
    </row>
    <row r="2007" ht="15" customHeight="1" s="14">
      <c r="A2007" s="24" t="n">
        <v>18769</v>
      </c>
      <c r="B2007" s="24" t="inlineStr">
        <is>
          <t>DEXTROMETHORPHAN HYDROBROMIDE CAPSULE, LIQUID FILLED ORAL 15 mg</t>
        </is>
      </c>
      <c r="C2007" s="25">
        <f>IF(COUNTIF('کدهای پیام‌داروساز'!$A$2:$A$2442,A2007)&gt;0,"بله","خیر")</f>
        <v/>
      </c>
    </row>
    <row r="2008" ht="15" customHeight="1" s="14">
      <c r="A2008" s="24" t="n">
        <v>18777</v>
      </c>
      <c r="B2008" s="24" t="inlineStr">
        <is>
          <t>DIPHENHYDRAMINE HYDROCHLORIDE CAPSULE, LIQUID FILLED ORAL 25 mg</t>
        </is>
      </c>
      <c r="C2008" s="25">
        <f>IF(COUNTIF('کدهای پیام‌داروساز'!$A$2:$A$2442,A2008)&gt;0,"بله","خیر")</f>
        <v/>
      </c>
    </row>
    <row r="2009" ht="15" customHeight="1" s="14">
      <c r="A2009" s="24" t="n">
        <v>18780</v>
      </c>
      <c r="B2009" s="24" t="inlineStr">
        <is>
          <t>METOCLOPRAMIDE HYDROCHLORIDE CAPSULE, GELATIN COATED ORAL 10 mg</t>
        </is>
      </c>
      <c r="C2009" s="25">
        <f>IF(COUNTIF('کدهای پیام‌داروساز'!$A$2:$A$2442,A2009)&gt;0,"بله","خیر")</f>
        <v/>
      </c>
    </row>
    <row r="2010" ht="15" customHeight="1" s="14">
      <c r="A2010" s="24" t="n">
        <v>18819</v>
      </c>
      <c r="B2010" s="24" t="inlineStr">
        <is>
          <t>PNEUMOCOCCAL VACCINE 13-VALENT INJECTION PARENTERAL  0.5 mL</t>
        </is>
      </c>
      <c r="C2010" s="25">
        <f>IF(COUNTIF('کدهای پیام‌داروساز'!$A$2:$A$2442,A2010)&gt;0,"بله","خیر")</f>
        <v/>
      </c>
    </row>
    <row r="2011" ht="15" customHeight="1" s="14">
      <c r="A2011" s="24" t="n">
        <v>18871</v>
      </c>
      <c r="B2011" s="24" t="inlineStr">
        <is>
          <t>OLOPATADINE HYDROCHLORIDE SPRAY NASAL 0.6 % 20 mL</t>
        </is>
      </c>
      <c r="C2011" s="25">
        <f>IF(COUNTIF('کدهای پیام‌داروساز'!$A$2:$A$2442,A2011)&gt;0,"بله","خیر")</f>
        <v/>
      </c>
    </row>
    <row r="2012" ht="15" customHeight="1" s="14">
      <c r="A2012" s="24" t="n">
        <v>18897</v>
      </c>
      <c r="B2012" s="24" t="inlineStr">
        <is>
          <t>PROGESTERONE CAPSULE, LIQUID FILLED ORAL 100 mg</t>
        </is>
      </c>
      <c r="C2012" s="25">
        <f>IF(COUNTIF('کدهای پیام‌داروساز'!$A$2:$A$2442,A2012)&gt;0,"بله","خیر")</f>
        <v/>
      </c>
    </row>
    <row r="2013" ht="15" customHeight="1" s="14">
      <c r="A2013" s="24" t="n">
        <v>18898</v>
      </c>
      <c r="B2013" s="24" t="inlineStr">
        <is>
          <t>PROGESTERONE CAPSULE, LIQUID FILLED ORAL 200 mg</t>
        </is>
      </c>
      <c r="C2013" s="25">
        <f>IF(COUNTIF('کدهای پیام‌داروساز'!$A$2:$A$2442,A2013)&gt;0,"بله","خیر")</f>
        <v/>
      </c>
    </row>
    <row r="2014" ht="15" customHeight="1" s="14">
      <c r="A2014" s="24" t="n">
        <v>18904</v>
      </c>
      <c r="B2014" s="24" t="inlineStr">
        <is>
          <t>LURASIDONE HYDROCHLORIDE TABLET ORAL 40 mg</t>
        </is>
      </c>
      <c r="C2014" s="25">
        <f>IF(COUNTIF('کدهای پیام‌داروساز'!$A$2:$A$2442,A2014)&gt;0,"بله","خیر")</f>
        <v/>
      </c>
    </row>
    <row r="2015" ht="15" customHeight="1" s="14">
      <c r="A2015" s="24" t="n">
        <v>18932</v>
      </c>
      <c r="B2015" s="24" t="inlineStr">
        <is>
          <t>POTASSIUM IODIDE TABLET ORAL 65 mg</t>
        </is>
      </c>
      <c r="C2015" s="25">
        <f>IF(COUNTIF('کدهای پیام‌داروساز'!$A$2:$A$2442,A2015)&gt;0,"بله","خیر")</f>
        <v/>
      </c>
    </row>
    <row r="2016" ht="15" customHeight="1" s="14">
      <c r="A2016" s="24" t="n">
        <v>18934</v>
      </c>
      <c r="B2016" s="24" t="inlineStr">
        <is>
          <t>ETOPOSIDE INJECTION, SOLUTION INTRAVENOUS 20 mg/1mL 10 mL</t>
        </is>
      </c>
      <c r="C2016" s="25">
        <f>IF(COUNTIF('کدهای پیام‌داروساز'!$A$2:$A$2442,A2016)&gt;0,"بله","خیر")</f>
        <v/>
      </c>
    </row>
    <row r="2017" ht="15" customHeight="1" s="14">
      <c r="A2017" s="24" t="n">
        <v>18949</v>
      </c>
      <c r="B2017" s="24" t="inlineStr">
        <is>
          <t>AGOMELATINE TABLET ORAL 25 mg</t>
        </is>
      </c>
      <c r="C2017" s="25">
        <f>IF(COUNTIF('کدهای پیام‌داروساز'!$A$2:$A$2442,A2017)&gt;0,"بله","خیر")</f>
        <v/>
      </c>
    </row>
    <row r="2018" ht="15" customHeight="1" s="14">
      <c r="A2018" s="24" t="n">
        <v>18964</v>
      </c>
      <c r="B2018" s="24" t="inlineStr">
        <is>
          <t>OXYCODONE HYDROCHLORIDE TABLET ORAL 15 mg</t>
        </is>
      </c>
      <c r="C2018" s="25">
        <f>IF(COUNTIF('کدهای پیام‌داروساز'!$A$2:$A$2442,A2018)&gt;0,"بله","خیر")</f>
        <v/>
      </c>
    </row>
    <row r="2019" ht="15" customHeight="1" s="14">
      <c r="A2019" s="24" t="n">
        <v>18967</v>
      </c>
      <c r="B2019" s="24" t="inlineStr">
        <is>
          <t>WATER INJECTION PARENTERAL 3 mL</t>
        </is>
      </c>
      <c r="C2019" s="25">
        <f>IF(COUNTIF('کدهای پیام‌داروساز'!$A$2:$A$2442,A2019)&gt;0,"بله","خیر")</f>
        <v/>
      </c>
    </row>
    <row r="2020" ht="15" customHeight="1" s="14">
      <c r="A2020" s="24" t="n">
        <v>18972</v>
      </c>
      <c r="B2020" s="24" t="inlineStr">
        <is>
          <t>PEGFILGRASTIM INJECTION, SOLUTION PARENTERAL 10 mg/1mL 0.6 mL</t>
        </is>
      </c>
      <c r="C2020" s="25">
        <f>IF(COUNTIF('کدهای پیام‌داروساز'!$A$2:$A$2442,A2020)&gt;0,"بله","خیر")</f>
        <v/>
      </c>
    </row>
    <row r="2021" ht="15" customHeight="1" s="14">
      <c r="A2021" s="24" t="n">
        <v>18983</v>
      </c>
      <c r="B2021" s="24" t="inlineStr">
        <is>
          <t>SODIUM PHOSPHATE DIBASIC HEPTAHYDRATE / SODIUM PHOSPHATE MONOBASIC MONOHYDRATE ENEMA RECTAL 7 g/19 g/118mL</t>
        </is>
      </c>
      <c r="C2021" s="25">
        <f>IF(COUNTIF('کدهای پیام‌داروساز'!$A$2:$A$2442,A2021)&gt;0,"بله","خیر")</f>
        <v/>
      </c>
    </row>
    <row r="2022" ht="15" customHeight="1" s="14">
      <c r="A2022" s="24" t="n">
        <v>19011</v>
      </c>
      <c r="B2022" s="24" t="inlineStr">
        <is>
          <t>ABIRATERONE ACETATE TABLET ORAL 250 mg</t>
        </is>
      </c>
      <c r="C2022" s="25">
        <f>IF(COUNTIF('کدهای پیام‌داروساز'!$A$2:$A$2442,A2022)&gt;0,"بله","خیر")</f>
        <v/>
      </c>
    </row>
    <row r="2023" ht="15" customHeight="1" s="14">
      <c r="A2023" s="24" t="n">
        <v>19051</v>
      </c>
      <c r="B2023" s="24" t="inlineStr">
        <is>
          <t>PERITONEAL DIALYSIS IV ICODEXTRINE BASED SOLUTION INTRAPERITONEAL 7.5 g/100mL 2 L</t>
        </is>
      </c>
      <c r="C2023" s="25">
        <f>IF(COUNTIF('کدهای پیام‌داروساز'!$A$2:$A$2442,A2023)&gt;0,"بله","خیر")</f>
        <v/>
      </c>
    </row>
    <row r="2024" ht="15" customHeight="1" s="14">
      <c r="A2024" s="24" t="n">
        <v>19093</v>
      </c>
      <c r="B2024" s="24" t="inlineStr">
        <is>
          <t>PROGESTERONE TABLET VAGINAL 100 mg</t>
        </is>
      </c>
      <c r="C2024" s="25">
        <f>IF(COUNTIF('کدهای پیام‌داروساز'!$A$2:$A$2442,A2024)&gt;0,"بله","خیر")</f>
        <v/>
      </c>
    </row>
    <row r="2025" ht="15" customHeight="1" s="14">
      <c r="A2025" s="24" t="n">
        <v>19116</v>
      </c>
      <c r="B2025" s="24" t="inlineStr">
        <is>
          <t>LEVETIRACETAM SOLUTION ORAL 100 mg/1 mL 120 mL</t>
        </is>
      </c>
      <c r="C2025" s="25">
        <f>IF(COUNTIF('کدهای پیام‌داروساز'!$A$2:$A$2442,A2025)&gt;0,"بله","خیر")</f>
        <v/>
      </c>
    </row>
    <row r="2026" ht="15" customHeight="1" s="14">
      <c r="A2026" s="24" t="n">
        <v>19130</v>
      </c>
      <c r="B2026" s="24" t="inlineStr">
        <is>
          <t>ARTIFICIAL TEARS GEL OPHTHALMIC 0.2 % 10 g</t>
        </is>
      </c>
      <c r="C2026" s="25">
        <f>IF(COUNTIF('کدهای پیام‌داروساز'!$A$2:$A$2442,A2026)&gt;0,"بله","خیر")</f>
        <v/>
      </c>
    </row>
    <row r="2027" ht="15" customHeight="1" s="14">
      <c r="A2027" s="24" t="n">
        <v>19172</v>
      </c>
      <c r="B2027" s="24" t="inlineStr">
        <is>
          <t>BOTULINUM A TOXIN INJECTION, POWDER, LYOPHILIZED, FOR SOLUTION PARENTERAL 300 [iU]</t>
        </is>
      </c>
      <c r="C2027" s="25">
        <f>IF(COUNTIF('کدهای پیام‌داروساز'!$A$2:$A$2442,A2027)&gt;0,"بله","خیر")</f>
        <v/>
      </c>
    </row>
    <row r="2028" ht="15" customHeight="1" s="14">
      <c r="A2028" s="24" t="n">
        <v>19232</v>
      </c>
      <c r="B2028" s="24" t="inlineStr">
        <is>
          <t>LEVODOPA / CARBIDOPA / ENTACAPONE TABLET ORAL 100 mg/25 mg/200 mg</t>
        </is>
      </c>
      <c r="C2028" s="25">
        <f>IF(COUNTIF('کدهای پیام‌داروساز'!$A$2:$A$2442,A2028)&gt;0,"بله","خیر")</f>
        <v/>
      </c>
    </row>
    <row r="2029" ht="15" customHeight="1" s="14">
      <c r="A2029" s="24" t="n">
        <v>19263</v>
      </c>
      <c r="B2029" s="24" t="inlineStr">
        <is>
          <t>FAMPRIDINE TABLET, EXTENDED RELEASE ORAL 10 mg</t>
        </is>
      </c>
      <c r="C2029" s="25">
        <f>IF(COUNTIF('کدهای پیام‌داروساز'!$A$2:$A$2442,A2029)&gt;0,"بله","خیر")</f>
        <v/>
      </c>
    </row>
    <row r="2030" ht="15" customHeight="1" s="14">
      <c r="A2030" s="24" t="n">
        <v>19407</v>
      </c>
      <c r="B2030" s="24" t="inlineStr">
        <is>
          <t>VALSARTAN / HYDROCHLOROTHIAZIDE TABLET ORAL 320 mg/25 mg</t>
        </is>
      </c>
      <c r="C2030" s="25">
        <f>IF(COUNTIF('کدهای پیام‌داروساز'!$A$2:$A$2442,A2030)&gt;0,"بله","خیر")</f>
        <v/>
      </c>
    </row>
    <row r="2031" ht="15" customHeight="1" s="14">
      <c r="A2031" s="24" t="n">
        <v>19412</v>
      </c>
      <c r="B2031" s="24" t="inlineStr">
        <is>
          <t>TEMOZOLOMIDE CAPSULE ORAL 140 mg</t>
        </is>
      </c>
      <c r="C2031" s="25">
        <f>IF(COUNTIF('کدهای پیام‌داروساز'!$A$2:$A$2442,A2031)&gt;0,"بله","خیر")</f>
        <v/>
      </c>
    </row>
    <row r="2032" ht="15" customHeight="1" s="14">
      <c r="A2032" s="24" t="n">
        <v>19418</v>
      </c>
      <c r="B2032" s="24" t="inlineStr">
        <is>
          <t>GLICLAZIDE TABLET, EXTENDED RELEASE ORAL 60 mg</t>
        </is>
      </c>
      <c r="C2032" s="25">
        <f>IF(COUNTIF('کدهای پیام‌داروساز'!$A$2:$A$2442,A2032)&gt;0,"بله","خیر")</f>
        <v/>
      </c>
    </row>
    <row r="2033" ht="15" customHeight="1" s="14">
      <c r="A2033" s="24" t="n">
        <v>19428</v>
      </c>
      <c r="B2033" s="24" t="inlineStr">
        <is>
          <t>DIPHTHERIA TOXOID / TETANUS TOXOID / PERTUSSIS / HAEMOPHILUS INFLUENZAE TYPE B / HEPATITIS B VACCINE INJECTION, SUSPENSION PARENTERAL 1 {dose} 0.5 mL</t>
        </is>
      </c>
      <c r="C2033" s="25">
        <f>IF(COUNTIF('کدهای پیام‌داروساز'!$A$2:$A$2442,A2033)&gt;0,"بله","خیر")</f>
        <v/>
      </c>
    </row>
    <row r="2034" ht="15" customHeight="1" s="14">
      <c r="A2034" s="24" t="n">
        <v>19431</v>
      </c>
      <c r="B2034" s="24" t="inlineStr">
        <is>
          <t>DILTIAZEM HYDROCHLORIDE GEL TOPICAL 2 % 30 g</t>
        </is>
      </c>
      <c r="C2034" s="25">
        <f>IF(COUNTIF('کدهای پیام‌داروساز'!$A$2:$A$2442,A2034)&gt;0,"بله","خیر")</f>
        <v/>
      </c>
    </row>
    <row r="2035" ht="15" customHeight="1" s="14">
      <c r="A2035" s="24" t="n">
        <v>19438</v>
      </c>
      <c r="B2035" s="24" t="inlineStr">
        <is>
          <t>DABIGATRAN ETEXILATE (AS MESYLATE) CAPSULE ORAL 150 mg</t>
        </is>
      </c>
      <c r="C2035" s="25">
        <f>IF(COUNTIF('کدهای پیام‌داروساز'!$A$2:$A$2442,A2035)&gt;0,"بله","خیر")</f>
        <v/>
      </c>
    </row>
    <row r="2036" ht="15" customHeight="1" s="14">
      <c r="A2036" s="24" t="n">
        <v>19472</v>
      </c>
      <c r="B2036" s="24" t="inlineStr">
        <is>
          <t>CYPROHEPTADINE HYDROCHLORIDE SOLUTION ORAL 2 mg/5mL 60 mL</t>
        </is>
      </c>
      <c r="C2036" s="25">
        <f>IF(COUNTIF('کدهای پیام‌داروساز'!$A$2:$A$2442,A2036)&gt;0,"بله","خیر")</f>
        <v/>
      </c>
    </row>
    <row r="2037" ht="15" customHeight="1" s="14">
      <c r="A2037" s="24" t="n">
        <v>19586</v>
      </c>
      <c r="B2037" s="24" t="inlineStr">
        <is>
          <t>MENTHOL / ZINC OXIDE / CALAMINE OINTMENT TOPICAL 0.44 g/20.625 g/10 g/100 g 70 g</t>
        </is>
      </c>
      <c r="C2037" s="25">
        <f>IF(COUNTIF('کدهای پیام‌داروساز'!$A$2:$A$2442,A2037)&gt;0,"بله","خیر")</f>
        <v/>
      </c>
    </row>
    <row r="2038" ht="15" customHeight="1" s="14">
      <c r="A2038" s="24" t="n">
        <v>19614</v>
      </c>
      <c r="B2038" s="24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2500 mL</t>
        </is>
      </c>
      <c r="C2038" s="25">
        <f>IF(COUNTIF('کدهای پیام‌داروساز'!$A$2:$A$2442,A2038)&gt;0,"بله","خیر")</f>
        <v/>
      </c>
    </row>
    <row r="2039" ht="15" customHeight="1" s="14">
      <c r="A2039" s="24" t="n">
        <v>19696</v>
      </c>
      <c r="B2039" s="24" t="inlineStr">
        <is>
          <t>VANDETANIB TABLET ORAL 300 mg</t>
        </is>
      </c>
      <c r="C2039" s="25">
        <f>IF(COUNTIF('کدهای پیام‌داروساز'!$A$2:$A$2442,A2039)&gt;0,"بله","خیر")</f>
        <v/>
      </c>
    </row>
    <row r="2040" ht="15" customHeight="1" s="14">
      <c r="A2040" s="24" t="n">
        <v>19736</v>
      </c>
      <c r="B2040" s="24" t="inlineStr">
        <is>
          <t>RISPERIDONE INJECTION, POWDER, FOR SUSPENSION, EXTENDED RELEASE PARENTERAL 37.5 mg</t>
        </is>
      </c>
      <c r="C2040" s="25">
        <f>IF(COUNTIF('کدهای پیام‌داروساز'!$A$2:$A$2442,A2040)&gt;0,"بله","خیر")</f>
        <v/>
      </c>
    </row>
    <row r="2041" ht="15" customHeight="1" s="14">
      <c r="A2041" s="24" t="n">
        <v>19773</v>
      </c>
      <c r="B2041" s="24" t="inlineStr">
        <is>
          <t>AMLODIPINE (AS BESILATE) / VALSARTAN TABLET ORAL 5 mg/80 mg</t>
        </is>
      </c>
      <c r="C2041" s="25">
        <f>IF(COUNTIF('کدهای پیام‌داروساز'!$A$2:$A$2442,A2041)&gt;0,"بله","خیر")</f>
        <v/>
      </c>
    </row>
    <row r="2042" ht="15" customHeight="1" s="14">
      <c r="A2042" s="24" t="n">
        <v>19776</v>
      </c>
      <c r="B2042" s="24" t="inlineStr">
        <is>
          <t>BENZOCAINE GEL BUCCAL 7.5 % 15 g</t>
        </is>
      </c>
      <c r="C2042" s="25">
        <f>IF(COUNTIF('کدهای پیام‌داروساز'!$A$2:$A$2442,A2042)&gt;0,"بله","خیر")</f>
        <v/>
      </c>
    </row>
    <row r="2043" ht="15" customHeight="1" s="14">
      <c r="A2043" s="24" t="n">
        <v>19781</v>
      </c>
      <c r="B2043" s="24" t="inlineStr">
        <is>
          <t>OXYCODONE HYDROCHLORIDE TABLET ORAL 30 mg</t>
        </is>
      </c>
      <c r="C2043" s="25">
        <f>IF(COUNTIF('کدهای پیام‌داروساز'!$A$2:$A$2442,A2043)&gt;0,"بله","خیر")</f>
        <v/>
      </c>
    </row>
    <row r="2044" ht="15" customHeight="1" s="14">
      <c r="A2044" s="24" t="n">
        <v>19787</v>
      </c>
      <c r="B2044" s="24" t="inlineStr">
        <is>
          <t>POTASSIUM IODIDE TABLET ORAL 130 mg</t>
        </is>
      </c>
      <c r="C2044" s="25">
        <f>IF(COUNTIF('کدهای پیام‌داروساز'!$A$2:$A$2442,A2044)&gt;0,"بله","خیر")</f>
        <v/>
      </c>
    </row>
    <row r="2045" ht="15" customHeight="1" s="14">
      <c r="A2045" s="24" t="n">
        <v>19797</v>
      </c>
      <c r="B2045" s="24" t="inlineStr">
        <is>
          <t>LEVOFLOXACIN TABLET ORAL 750 mg</t>
        </is>
      </c>
      <c r="C2045" s="25">
        <f>IF(COUNTIF('کدهای پیام‌داروساز'!$A$2:$A$2442,A2045)&gt;0,"بله","خیر")</f>
        <v/>
      </c>
    </row>
    <row r="2046" ht="15" customHeight="1" s="14">
      <c r="A2046" s="24" t="n">
        <v>19835</v>
      </c>
      <c r="B2046" s="24" t="inlineStr">
        <is>
          <t>FEBUXOSTAT TABLET ORAL 80 mg</t>
        </is>
      </c>
      <c r="C2046" s="25">
        <f>IF(COUNTIF('کدهای پیام‌داروساز'!$A$2:$A$2442,A2046)&gt;0,"بله","خیر")</f>
        <v/>
      </c>
    </row>
    <row r="2047" ht="15" customHeight="1" s="14">
      <c r="A2047" s="24" t="n">
        <v>19859</v>
      </c>
      <c r="B2047" s="24" t="inlineStr">
        <is>
          <t>IPRATROPIUM BROMIDE SOLUTION RESPIRATORY 250 ug/1mL 2 mL</t>
        </is>
      </c>
      <c r="C2047" s="25">
        <f>IF(COUNTIF('کدهای پیام‌داروساز'!$A$2:$A$2442,A2047)&gt;0,"بله","خیر")</f>
        <v/>
      </c>
    </row>
    <row r="2048" ht="15" customHeight="1" s="14">
      <c r="A2048" s="24" t="n">
        <v>19871</v>
      </c>
      <c r="B2048" s="24" t="inlineStr">
        <is>
          <t>MINOXIDIL / AZELAIC ACID / TRETINOIN / BETAMETHASONE SOLUTION TOPICAL 5 %/5 %/0.025 %/0.025 % 50 mL</t>
        </is>
      </c>
      <c r="C2048" s="25">
        <f>IF(COUNTIF('کدهای پیام‌داروساز'!$A$2:$A$2442,A2048)&gt;0,"بله","خیر")</f>
        <v/>
      </c>
    </row>
    <row r="2049" ht="15" customHeight="1" s="14">
      <c r="A2049" s="24" t="n">
        <v>19875</v>
      </c>
      <c r="B2049" s="24" t="inlineStr">
        <is>
          <t>INSULIN REGULAR INJECTION PARENTERAL 100 [iU]/1mL 3 mL</t>
        </is>
      </c>
      <c r="C2049" s="25">
        <f>IF(COUNTIF('کدهای پیام‌داروساز'!$A$2:$A$2442,A2049)&gt;0,"بله","خیر")</f>
        <v/>
      </c>
    </row>
    <row r="2050" ht="15" customHeight="1" s="14">
      <c r="A2050" s="24" t="n">
        <v>19877</v>
      </c>
      <c r="B2050" s="24" t="inlineStr">
        <is>
          <t>INSULIN ISOPHANE INJECTION PARENTERAL 100 [iU]/1mL 3 mL</t>
        </is>
      </c>
      <c r="C2050" s="25">
        <f>IF(COUNTIF('کدهای پیام‌داروساز'!$A$2:$A$2442,A2050)&gt;0,"بله","خیر")</f>
        <v/>
      </c>
    </row>
    <row r="2051" ht="15" customHeight="1" s="14">
      <c r="A2051" s="24" t="n">
        <v>19892</v>
      </c>
      <c r="B2051" s="24" t="inlineStr">
        <is>
          <t>AMINO ACID 10% WITH ELECTROLYTE INJECTION, SOLUTION INTRAVENOUS 5 mg/8.9 mg/8.56 mg/4.4 mg/4.7 mg/4.2 mg/1.6 mg/6.2 mg/11.5 mg/3 mg/10.5 mg/12 mg/5.6 mg/7.2 mg/5.5 mg/2.3 mg/0.4 mg/2.858 mg/0.36 mg/2.453 mg/0.508 mg/3.581 mg/1mL 250 mL</t>
        </is>
      </c>
      <c r="C2051" s="25">
        <f>IF(COUNTIF('کدهای پیام‌داروساز'!$A$2:$A$2442,A2051)&gt;0,"بله","خیر")</f>
        <v/>
      </c>
    </row>
    <row r="2052" ht="15" customHeight="1" s="14">
      <c r="A2052" s="24" t="n">
        <v>19899</v>
      </c>
      <c r="B2052" s="24" t="inlineStr">
        <is>
          <t>IBUPROFEN TABLET, EXTENDED RELEASE ORAL 800 mg</t>
        </is>
      </c>
      <c r="C2052" s="25">
        <f>IF(COUNTIF('کدهای پیام‌داروساز'!$A$2:$A$2442,A2052)&gt;0,"بله","خیر")</f>
        <v/>
      </c>
    </row>
    <row r="2053" ht="15" customHeight="1" s="14">
      <c r="A2053" s="24" t="n">
        <v>19919</v>
      </c>
      <c r="B2053" s="24" t="inlineStr">
        <is>
          <t>MINOXIDIL / AZELAIC ACID / BETAMETHASONE SOLUTION TOPICAL 5 %/5 %/0.025 % 50 mL</t>
        </is>
      </c>
      <c r="C2053" s="25">
        <f>IF(COUNTIF('کدهای پیام‌داروساز'!$A$2:$A$2442,A2053)&gt;0,"بله","خیر")</f>
        <v/>
      </c>
    </row>
    <row r="2054" ht="15" customHeight="1" s="14">
      <c r="A2054" s="24" t="n">
        <v>19923</v>
      </c>
      <c r="B2054" s="24" t="inlineStr">
        <is>
          <t>AMINO ACID 5% WITH ELECTROLYTE INJECTION, SOLUTION INTRAVENOUS 2.5 mg/4.45 mg/4.28 mg/2.2 mg/2.35 mg/2.1 mg/0.8 mg/3.1 mg/5.75 mg/1.5 mg/5.25 mg/6 mg/2.8 mg/3.6 mg/2.75 mg/1.15 mg/0.4 mg/1.361 mg/0.964 mg/0.14 mg/2.453 mg/0.508 mg/3.581 mg/1mL 250 mL</t>
        </is>
      </c>
      <c r="C2054" s="25">
        <f>IF(COUNTIF('کدهای پیام‌داروساز'!$A$2:$A$2442,A2054)&gt;0,"بله","خیر")</f>
        <v/>
      </c>
    </row>
    <row r="2055" ht="15" customHeight="1" s="14">
      <c r="A2055" s="24" t="n">
        <v>19926</v>
      </c>
      <c r="B2055" s="24" t="inlineStr">
        <is>
          <t>AMINO ACID 5% WITH ELECTROLYTE INJECTION, SOLUTION INTRAVENOUS 2.5 mg/4.45 mg/4.28 mg/2.2 mg/2.35 mg/2.1 mg/0.8 mg/3.1 mg/5.75 mg/1.5 mg/5.25 mg/6 mg/2.8 mg/3.6 mg/2.75 mg/1.15 mg/0.4 mg/1.361 mg/0.964 mg/0.14 mg/2.453 mg/0.508 mg/3.581 mg/1mL 500 mL</t>
        </is>
      </c>
      <c r="C2055" s="25">
        <f>IF(COUNTIF('کدهای پیام‌داروساز'!$A$2:$A$2442,A2055)&gt;0,"بله","خیر")</f>
        <v/>
      </c>
    </row>
    <row r="2056" ht="15" customHeight="1" s="14">
      <c r="A2056" s="24" t="n">
        <v>19930</v>
      </c>
      <c r="B2056" s="24" t="inlineStr">
        <is>
          <t>DICLOFENAC SODIUM TABLET, EXTENDED RELEASE ORAL 75 mg</t>
        </is>
      </c>
      <c r="C2056" s="25">
        <f>IF(COUNTIF('کدهای پیام‌داروساز'!$A$2:$A$2442,A2056)&gt;0,"بله","خیر")</f>
        <v/>
      </c>
    </row>
    <row r="2057" ht="15" customHeight="1" s="14">
      <c r="A2057" s="24" t="n">
        <v>19949</v>
      </c>
      <c r="B2057" s="24" t="inlineStr">
        <is>
          <t>SIMETHICONE (DIMETHICONE ACTIVATED) CAPSULE, LIQUID FILLED ORAL 180 mg</t>
        </is>
      </c>
      <c r="C2057" s="25">
        <f>IF(COUNTIF('کدهای پیام‌داروساز'!$A$2:$A$2442,A2057)&gt;0,"بله","خیر")</f>
        <v/>
      </c>
    </row>
    <row r="2058" ht="15" customHeight="1" s="14">
      <c r="A2058" s="24" t="n">
        <v>19959</v>
      </c>
      <c r="B2058" s="24" t="inlineStr">
        <is>
          <t>HAEMOPHILUS INFLUENZAE TYPE B INJECTION, SOLUTION, CONCENTRATE PARENTERAL 1 {dose} 0.5 mL</t>
        </is>
      </c>
      <c r="C2058" s="25">
        <f>IF(COUNTIF('کدهای پیام‌داروساز'!$A$2:$A$2442,A2058)&gt;0,"بله","خیر")</f>
        <v/>
      </c>
    </row>
    <row r="2059" ht="15" customHeight="1" s="14">
      <c r="A2059" s="24" t="n">
        <v>19983</v>
      </c>
      <c r="B2059" s="24" t="inlineStr">
        <is>
          <t>QUETIAPINE (AS FUMARATE) TABLET, EXTENDED RELEASE ORAL 200 mg</t>
        </is>
      </c>
      <c r="C2059" s="25">
        <f>IF(COUNTIF('کدهای پیام‌داروساز'!$A$2:$A$2442,A2059)&gt;0,"بله","خیر")</f>
        <v/>
      </c>
    </row>
    <row r="2060" ht="15" customHeight="1" s="14">
      <c r="A2060" s="24" t="n">
        <v>19984</v>
      </c>
      <c r="B2060" s="24" t="inlineStr">
        <is>
          <t>QUETIAPINE (AS FUMARATE) TABLET, EXTENDED RELEASE ORAL 50 mg</t>
        </is>
      </c>
      <c r="C2060" s="25">
        <f>IF(COUNTIF('کدهای پیام‌داروساز'!$A$2:$A$2442,A2060)&gt;0,"بله","خیر")</f>
        <v/>
      </c>
    </row>
    <row r="2061" ht="15" customHeight="1" s="14">
      <c r="A2061" s="24" t="n">
        <v>20003</v>
      </c>
      <c r="B2061" s="24" t="inlineStr">
        <is>
          <t>ABACAVIR (AS SULFATE) TABLET ORAL 300 mg</t>
        </is>
      </c>
      <c r="C2061" s="25">
        <f>IF(COUNTIF('کدهای پیام‌داروساز'!$A$2:$A$2442,A2061)&gt;0,"بله","خیر")</f>
        <v/>
      </c>
    </row>
    <row r="2062" ht="15" customHeight="1" s="14">
      <c r="A2062" s="24" t="n">
        <v>20048</v>
      </c>
      <c r="B2062" s="24" t="inlineStr">
        <is>
          <t>EVEROLIMUS TABLET ORAL 0.25 mg</t>
        </is>
      </c>
      <c r="C2062" s="25">
        <f>IF(COUNTIF('کدهای پیام‌داروساز'!$A$2:$A$2442,A2062)&gt;0,"بله","خیر")</f>
        <v/>
      </c>
    </row>
    <row r="2063" ht="15" customHeight="1" s="14">
      <c r="A2063" s="24" t="n">
        <v>20050</v>
      </c>
      <c r="B2063" s="24" t="inlineStr">
        <is>
          <t>EVEROLIMUS TABLET ORAL 0.75 mg</t>
        </is>
      </c>
      <c r="C2063" s="25">
        <f>IF(COUNTIF('کدهای پیام‌داروساز'!$A$2:$A$2442,A2063)&gt;0,"بله","خیر")</f>
        <v/>
      </c>
    </row>
    <row r="2064" ht="15" customHeight="1" s="14">
      <c r="A2064" s="24" t="n">
        <v>20081</v>
      </c>
      <c r="B2064" s="24" t="inlineStr">
        <is>
          <t>AMINO ACID 10% (1) INJECTION, SOLUTION INTRAVENOUS 5 g/7.4 g/9.31 g/4.3 g/5.1 g/4.4 g/2 g/6.2 g/12 g/3 g/14 g/11 g/11.2 g/6.5 g/0.4 g/1 g/1000mL 500 mL</t>
        </is>
      </c>
      <c r="C2064" s="25">
        <f>IF(COUNTIF('کدهای پیام‌داروساز'!$A$2:$A$2442,A2064)&gt;0,"بله","خیر")</f>
        <v/>
      </c>
    </row>
    <row r="2065" ht="15" customHeight="1" s="14">
      <c r="A2065" s="24" t="n">
        <v>20131</v>
      </c>
      <c r="B2065" s="24" t="inlineStr">
        <is>
          <t>BUDESONIDE POWDER, METERED RESPIRATORY 400 ug/1{dose} 200 {dose}</t>
        </is>
      </c>
      <c r="C2065" s="25">
        <f>IF(COUNTIF('کدهای پیام‌داروساز'!$A$2:$A$2442,A2065)&gt;0,"بله","خیر")</f>
        <v/>
      </c>
    </row>
    <row r="2066" ht="15" customHeight="1" s="14">
      <c r="A2066" s="24" t="n">
        <v>20184</v>
      </c>
      <c r="B2066" s="24" t="inlineStr">
        <is>
          <t>SALMETEROL (AS XINAFOATE) / FLUTICASONE PROPIONATE DISC RESPIRATORY 50 ug/250 ug/1{dose} 60 {dose}</t>
        </is>
      </c>
      <c r="C2066" s="25">
        <f>IF(COUNTIF('کدهای پیام‌داروساز'!$A$2:$A$2442,A2066)&gt;0,"بله","خیر")</f>
        <v/>
      </c>
    </row>
    <row r="2067" ht="15" customHeight="1" s="14">
      <c r="A2067" s="24" t="n">
        <v>20185</v>
      </c>
      <c r="B2067" s="24" t="inlineStr">
        <is>
          <t>SALMETEROL (AS XINAFOATE) / FLUTICASONE PROPIONATE DISC RESPIRATORY 50 ug/100 ug/1{dose} 60 {dose}</t>
        </is>
      </c>
      <c r="C2067" s="25">
        <f>IF(COUNTIF('کدهای پیام‌داروساز'!$A$2:$A$2442,A2067)&gt;0,"بله","خیر")</f>
        <v/>
      </c>
    </row>
    <row r="2068" ht="15" customHeight="1" s="14">
      <c r="A2068" s="24" t="n">
        <v>20203</v>
      </c>
      <c r="B2068" s="24" t="inlineStr">
        <is>
          <t>RIZATRIPTAN (AS BENZOATE) TABLET, ORALLY DISINTEGRATING ORAL 10 mg</t>
        </is>
      </c>
      <c r="C2068" s="25">
        <f>IF(COUNTIF('کدهای پیام‌داروساز'!$A$2:$A$2442,A2068)&gt;0,"بله","خیر")</f>
        <v/>
      </c>
    </row>
    <row r="2069" ht="15" customHeight="1" s="14">
      <c r="A2069" s="24" t="n">
        <v>20298</v>
      </c>
      <c r="B2069" s="24" t="inlineStr">
        <is>
          <t>IRINOTECAN HYDROCHLORIDE INJECTION, POWDER, FOR SOLUTION INTRAVENOUS 40 mg</t>
        </is>
      </c>
      <c r="C2069" s="25">
        <f>IF(COUNTIF('کدهای پیام‌داروساز'!$A$2:$A$2442,A2069)&gt;0,"بله","خیر")</f>
        <v/>
      </c>
    </row>
    <row r="2070" ht="15" customHeight="1" s="14">
      <c r="A2070" s="24" t="n">
        <v>20299</v>
      </c>
      <c r="B2070" s="24" t="inlineStr">
        <is>
          <t>IRINOTECAN HYDROCHLORIDE INJECTION, POWDER, FOR SOLUTION INTRAVENOUS 100 mg</t>
        </is>
      </c>
      <c r="C2070" s="25">
        <f>IF(COUNTIF('کدهای پیام‌داروساز'!$A$2:$A$2442,A2070)&gt;0,"بله","خیر")</f>
        <v/>
      </c>
    </row>
    <row r="2071" ht="15" customHeight="1" s="14">
      <c r="A2071" s="24" t="n">
        <v>20306</v>
      </c>
      <c r="B2071" s="24" t="inlineStr">
        <is>
          <t>INSULIN ASPART INJECTION, SOLUTION PARENTERAL 100 [iU]/1mL 3 mL</t>
        </is>
      </c>
      <c r="C2071" s="25">
        <f>IF(COUNTIF('کدهای پیام‌داروساز'!$A$2:$A$2442,A2071)&gt;0,"بله","خیر")</f>
        <v/>
      </c>
    </row>
    <row r="2072" ht="15" customHeight="1" s="14">
      <c r="A2072" s="24" t="n">
        <v>20307</v>
      </c>
      <c r="B2072" s="24" t="inlineStr">
        <is>
          <t>CO-AMOXICLAV POWDER, FOR SUSPENSION ORAL 600 mg/42.9 mg/5mL 75 mL</t>
        </is>
      </c>
      <c r="C2072" s="25">
        <f>IF(COUNTIF('کدهای پیام‌داروساز'!$A$2:$A$2442,A2072)&gt;0,"بله","خیر")</f>
        <v/>
      </c>
    </row>
    <row r="2073" ht="15" customHeight="1" s="14">
      <c r="A2073" s="24" t="n">
        <v>20387</v>
      </c>
      <c r="B2073" s="24" t="inlineStr">
        <is>
          <t>ZOLMITRIPTAN TABLET ORAL 5 mg</t>
        </is>
      </c>
      <c r="C2073" s="25">
        <f>IF(COUNTIF('کدهای پیام‌داروساز'!$A$2:$A$2442,A2073)&gt;0,"بله","خیر")</f>
        <v/>
      </c>
    </row>
    <row r="2074" ht="15" customHeight="1" s="14">
      <c r="A2074" s="24" t="n">
        <v>20627</v>
      </c>
      <c r="B2074" s="24" t="inlineStr">
        <is>
          <t>METHYLPREDNISOLONE (AS SODIUM SUCCINATE) INJECTION, POWDER, FOR SOLUTION PARENTERAL 1000 mg</t>
        </is>
      </c>
      <c r="C2074" s="25">
        <f>IF(COUNTIF('کدهای پیام‌داروساز'!$A$2:$A$2442,A2074)&gt;0,"بله","خیر")</f>
        <v/>
      </c>
    </row>
    <row r="2075" ht="15" customHeight="1" s="14">
      <c r="A2075" s="24" t="n">
        <v>20629</v>
      </c>
      <c r="B2075" s="24" t="inlineStr">
        <is>
          <t>OXYCODONE HYDROCHLORIDE TABLET, EXTENDED RELEASE ORAL 20 mg</t>
        </is>
      </c>
      <c r="C2075" s="25">
        <f>IF(COUNTIF('کدهای پیام‌داروساز'!$A$2:$A$2442,A2075)&gt;0,"بله","خیر")</f>
        <v/>
      </c>
    </row>
    <row r="2076" ht="15" customHeight="1" s="14">
      <c r="A2076" s="24" t="n">
        <v>20686</v>
      </c>
      <c r="B2076" s="24" t="inlineStr">
        <is>
          <t>DOBUTAMINE (AS HYDROCHLORIDE) INJECTION, SOLUTION INTRAVENOUS 12.5 mg/1mL 20 mL</t>
        </is>
      </c>
      <c r="C2076" s="25">
        <f>IF(COUNTIF('کدهای پیام‌داروساز'!$A$2:$A$2442,A2076)&gt;0,"بله","خیر")</f>
        <v/>
      </c>
    </row>
    <row r="2077" ht="15" customHeight="1" s="14">
      <c r="A2077" s="24" t="n">
        <v>20711</v>
      </c>
      <c r="B2077" s="24" t="inlineStr">
        <is>
          <t>ISOTRETINOIN CAPSULE, LIQUID FILLED ORAL 16 mg</t>
        </is>
      </c>
      <c r="C2077" s="25">
        <f>IF(COUNTIF('کدهای پیام‌داروساز'!$A$2:$A$2442,A2077)&gt;0,"بله","خیر")</f>
        <v/>
      </c>
    </row>
    <row r="2078" ht="15" customHeight="1" s="14">
      <c r="A2078" s="24" t="n">
        <v>20731</v>
      </c>
      <c r="B2078" s="24" t="inlineStr">
        <is>
          <t>FELBAMATE TABLET ORAL 600 mg</t>
        </is>
      </c>
      <c r="C2078" s="25">
        <f>IF(COUNTIF('کدهای پیام‌داروساز'!$A$2:$A$2442,A2078)&gt;0,"بله","خیر")</f>
        <v/>
      </c>
    </row>
    <row r="2079" ht="15" customHeight="1" s="14">
      <c r="A2079" s="24" t="n">
        <v>20878</v>
      </c>
      <c r="B2079" s="24" t="inlineStr">
        <is>
          <t>SOMATROPIN INJECTION, POWDER, LYOPHILIZED, FOR SOLUTION PARENTERAL 16 [iU]</t>
        </is>
      </c>
      <c r="C2079" s="25">
        <f>IF(COUNTIF('کدهای پیام‌داروساز'!$A$2:$A$2442,A2079)&gt;0,"بله","خیر")</f>
        <v/>
      </c>
    </row>
    <row r="2080" ht="15" customHeight="1" s="14">
      <c r="A2080" s="24" t="n">
        <v>20922</v>
      </c>
      <c r="B2080" s="24" t="inlineStr">
        <is>
          <t>VALSARTAN / HYDROCHLOROTHIAZIDE TABLET ORAL 320 mg/12.5 mg</t>
        </is>
      </c>
      <c r="C2080" s="25">
        <f>IF(COUNTIF('کدهای پیام‌داروساز'!$A$2:$A$2442,A2080)&gt;0,"بله","خیر")</f>
        <v/>
      </c>
    </row>
    <row r="2081" ht="15" customHeight="1" s="14">
      <c r="A2081" s="24" t="n">
        <v>20923</v>
      </c>
      <c r="B2081" s="24" t="inlineStr">
        <is>
          <t>LORATADINE CAPSULE, LIQUID FILLED ORAL 10 mg</t>
        </is>
      </c>
      <c r="C2081" s="25">
        <f>IF(COUNTIF('کدهای پیام‌داروساز'!$A$2:$A$2442,A2081)&gt;0,"بله","خیر")</f>
        <v/>
      </c>
    </row>
    <row r="2082" ht="15" customHeight="1" s="14">
      <c r="A2082" s="24" t="n">
        <v>20943</v>
      </c>
      <c r="B2082" s="24" t="inlineStr">
        <is>
          <t>ERIBULIN (AS MESYLATE) INJECTION, SOLUTION PARENTERAL 0.44 mg/1mL 2 mL</t>
        </is>
      </c>
      <c r="C2082" s="25">
        <f>IF(COUNTIF('کدهای پیام‌داروساز'!$A$2:$A$2442,A2082)&gt;0,"بله","خیر")</f>
        <v/>
      </c>
    </row>
    <row r="2083" ht="15" customHeight="1" s="14">
      <c r="A2083" s="24" t="n">
        <v>21030</v>
      </c>
      <c r="B2083" s="24" t="inlineStr">
        <is>
          <t>IBUPROFEN INJECTION PARENTERAL 100 mg/1mL 4 mL</t>
        </is>
      </c>
      <c r="C2083" s="25">
        <f>IF(COUNTIF('کدهای پیام‌داروساز'!$A$2:$A$2442,A2083)&gt;0,"بله","خیر")</f>
        <v/>
      </c>
    </row>
    <row r="2084" ht="15" customHeight="1" s="14">
      <c r="A2084" s="24" t="n">
        <v>21088</v>
      </c>
      <c r="B2084" s="24" t="inlineStr">
        <is>
          <t>AZELASTINE HYDROCHLORIDE SPRAY, METERED NASAL 137 ug/1{Puff} 10 mL</t>
        </is>
      </c>
      <c r="C2084" s="25">
        <f>IF(COUNTIF('کدهای پیام‌داروساز'!$A$2:$A$2442,A2084)&gt;0,"بله","خیر")</f>
        <v/>
      </c>
    </row>
    <row r="2085" ht="15" customHeight="1" s="14">
      <c r="A2085" s="24" t="n">
        <v>21097</v>
      </c>
      <c r="B2085" s="24" t="inlineStr">
        <is>
          <t>BOTULINUM A TOXIN INJECTION, POWDER, LYOPHILIZED, FOR SOLUTION PARENTERAL 50 [iU]</t>
        </is>
      </c>
      <c r="C2085" s="25">
        <f>IF(COUNTIF('کدهای پیام‌داروساز'!$A$2:$A$2442,A2085)&gt;0,"بله","خیر")</f>
        <v/>
      </c>
    </row>
    <row r="2086" ht="15" customHeight="1" s="14">
      <c r="A2086" s="24" t="n">
        <v>21109</v>
      </c>
      <c r="B2086" s="24" t="inlineStr">
        <is>
          <t>LACOSAMIDE TABLET ORAL 200 mg</t>
        </is>
      </c>
      <c r="C2086" s="25">
        <f>IF(COUNTIF('کدهای پیام‌داروساز'!$A$2:$A$2442,A2086)&gt;0,"بله","خیر")</f>
        <v/>
      </c>
    </row>
    <row r="2087" ht="15" customHeight="1" s="14">
      <c r="A2087" s="24" t="n">
        <v>21121</v>
      </c>
      <c r="B2087" s="24" t="inlineStr">
        <is>
          <t>FACTOR VII INJECTION, POWDER, FOR SOLUTION PARENTERAL 600 [iU]</t>
        </is>
      </c>
      <c r="C2087" s="25">
        <f>IF(COUNTIF('کدهای پیام‌داروساز'!$A$2:$A$2442,A2087)&gt;0,"بله","خیر")</f>
        <v/>
      </c>
    </row>
    <row r="2088" ht="15" customHeight="1" s="14">
      <c r="A2088" s="24" t="n">
        <v>21178</v>
      </c>
      <c r="B2088" s="24" t="inlineStr">
        <is>
          <t>MEMANTINE HYDROCHLORIDE SOLUTION ORAL 2 mg/1mL 240 mL</t>
        </is>
      </c>
      <c r="C2088" s="25">
        <f>IF(COUNTIF('کدهای پیام‌داروساز'!$A$2:$A$2442,A2088)&gt;0,"بله","خیر")</f>
        <v/>
      </c>
    </row>
    <row r="2089" ht="15" customHeight="1" s="14">
      <c r="A2089" s="24" t="n">
        <v>21183</v>
      </c>
      <c r="B2089" s="24" t="inlineStr">
        <is>
          <t>SEVELAMER CARBONATE TABLET ORAL 800 mg</t>
        </is>
      </c>
      <c r="C2089" s="25">
        <f>IF(COUNTIF('کدهای پیام‌داروساز'!$A$2:$A$2442,A2089)&gt;0,"بله","خیر")</f>
        <v/>
      </c>
    </row>
    <row r="2090" ht="15" customHeight="1" s="14">
      <c r="A2090" s="24" t="n">
        <v>21240</v>
      </c>
      <c r="B2090" s="24" t="inlineStr">
        <is>
          <t>DOCETAXEL INJECTION, SOLUTION INTRAVENOUS 20 mg/1mL 4 mL</t>
        </is>
      </c>
      <c r="C2090" s="25">
        <f>IF(COUNTIF('کدهای پیام‌داروساز'!$A$2:$A$2442,A2090)&gt;0,"بله","خیر")</f>
        <v/>
      </c>
    </row>
    <row r="2091" ht="15" customHeight="1" s="14">
      <c r="A2091" s="24" t="n">
        <v>21241</v>
      </c>
      <c r="B2091" s="24" t="inlineStr">
        <is>
          <t>DOCETAXEL INJECTION, SOLUTION INTRAVENOUS 20 mg/1mL 8 mL</t>
        </is>
      </c>
      <c r="C2091" s="25">
        <f>IF(COUNTIF('کدهای پیام‌داروساز'!$A$2:$A$2442,A2091)&gt;0,"بله","خیر")</f>
        <v/>
      </c>
    </row>
    <row r="2092" ht="15" customHeight="1" s="14">
      <c r="A2092" s="24" t="n">
        <v>21258</v>
      </c>
      <c r="B2092" s="24" t="inlineStr">
        <is>
          <t>MENINGOCOCCAL VACCINE ACYW-135 INJECTION PARENTERAL 1 {dose} 0.5 mL</t>
        </is>
      </c>
      <c r="C2092" s="25">
        <f>IF(COUNTIF('کدهای پیام‌داروساز'!$A$2:$A$2442,A2092)&gt;0,"بله","خیر")</f>
        <v/>
      </c>
    </row>
    <row r="2093" ht="15" customHeight="1" s="14">
      <c r="A2093" s="24" t="n">
        <v>21266</v>
      </c>
      <c r="B2093" s="24" t="inlineStr">
        <is>
          <t>SURFACTANT (BOVINE LIPID EXTRACT) INJECTION, SUSPENSION TRANSTRACHEAL 27 mg/1mL 5 mL</t>
        </is>
      </c>
      <c r="C2093" s="25">
        <f>IF(COUNTIF('کدهای پیام‌داروساز'!$A$2:$A$2442,A2093)&gt;0,"بله","خیر")</f>
        <v/>
      </c>
    </row>
    <row r="2094" ht="15" customHeight="1" s="14">
      <c r="A2094" s="24" t="n">
        <v>21302</v>
      </c>
      <c r="B2094" s="24" t="inlineStr">
        <is>
          <t>SAPROPTERIN DIHYDROCHLORIDE TABLET, SOLUBLE ORAL 100 mg</t>
        </is>
      </c>
      <c r="C2094" s="25">
        <f>IF(COUNTIF('کدهای پیام‌داروساز'!$A$2:$A$2442,A2094)&gt;0,"بله","خیر")</f>
        <v/>
      </c>
    </row>
    <row r="2095" ht="15" customHeight="1" s="14">
      <c r="A2095" s="24" t="n">
        <v>21313</v>
      </c>
      <c r="B2095" s="24" t="inlineStr">
        <is>
          <t>GRANISETRON PATCH, EXTENDED RELEASE TRANSDERMAL 34.3 mg/52cm2</t>
        </is>
      </c>
      <c r="C2095" s="25">
        <f>IF(COUNTIF('کدهای پیام‌داروساز'!$A$2:$A$2442,A2095)&gt;0,"بله","خیر")</f>
        <v/>
      </c>
    </row>
    <row r="2096" ht="15" customHeight="1" s="14">
      <c r="A2096" s="24" t="n">
        <v>21323</v>
      </c>
      <c r="B2096" s="24" t="inlineStr">
        <is>
          <t>TOLTERODINE TARTRATE CAPSULE, EXTENDED RELEASE ORAL 2 mg</t>
        </is>
      </c>
      <c r="C2096" s="25">
        <f>IF(COUNTIF('کدهای پیام‌داروساز'!$A$2:$A$2442,A2096)&gt;0,"بله","خیر")</f>
        <v/>
      </c>
    </row>
    <row r="2097" ht="15" customHeight="1" s="14">
      <c r="A2097" s="24" t="n">
        <v>21337</v>
      </c>
      <c r="B2097" s="24" t="inlineStr">
        <is>
          <t>METFORMIN HYDROCHLORIDE TABLET, EXTENDED RELEASE ORAL 500 mg</t>
        </is>
      </c>
      <c r="C2097" s="25">
        <f>IF(COUNTIF('کدهای پیام‌داروساز'!$A$2:$A$2442,A2097)&gt;0,"بله","خیر")</f>
        <v/>
      </c>
    </row>
    <row r="2098" ht="15" customHeight="1" s="14">
      <c r="A2098" s="24" t="n">
        <v>21368</v>
      </c>
      <c r="B2098" s="24" t="inlineStr">
        <is>
          <t>BUDESONIDE / FORMOTEROL FUMARATE POWDER, METERED RESPIRATORY 160 ug/4.5 ug/1{dose} 120 {dose}</t>
        </is>
      </c>
      <c r="C2098" s="25">
        <f>IF(COUNTIF('کدهای پیام‌داروساز'!$A$2:$A$2442,A2098)&gt;0,"بله","خیر")</f>
        <v/>
      </c>
    </row>
    <row r="2099" ht="15" customHeight="1" s="14">
      <c r="A2099" s="24" t="n">
        <v>21373</v>
      </c>
      <c r="B2099" s="24" t="inlineStr">
        <is>
          <t>ADULT COLD PREPARATIONS (3-7) TABLET ORAL 500 mg/25 mg</t>
        </is>
      </c>
      <c r="C2099" s="25">
        <f>IF(COUNTIF('کدهای پیام‌داروساز'!$A$2:$A$2442,A2099)&gt;0,"بله","خیر")</f>
        <v/>
      </c>
    </row>
    <row r="2100" ht="15" customHeight="1" s="14">
      <c r="A2100" s="24" t="n">
        <v>21444</v>
      </c>
      <c r="B2100" s="24" t="inlineStr">
        <is>
          <t>FERRIC DERISOMALTOSE INJECTION PARENTERAL 100 mg/1mL 1 mL</t>
        </is>
      </c>
      <c r="C2100" s="25">
        <f>IF(COUNTIF('کدهای پیام‌داروساز'!$A$2:$A$2442,A2100)&gt;0,"بله","خیر")</f>
        <v/>
      </c>
    </row>
    <row r="2101" ht="15" customHeight="1" s="14">
      <c r="A2101" s="24" t="n">
        <v>21446</v>
      </c>
      <c r="B2101" s="24" t="inlineStr">
        <is>
          <t>MOMETASONE FUROATE INHALANT RESPIRATORY 200 ug/1{Puff} 60 {dose}</t>
        </is>
      </c>
      <c r="C2101" s="25">
        <f>IF(COUNTIF('کدهای پیام‌داروساز'!$A$2:$A$2442,A2101)&gt;0,"بله","خیر")</f>
        <v/>
      </c>
    </row>
    <row r="2102" ht="15" customHeight="1" s="14">
      <c r="A2102" s="24" t="n">
        <v>21447</v>
      </c>
      <c r="B2102" s="24" t="inlineStr">
        <is>
          <t>MOMETASONE FUROATE INHALANT RESPIRATORY 400 ug/1{Puff} 30 {dose}</t>
        </is>
      </c>
      <c r="C2102" s="25">
        <f>IF(COUNTIF('کدهای پیام‌داروساز'!$A$2:$A$2442,A2102)&gt;0,"بله","خیر")</f>
        <v/>
      </c>
    </row>
    <row r="2103" ht="15" customHeight="1" s="14">
      <c r="A2103" s="24" t="n">
        <v>21448</v>
      </c>
      <c r="B2103" s="24" t="inlineStr">
        <is>
          <t>MOMETASONE FUROATE INHALANT RESPIRATORY 400 ug/1{Puff} 60 {dose}</t>
        </is>
      </c>
      <c r="C2103" s="25">
        <f>IF(COUNTIF('کدهای پیام‌داروساز'!$A$2:$A$2442,A2103)&gt;0,"بله","خیر")</f>
        <v/>
      </c>
    </row>
    <row r="2104" ht="15" customHeight="1" s="14">
      <c r="A2104" s="24" t="n">
        <v>21537</v>
      </c>
      <c r="B2104" s="24" t="inlineStr">
        <is>
          <t>TOBRAMYCIN POWDER RESPIRATORY 28 mg</t>
        </is>
      </c>
      <c r="C2104" s="25">
        <f>IF(COUNTIF('کدهای پیام‌داروساز'!$A$2:$A$2442,A2104)&gt;0,"بله","خیر")</f>
        <v/>
      </c>
    </row>
    <row r="2105" ht="15" customHeight="1" s="14">
      <c r="A2105" s="24" t="n">
        <v>21561</v>
      </c>
      <c r="B2105" s="24" t="inlineStr">
        <is>
          <t>DIPHTHERIA TOXOID / TETANUS TOXOID / PERTUSSIS / HAEMOPHILUS INFLUENZAE TYPE B / HEPATITIS B VACCINE INJECTION, SUSPENSION PARENTERAL 10 {dose}</t>
        </is>
      </c>
      <c r="C2105" s="25">
        <f>IF(COUNTIF('کدهای پیام‌داروساز'!$A$2:$A$2442,A2105)&gt;0,"بله","خیر")</f>
        <v/>
      </c>
    </row>
    <row r="2106" ht="15" customHeight="1" s="14">
      <c r="A2106" s="24" t="n">
        <v>21572</v>
      </c>
      <c r="B2106" s="24" t="inlineStr">
        <is>
          <t>IPILIMUMAB INJECTION, SOLUTION, CONCENTRATE PARENTERAL 5 mg/1mL 40 mL</t>
        </is>
      </c>
      <c r="C2106" s="25">
        <f>IF(COUNTIF('کدهای پیام‌داروساز'!$A$2:$A$2442,A2106)&gt;0,"بله","خیر")</f>
        <v/>
      </c>
    </row>
    <row r="2107" ht="15" customHeight="1" s="14">
      <c r="A2107" s="24" t="n">
        <v>21607</v>
      </c>
      <c r="B2107" s="24" t="inlineStr">
        <is>
          <t>CYPROTERONE ACETATE TABLET ORAL 100 mg</t>
        </is>
      </c>
      <c r="C2107" s="25">
        <f>IF(COUNTIF('کدهای پیام‌داروساز'!$A$2:$A$2442,A2107)&gt;0,"بله","خیر")</f>
        <v/>
      </c>
    </row>
    <row r="2108" ht="15" customHeight="1" s="14">
      <c r="A2108" s="24" t="n">
        <v>21610</v>
      </c>
      <c r="B2108" s="24" t="inlineStr">
        <is>
          <t>PEDIATRIC GRIPPE SYRUP ORAL 0.67 mg/10 mg/5mL 120 mL</t>
        </is>
      </c>
      <c r="C2108" s="25">
        <f>IF(COUNTIF('کدهای پیام‌داروساز'!$A$2:$A$2442,A2108)&gt;0,"بله","خیر")</f>
        <v/>
      </c>
    </row>
    <row r="2109" ht="15" customHeight="1" s="14">
      <c r="A2109" s="24" t="n">
        <v>21667</v>
      </c>
      <c r="B2109" s="24" t="inlineStr">
        <is>
          <t>ADULT COLD PREPARATIONS (5-2) CAPSULE, LIQUID FILLED ORAL 500 mg/10 mg/5 mg</t>
        </is>
      </c>
      <c r="C2109" s="25">
        <f>IF(COUNTIF('کدهای پیام‌داروساز'!$A$2:$A$2442,A2109)&gt;0,"بله","خیر")</f>
        <v/>
      </c>
    </row>
    <row r="2110" ht="15" customHeight="1" s="14">
      <c r="A2110" s="24" t="n">
        <v>21719</v>
      </c>
      <c r="B2110" s="24" t="inlineStr">
        <is>
          <t>SILVER SULFADIAZINE CREAM TOPICAL 1 % 500 g</t>
        </is>
      </c>
      <c r="C2110" s="25">
        <f>IF(COUNTIF('کدهای پیام‌داروساز'!$A$2:$A$2442,A2110)&gt;0,"بله","خیر")</f>
        <v/>
      </c>
    </row>
    <row r="2111" ht="15" customHeight="1" s="14">
      <c r="A2111" s="24" t="n">
        <v>21742</v>
      </c>
      <c r="B2111" s="24" t="inlineStr">
        <is>
          <t>ACETAMINOPHEN / CAFFEINE / IBUPROFEN CAPSULE, LIQUID FILLED ORAL 325 mg/40 mg/200 mg</t>
        </is>
      </c>
      <c r="C2111" s="25">
        <f>IF(COUNTIF('کدهای پیام‌داروساز'!$A$2:$A$2442,A2111)&gt;0,"بله","خیر")</f>
        <v/>
      </c>
    </row>
    <row r="2112" ht="15" customHeight="1" s="14">
      <c r="A2112" s="24" t="n">
        <v>21744</v>
      </c>
      <c r="B2112" s="24" t="inlineStr">
        <is>
          <t>SUFENTANIL (AS CITRATE) INJECTION PARENTERAL 50 ug/1mL</t>
        </is>
      </c>
      <c r="C2112" s="25">
        <f>IF(COUNTIF('کدهای پیام‌داروساز'!$A$2:$A$2442,A2112)&gt;0,"بله","خیر")</f>
        <v/>
      </c>
    </row>
    <row r="2113" ht="15" customHeight="1" s="14">
      <c r="A2113" s="24" t="n">
        <v>21746</v>
      </c>
      <c r="B2113" s="24" t="inlineStr">
        <is>
          <t>CONTRACEPTIVE DE TABLET ORAL 0.15 mg/30 ug</t>
        </is>
      </c>
      <c r="C2113" s="25">
        <f>IF(COUNTIF('کدهای پیام‌داروساز'!$A$2:$A$2442,A2113)&gt;0,"بله","خیر")</f>
        <v/>
      </c>
    </row>
    <row r="2114" ht="15" customHeight="1" s="14">
      <c r="A2114" s="24" t="n">
        <v>21791</v>
      </c>
      <c r="B2114" s="24" t="inlineStr">
        <is>
          <t>ACETAMINOPHEN SOLUTION ORAL 120 mg/5mL 120 mL</t>
        </is>
      </c>
      <c r="C2114" s="25">
        <f>IF(COUNTIF('کدهای پیام‌داروساز'!$A$2:$A$2442,A2114)&gt;0,"بله","خیر")</f>
        <v/>
      </c>
    </row>
    <row r="2115" ht="15" customHeight="1" s="14">
      <c r="A2115" s="24" t="n">
        <v>21807</v>
      </c>
      <c r="B2115" s="24" t="inlineStr">
        <is>
          <t>MOMETASONE FUROATE SPRAY, SUSPENSION NASAL 0.05 % 20 mL</t>
        </is>
      </c>
      <c r="C2115" s="25">
        <f>IF(COUNTIF('کدهای پیام‌داروساز'!$A$2:$A$2442,A2115)&gt;0,"بله","خیر")</f>
        <v/>
      </c>
    </row>
    <row r="2116" ht="15" customHeight="1" s="14">
      <c r="A2116" s="24" t="n">
        <v>21809</v>
      </c>
      <c r="B2116" s="24" t="inlineStr">
        <is>
          <t>MINOXIDIL AEROSOL, FOAM TOPICAL 2 % 60 g</t>
        </is>
      </c>
      <c r="C2116" s="25">
        <f>IF(COUNTIF('کدهای پیام‌داروساز'!$A$2:$A$2442,A2116)&gt;0,"بله","خیر")</f>
        <v/>
      </c>
    </row>
    <row r="2117" ht="15" customHeight="1" s="14">
      <c r="A2117" s="24" t="n">
        <v>21810</v>
      </c>
      <c r="B2117" s="24" t="inlineStr">
        <is>
          <t>MINOXIDIL AEROSOL, FOAM TOPICAL 5 % 60 g</t>
        </is>
      </c>
      <c r="C2117" s="25">
        <f>IF(COUNTIF('کدهای پیام‌داروساز'!$A$2:$A$2442,A2117)&gt;0,"بله","خیر")</f>
        <v/>
      </c>
    </row>
    <row r="2118" ht="15" customHeight="1" s="14">
      <c r="A2118" s="24" t="n">
        <v>21832</v>
      </c>
      <c r="B2118" s="24" t="inlineStr">
        <is>
          <t>ACETAMINOPHEN / DIPHENHYDRAMINE / PHENYLEPHRINE SYRUP ORAL 160 mg/12.5 mg/2.5 mg/5mL 60 mL</t>
        </is>
      </c>
      <c r="C2118" s="25">
        <f>IF(COUNTIF('کدهای پیام‌داروساز'!$A$2:$A$2442,A2118)&gt;0,"بله","خیر")</f>
        <v/>
      </c>
    </row>
    <row r="2119" ht="15" customHeight="1" s="14">
      <c r="A2119" s="24" t="n">
        <v>21850</v>
      </c>
      <c r="B2119" s="24" t="inlineStr">
        <is>
          <t>THALIDOMIDE CAPSULE ORAL 100 mg</t>
        </is>
      </c>
      <c r="C2119" s="25">
        <f>IF(COUNTIF('کدهای پیام‌داروساز'!$A$2:$A$2442,A2119)&gt;0,"بله","خیر")</f>
        <v/>
      </c>
    </row>
    <row r="2120" ht="15" customHeight="1" s="14">
      <c r="A2120" s="24" t="n">
        <v>21853</v>
      </c>
      <c r="B2120" s="24" t="inlineStr">
        <is>
          <t>LEVOFLOXACIN INJECTION, SOLUTION, CONCENTRATE PARENTERAL 25 mg/1mL 20 mL</t>
        </is>
      </c>
      <c r="C2120" s="25">
        <f>IF(COUNTIF('کدهای پیام‌داروساز'!$A$2:$A$2442,A2120)&gt;0,"بله","خیر")</f>
        <v/>
      </c>
    </row>
    <row r="2121" ht="15" customHeight="1" s="14">
      <c r="A2121" s="24" t="n">
        <v>21942</v>
      </c>
      <c r="B2121" s="24" t="inlineStr">
        <is>
          <t>LINEZOLID TABLET ORAL 400 mg</t>
        </is>
      </c>
      <c r="C2121" s="25">
        <f>IF(COUNTIF('کدهای پیام‌داروساز'!$A$2:$A$2442,A2121)&gt;0,"بله","خیر")</f>
        <v/>
      </c>
    </row>
    <row r="2122" ht="15" customHeight="1" s="14">
      <c r="A2122" s="24" t="n">
        <v>21978</v>
      </c>
      <c r="B2122" s="24" t="inlineStr">
        <is>
          <t>IBUPROFEN (AS LYSINE) TABLET ORAL 200 mg</t>
        </is>
      </c>
      <c r="C2122" s="25">
        <f>IF(COUNTIF('کدهای پیام‌داروساز'!$A$2:$A$2442,A2122)&gt;0,"بله","خیر")</f>
        <v/>
      </c>
    </row>
    <row r="2123" ht="15" customHeight="1" s="14">
      <c r="A2123" s="24" t="n">
        <v>21979</v>
      </c>
      <c r="B2123" s="24" t="inlineStr">
        <is>
          <t>IBUPROFEN (AS LYSINE) TABLET ORAL 400 mg</t>
        </is>
      </c>
      <c r="C2123" s="25">
        <f>IF(COUNTIF('کدهای پیام‌داروساز'!$A$2:$A$2442,A2123)&gt;0,"بله","خیر")</f>
        <v/>
      </c>
    </row>
    <row r="2124" ht="15" customHeight="1" s="14">
      <c r="A2124" s="24" t="n">
        <v>21982</v>
      </c>
      <c r="B2124" s="24" t="inlineStr">
        <is>
          <t>RANITIDINE INJECTION PARENTERAL 50 mg</t>
        </is>
      </c>
      <c r="C2124" s="25">
        <f>IF(COUNTIF('کدهای پیام‌داروساز'!$A$2:$A$2442,A2124)&gt;0,"بله","خیر")</f>
        <v/>
      </c>
    </row>
    <row r="2125" ht="15" customHeight="1" s="14">
      <c r="A2125" s="24" t="n">
        <v>21986</v>
      </c>
      <c r="B2125" s="24" t="inlineStr">
        <is>
          <t>ACETAMINOPHEN SUSPENSION, DROPS ORAL 100 mg/1mL 15 mL</t>
        </is>
      </c>
      <c r="C2125" s="25">
        <f>IF(COUNTIF('کدهای پیام‌داروساز'!$A$2:$A$2442,A2125)&gt;0,"بله","خیر")</f>
        <v/>
      </c>
    </row>
    <row r="2126" ht="15" customHeight="1" s="14">
      <c r="A2126" s="24" t="n">
        <v>22000</v>
      </c>
      <c r="B2126" s="24" t="inlineStr">
        <is>
          <t>FLUCONAZOLE INJECTION PARENTERAL 2 mg/1mL 200 mL</t>
        </is>
      </c>
      <c r="C2126" s="25">
        <f>IF(COUNTIF('کدهای پیام‌داروساز'!$A$2:$A$2442,A2126)&gt;0,"بله","خیر")</f>
        <v/>
      </c>
    </row>
    <row r="2127" ht="15" customHeight="1" s="14">
      <c r="A2127" s="24" t="n">
        <v>22018</v>
      </c>
      <c r="B2127" s="24" t="inlineStr">
        <is>
          <t>DENOSUMAB INJECTION, SOLUTION PARENTERAL 120 mg/1.7 mL 1.7 mL</t>
        </is>
      </c>
      <c r="C2127" s="25">
        <f>IF(COUNTIF('کدهای پیام‌داروساز'!$A$2:$A$2442,A2127)&gt;0,"بله","خیر")</f>
        <v/>
      </c>
    </row>
    <row r="2128" ht="15" customHeight="1" s="14">
      <c r="A2128" s="24" t="n">
        <v>22078</v>
      </c>
      <c r="B2128" s="24" t="inlineStr">
        <is>
          <t>ACETAMINOPHEN / GUAIFENESIN / PHENYLEPHRINE SYRUP ORAL 125 mg/50 mg/2.5 mg/5mL 120 mL</t>
        </is>
      </c>
      <c r="C2128" s="25">
        <f>IF(COUNTIF('کدهای پیام‌داروساز'!$A$2:$A$2442,A2128)&gt;0,"بله","خیر")</f>
        <v/>
      </c>
    </row>
    <row r="2129" ht="15" customHeight="1" s="14">
      <c r="A2129" s="24" t="n">
        <v>22092</v>
      </c>
      <c r="B2129" s="24" t="inlineStr">
        <is>
          <t>GUAIFENESIN CAPSULE, GELATIN COATED ORAL 100 mg</t>
        </is>
      </c>
      <c r="C2129" s="25">
        <f>IF(COUNTIF('کدهای پیام‌داروساز'!$A$2:$A$2442,A2129)&gt;0,"بله","خیر")</f>
        <v/>
      </c>
    </row>
    <row r="2130" ht="15" customHeight="1" s="14">
      <c r="A2130" s="24" t="n">
        <v>22093</v>
      </c>
      <c r="B2130" s="24" t="inlineStr">
        <is>
          <t>GUAIFENESIN CAPSULE, GELATIN COATED ORAL 200 mg</t>
        </is>
      </c>
      <c r="C2130" s="25">
        <f>IF(COUNTIF('کدهای پیام‌داروساز'!$A$2:$A$2442,A2130)&gt;0,"بله","خیر")</f>
        <v/>
      </c>
    </row>
    <row r="2131" ht="15" customHeight="1" s="14">
      <c r="A2131" s="24" t="n">
        <v>22103</v>
      </c>
      <c r="B2131" s="24" t="inlineStr">
        <is>
          <t>ONDANSETRON (AS HYDROCHLORIDE) INJECTION, SOLUTION INTRAVENOUS 32 mg/50mL</t>
        </is>
      </c>
      <c r="C2131" s="25">
        <f>IF(COUNTIF('کدهای پیام‌داروساز'!$A$2:$A$2442,A2131)&gt;0,"بله","خیر")</f>
        <v/>
      </c>
    </row>
    <row r="2132" ht="15" customHeight="1" s="14">
      <c r="A2132" s="24" t="n">
        <v>22141</v>
      </c>
      <c r="B2132" s="24" t="inlineStr">
        <is>
          <t>RIFAXIMIN TABLET ORAL 550 mg</t>
        </is>
      </c>
      <c r="C2132" s="25">
        <f>IF(COUNTIF('کدهای پیام‌داروساز'!$A$2:$A$2442,A2132)&gt;0,"بله","خیر")</f>
        <v/>
      </c>
    </row>
    <row r="2133" ht="15" customHeight="1" s="14">
      <c r="A2133" s="24" t="n">
        <v>22315</v>
      </c>
      <c r="B2133" s="24" t="inlineStr">
        <is>
          <t>CARFILZOMIB INJECTION, POWDER, FOR SOLUTION PARENTERAL 60 mg</t>
        </is>
      </c>
      <c r="C2133" s="25">
        <f>IF(COUNTIF('کدهای پیام‌داروساز'!$A$2:$A$2442,A2133)&gt;0,"بله","خیر")</f>
        <v/>
      </c>
    </row>
    <row r="2134" ht="15" customHeight="1" s="14">
      <c r="A2134" s="24" t="n">
        <v>22330</v>
      </c>
      <c r="B2134" s="24" t="inlineStr">
        <is>
          <t>ARGATROBAN MONOHYDRATE INJECTION, SOLUTION, CONCENTRATE PARENTERAL 100 mg/1mL 2.5 mL</t>
        </is>
      </c>
      <c r="C2134" s="25">
        <f>IF(COUNTIF('کدهای پیام‌داروساز'!$A$2:$A$2442,A2134)&gt;0,"بله","خیر")</f>
        <v/>
      </c>
    </row>
    <row r="2135" ht="15" customHeight="1" s="14">
      <c r="A2135" s="24" t="n">
        <v>22333</v>
      </c>
      <c r="B2135" s="24" t="inlineStr">
        <is>
          <t>MOMETASONE FUROATE SPRAY, SUSPENSION NASAL 0.05 % 15 mL</t>
        </is>
      </c>
      <c r="C2135" s="25">
        <f>IF(COUNTIF('کدهای پیام‌داروساز'!$A$2:$A$2442,A2135)&gt;0,"بله","خیر")</f>
        <v/>
      </c>
    </row>
    <row r="2136" ht="15" customHeight="1" s="14">
      <c r="A2136" s="24" t="n">
        <v>22368</v>
      </c>
      <c r="B2136" s="24" t="inlineStr">
        <is>
          <t>VITAMIN B1 (THIAMINE HYDROCHLORIDE) INJECTION PARENTERAL 100 mg/1mL</t>
        </is>
      </c>
      <c r="C2136" s="25">
        <f>IF(COUNTIF('کدهای پیام‌داروساز'!$A$2:$A$2442,A2136)&gt;0,"بله","خیر")</f>
        <v/>
      </c>
    </row>
    <row r="2137" ht="15" customHeight="1" s="14">
      <c r="A2137" s="24" t="n">
        <v>22396</v>
      </c>
      <c r="B2137" s="24" t="inlineStr">
        <is>
          <t>HEPATITIS B IMMUNE GLOBULIN INJECTION PARENTERAL 50 [iU]/1mL 2 mL</t>
        </is>
      </c>
      <c r="C2137" s="25">
        <f>IF(COUNTIF('کدهای پیام‌داروساز'!$A$2:$A$2442,A2137)&gt;0,"بله","خیر")</f>
        <v/>
      </c>
    </row>
    <row r="2138" ht="15" customHeight="1" s="14">
      <c r="A2138" s="24" t="n">
        <v>22398</v>
      </c>
      <c r="B2138" s="24" t="inlineStr">
        <is>
          <t>HEPATITIS B IMMUNE GLOBULIN INJECTION PARENTERAL 50 [iU]/1mL 40 mL</t>
        </is>
      </c>
      <c r="C2138" s="25">
        <f>IF(COUNTIF('کدهای پیام‌داروساز'!$A$2:$A$2442,A2138)&gt;0,"بله","خیر")</f>
        <v/>
      </c>
    </row>
    <row r="2139" ht="15" customHeight="1" s="14">
      <c r="A2139" s="24" t="n">
        <v>22412</v>
      </c>
      <c r="B2139" s="24" t="inlineStr">
        <is>
          <t>PLERIXAFOR INJECTION PARENTERAL 20 mg/1mL 1.2 mL</t>
        </is>
      </c>
      <c r="C2139" s="25">
        <f>IF(COUNTIF('کدهای پیام‌داروساز'!$A$2:$A$2442,A2139)&gt;0,"بله","خیر")</f>
        <v/>
      </c>
    </row>
    <row r="2140" ht="15" customHeight="1" s="14">
      <c r="A2140" s="24" t="n">
        <v>22419</v>
      </c>
      <c r="B2140" s="24" t="inlineStr">
        <is>
          <t>FACTOR VIII / VON WILLEBRAND FACTOR INJECTION, POWDER, LYOPHILIZED, FOR SOLUTION PARENTERAL 1000 [iU]/1000 [iU] 1000 [iU]</t>
        </is>
      </c>
      <c r="C2140" s="25">
        <f>IF(COUNTIF('کدهای پیام‌داروساز'!$A$2:$A$2442,A2140)&gt;0,"بله","خیر")</f>
        <v/>
      </c>
    </row>
    <row r="2141" ht="15" customHeight="1" s="14">
      <c r="A2141" s="24" t="n">
        <v>22422</v>
      </c>
      <c r="B2141" s="24" t="inlineStr">
        <is>
          <t>LEUPRORELIN ACETATE INJECTION, POWDER, FOR SUSPENSION, EXTENDED RELEASE PARENTERAL 7.5 mg</t>
        </is>
      </c>
      <c r="C2141" s="25">
        <f>IF(COUNTIF('کدهای پیام‌داروساز'!$A$2:$A$2442,A2141)&gt;0,"بله","خیر")</f>
        <v/>
      </c>
    </row>
    <row r="2142" ht="15" customHeight="1" s="14">
      <c r="A2142" s="24" t="n">
        <v>22428</v>
      </c>
      <c r="B2142" s="24" t="inlineStr">
        <is>
          <t>SITAGLIPTIN (AS PHOSPHATE) TABLET ORAL 50 mg</t>
        </is>
      </c>
      <c r="C2142" s="25">
        <f>IF(COUNTIF('کدهای پیام‌داروساز'!$A$2:$A$2442,A2142)&gt;0,"بله","خیر")</f>
        <v/>
      </c>
    </row>
    <row r="2143" ht="15" customHeight="1" s="14">
      <c r="A2143" s="24" t="n">
        <v>22429</v>
      </c>
      <c r="B2143" s="24" t="inlineStr">
        <is>
          <t>SITAGLIPTIN (AS PHOSPHATE) TABLET ORAL 25 mg</t>
        </is>
      </c>
      <c r="C2143" s="25">
        <f>IF(COUNTIF('کدهای پیام‌داروساز'!$A$2:$A$2442,A2143)&gt;0,"بله","خیر")</f>
        <v/>
      </c>
    </row>
    <row r="2144" ht="15" customHeight="1" s="14">
      <c r="A2144" s="24" t="n">
        <v>22456</v>
      </c>
      <c r="B2144" s="24" t="inlineStr">
        <is>
          <t>AFLIBERCEPT INJECTION, SOLUTION, CONCENTRATE PARENTERAL 25 mg/1mL 4 mL</t>
        </is>
      </c>
      <c r="C2144" s="25">
        <f>IF(COUNTIF('کدهای پیام‌داروساز'!$A$2:$A$2442,A2144)&gt;0,"بله","خیر")</f>
        <v/>
      </c>
    </row>
    <row r="2145" ht="15" customHeight="1" s="14">
      <c r="A2145" s="24" t="n">
        <v>22525</v>
      </c>
      <c r="B2145" s="24" t="inlineStr">
        <is>
          <t>DARUNAVIR (AS ETHANOLATE) TABLET ORAL 600 mg</t>
        </is>
      </c>
      <c r="C2145" s="25">
        <f>IF(COUNTIF('کدهای پیام‌داروساز'!$A$2:$A$2442,A2145)&gt;0,"بله","خیر")</f>
        <v/>
      </c>
    </row>
    <row r="2146" ht="15" customHeight="1" s="14">
      <c r="A2146" s="24" t="n">
        <v>22527</v>
      </c>
      <c r="B2146" s="24" t="inlineStr">
        <is>
          <t>RALTEGRAVIR TABLET ORAL 400 mg</t>
        </is>
      </c>
      <c r="C2146" s="25">
        <f>IF(COUNTIF('کدهای پیام‌داروساز'!$A$2:$A$2442,A2146)&gt;0,"بله","خیر")</f>
        <v/>
      </c>
    </row>
    <row r="2147" ht="15" customHeight="1" s="14">
      <c r="A2147" s="24" t="n">
        <v>22558</v>
      </c>
      <c r="B2147" s="24" t="inlineStr">
        <is>
          <t>ENZALUTAMIDE CAPSULE, LIQUID FILLED ORAL 40 mg</t>
        </is>
      </c>
      <c r="C2147" s="25">
        <f>IF(COUNTIF('کدهای پیام‌داروساز'!$A$2:$A$2442,A2147)&gt;0,"بله","خیر")</f>
        <v/>
      </c>
    </row>
    <row r="2148" ht="15" customHeight="1" s="14">
      <c r="A2148" s="24" t="n">
        <v>22637</v>
      </c>
      <c r="B2148" s="24" t="inlineStr">
        <is>
          <t>DICLOFENAC PLASTER TOPICAL 120 mg</t>
        </is>
      </c>
      <c r="C2148" s="25">
        <f>IF(COUNTIF('کدهای پیام‌داروساز'!$A$2:$A$2442,A2148)&gt;0,"بله","خیر")</f>
        <v/>
      </c>
    </row>
    <row r="2149" ht="15" customHeight="1" s="14">
      <c r="A2149" s="24" t="n">
        <v>22646</v>
      </c>
      <c r="B2149" s="24" t="inlineStr">
        <is>
          <t>AFLIBERCEPT INJECTION PARENTERAL 40 mg/1mL 0.1 mL</t>
        </is>
      </c>
      <c r="C2149" s="25">
        <f>IF(COUNTIF('کدهای پیام‌داروساز'!$A$2:$A$2442,A2149)&gt;0,"بله","خیر")</f>
        <v/>
      </c>
    </row>
    <row r="2150" ht="15" customHeight="1" s="14">
      <c r="A2150" s="24" t="n">
        <v>22666</v>
      </c>
      <c r="B2150" s="24" t="inlineStr">
        <is>
          <t>LIRAGLUTIDE INJECTION, SOLUTION PARENTERAL 6 mg/1mL 3 mL</t>
        </is>
      </c>
      <c r="C2150" s="25">
        <f>IF(COUNTIF('کدهای پیام‌داروساز'!$A$2:$A$2442,A2150)&gt;0,"بله","خیر")</f>
        <v/>
      </c>
    </row>
    <row r="2151" ht="15" customHeight="1" s="14">
      <c r="A2151" s="24" t="n">
        <v>22689</v>
      </c>
      <c r="B2151" s="24" t="inlineStr">
        <is>
          <t>MAGNESIUM SULFATE INJECTION PARENTERAL 50 % 50 mL</t>
        </is>
      </c>
      <c r="C2151" s="25">
        <f>IF(COUNTIF('کدهای پیام‌داروساز'!$A$2:$A$2442,A2151)&gt;0,"بله","خیر")</f>
        <v/>
      </c>
    </row>
    <row r="2152" ht="15" customHeight="1" s="14">
      <c r="A2152" s="24" t="n">
        <v>22698</v>
      </c>
      <c r="B2152" s="24" t="inlineStr">
        <is>
          <t>TERIFLUNOMIDE TABLET ORAL 14 mg</t>
        </is>
      </c>
      <c r="C2152" s="25">
        <f>IF(COUNTIF('کدهای پیام‌داروساز'!$A$2:$A$2442,A2152)&gt;0,"بله","خیر")</f>
        <v/>
      </c>
    </row>
    <row r="2153" ht="15" customHeight="1" s="14">
      <c r="A2153" s="24" t="n">
        <v>22816</v>
      </c>
      <c r="B2153" s="24" t="inlineStr">
        <is>
          <t>TAFLUPROST SOLUTION, DROPS OPHTHALMIC 15 ug/1mL 0.3 mL</t>
        </is>
      </c>
      <c r="C2153" s="25">
        <f>IF(COUNTIF('کدهای پیام‌داروساز'!$A$2:$A$2442,A2153)&gt;0,"بله","خیر")</f>
        <v/>
      </c>
    </row>
    <row r="2154" ht="15" customHeight="1" s="14">
      <c r="A2154" s="24" t="n">
        <v>22820</v>
      </c>
      <c r="B2154" s="24" t="inlineStr">
        <is>
          <t>METHYLPREDNISOLONE (AS SODIUM SUCCINATE) INJECTION, POWDER, FOR SOLUTION PARENTERAL 250 mg</t>
        </is>
      </c>
      <c r="C2154" s="25">
        <f>IF(COUNTIF('کدهای پیام‌داروساز'!$A$2:$A$2442,A2154)&gt;0,"بله","خیر")</f>
        <v/>
      </c>
    </row>
    <row r="2155" ht="15" customHeight="1" s="14">
      <c r="A2155" s="24" t="n">
        <v>22854</v>
      </c>
      <c r="B2155" s="24" t="inlineStr">
        <is>
          <t>RAMUCIRUMAB INJECTION, SOLUTION, CONCENTRATE PARENTERAL 10 mg/1mL 10 mL</t>
        </is>
      </c>
      <c r="C2155" s="25">
        <f>IF(COUNTIF('کدهای پیام‌داروساز'!$A$2:$A$2442,A2155)&gt;0,"بله","خیر")</f>
        <v/>
      </c>
    </row>
    <row r="2156" ht="15" customHeight="1" s="14">
      <c r="A2156" s="24" t="n">
        <v>22856</v>
      </c>
      <c r="B2156" s="24" t="inlineStr">
        <is>
          <t>RIVAROXABAN TABLET ORAL 20 mg</t>
        </is>
      </c>
      <c r="C2156" s="25">
        <f>IF(COUNTIF('کدهای پیام‌داروساز'!$A$2:$A$2442,A2156)&gt;0,"بله","خیر")</f>
        <v/>
      </c>
    </row>
    <row r="2157" ht="15" customHeight="1" s="14">
      <c r="A2157" s="24" t="n">
        <v>22858</v>
      </c>
      <c r="B2157" s="24" t="inlineStr">
        <is>
          <t>PAZOPANIB (AS HYDROCHLORIDE) TABLET ORAL 200 mg</t>
        </is>
      </c>
      <c r="C2157" s="25">
        <f>IF(COUNTIF('کدهای پیام‌داروساز'!$A$2:$A$2442,A2157)&gt;0,"بله","خیر")</f>
        <v/>
      </c>
    </row>
    <row r="2158" ht="15" customHeight="1" s="14">
      <c r="A2158" s="24" t="n">
        <v>22867</v>
      </c>
      <c r="B2158" s="24" t="inlineStr">
        <is>
          <t>SOFOSBUVIR TABLET ORAL 400 mg</t>
        </is>
      </c>
      <c r="C2158" s="25">
        <f>IF(COUNTIF('کدهای پیام‌داروساز'!$A$2:$A$2442,A2158)&gt;0,"بله","خیر")</f>
        <v/>
      </c>
    </row>
    <row r="2159" ht="15" customHeight="1" s="14">
      <c r="A2159" s="24" t="n">
        <v>22891</v>
      </c>
      <c r="B2159" s="24" t="inlineStr">
        <is>
          <t>AMPHOTERICIN B NANOLIPOSOMAL GEL TOPICAL 0.4 % 15 g</t>
        </is>
      </c>
      <c r="C2159" s="25">
        <f>IF(COUNTIF('کدهای پیام‌داروساز'!$A$2:$A$2442,A2159)&gt;0,"بله","خیر")</f>
        <v/>
      </c>
    </row>
    <row r="2160" ht="15" customHeight="1" s="14">
      <c r="A2160" s="24" t="n">
        <v>22925</v>
      </c>
      <c r="B2160" s="24" t="inlineStr">
        <is>
          <t>DIMETHYL FUMARATE CAPSULE, DELAYED RELEASE ORAL 120 mg</t>
        </is>
      </c>
      <c r="C2160" s="25">
        <f>IF(COUNTIF('کدهای پیام‌داروساز'!$A$2:$A$2442,A2160)&gt;0,"بله","خیر")</f>
        <v/>
      </c>
    </row>
    <row r="2161" ht="15" customHeight="1" s="14">
      <c r="A2161" s="24" t="n">
        <v>22926</v>
      </c>
      <c r="B2161" s="24" t="inlineStr">
        <is>
          <t>DIMETHYL FUMARATE CAPSULE, DELAYED RELEASE ORAL 240 mg</t>
        </is>
      </c>
      <c r="C2161" s="25">
        <f>IF(COUNTIF('کدهای پیام‌داروساز'!$A$2:$A$2442,A2161)&gt;0,"بله","خیر")</f>
        <v/>
      </c>
    </row>
    <row r="2162" ht="15" customHeight="1" s="14">
      <c r="A2162" s="24" t="n">
        <v>23027</v>
      </c>
      <c r="B2162" s="24" t="inlineStr">
        <is>
          <t>PAROXETINE (AS HYDROCHLORIDE) TABLET ORAL 40 mg</t>
        </is>
      </c>
      <c r="C2162" s="25">
        <f>IF(COUNTIF('کدهای پیام‌داروساز'!$A$2:$A$2442,A2162)&gt;0,"بله","خیر")</f>
        <v/>
      </c>
    </row>
    <row r="2163" ht="15" customHeight="1" s="14">
      <c r="A2163" s="24" t="n">
        <v>23052</v>
      </c>
      <c r="B2163" s="24" t="inlineStr">
        <is>
          <t>CLINDAMYCIN (AS PHOSPHATE) / CLOTRIMAZOLE CREAM VAGINAL 2 %/2 % 40 g</t>
        </is>
      </c>
      <c r="C2163" s="25">
        <f>IF(COUNTIF('کدهای پیام‌داروساز'!$A$2:$A$2442,A2163)&gt;0,"بله","خیر")</f>
        <v/>
      </c>
    </row>
    <row r="2164" ht="15" customHeight="1" s="14">
      <c r="A2164" s="24" t="n">
        <v>23065</v>
      </c>
      <c r="B2164" s="24" t="inlineStr">
        <is>
          <t>PENTOSAN POLYSULFATE SODIUM TABLET ORAL 25 mg</t>
        </is>
      </c>
      <c r="C2164" s="25">
        <f>IF(COUNTIF('کدهای پیام‌داروساز'!$A$2:$A$2442,A2164)&gt;0,"بله","خیر")</f>
        <v/>
      </c>
    </row>
    <row r="2165" ht="15" customHeight="1" s="14">
      <c r="A2165" s="24" t="n">
        <v>23088</v>
      </c>
      <c r="B2165" s="24" t="inlineStr">
        <is>
          <t>RITONAVIR TABLET ORAL 100 mg</t>
        </is>
      </c>
      <c r="C2165" s="25">
        <f>IF(COUNTIF('کدهای پیام‌داروساز'!$A$2:$A$2442,A2165)&gt;0,"بله","خیر")</f>
        <v/>
      </c>
    </row>
    <row r="2166" ht="15" customHeight="1" s="14">
      <c r="A2166" s="24" t="n">
        <v>23124</v>
      </c>
      <c r="B2166" s="24" t="inlineStr">
        <is>
          <t>KETOROLAC TROMETAMOL INJECTION PARENTERAL 15 mg/1mL 1 mL</t>
        </is>
      </c>
      <c r="C2166" s="25">
        <f>IF(COUNTIF('کدهای پیام‌داروساز'!$A$2:$A$2442,A2166)&gt;0,"بله","خیر")</f>
        <v/>
      </c>
    </row>
    <row r="2167" ht="15" customHeight="1" s="14">
      <c r="A2167" s="24" t="n">
        <v>23125</v>
      </c>
      <c r="B2167" s="24" t="inlineStr">
        <is>
          <t>GLATIRAMER ACETATE INJECTION, SOLUTION PARENTERAL 40 mg/1mL</t>
        </is>
      </c>
      <c r="C2167" s="25">
        <f>IF(COUNTIF('کدهای پیام‌داروساز'!$A$2:$A$2442,A2167)&gt;0,"بله","خیر")</f>
        <v/>
      </c>
    </row>
    <row r="2168" ht="15" customHeight="1" s="14">
      <c r="A2168" s="24" t="n">
        <v>23155</v>
      </c>
      <c r="B2168" s="24" t="inlineStr">
        <is>
          <t>IMATINIB (AS MESYLATE) TABLET ORAL 400 mg</t>
        </is>
      </c>
      <c r="C2168" s="25">
        <f>IF(COUNTIF('کدهای پیام‌داروساز'!$A$2:$A$2442,A2168)&gt;0,"بله","خیر")</f>
        <v/>
      </c>
    </row>
    <row r="2169" ht="15" customHeight="1" s="14">
      <c r="A2169" s="24" t="n">
        <v>23161</v>
      </c>
      <c r="B2169" s="24" t="inlineStr">
        <is>
          <t>REGORAFENIB TABLET ORAL 40 mg</t>
        </is>
      </c>
      <c r="C2169" s="25">
        <f>IF(COUNTIF('کدهای پیام‌داروساز'!$A$2:$A$2442,A2169)&gt;0,"بله","خیر")</f>
        <v/>
      </c>
    </row>
    <row r="2170" ht="15" customHeight="1" s="14">
      <c r="A2170" s="24" t="n">
        <v>23169</v>
      </c>
      <c r="B2170" s="24" t="inlineStr">
        <is>
          <t>TIGECYCLINE INJECTION, POWDER, LYOPHILIZED, FOR SOLUTION PARENTERAL 50 mg</t>
        </is>
      </c>
      <c r="C2170" s="25">
        <f>IF(COUNTIF('کدهای پیام‌داروساز'!$A$2:$A$2442,A2170)&gt;0,"بله","خیر")</f>
        <v/>
      </c>
    </row>
    <row r="2171" ht="15" customHeight="1" s="14">
      <c r="A2171" s="24" t="n">
        <v>23171</v>
      </c>
      <c r="B2171" s="24" t="inlineStr">
        <is>
          <t>MOMETASONE FUROATE/ FORMOTEROL FUMARATE AEROSOL, METERED RESPIRATORY 100 ug/5 ug/1{dose} 120 {dose}</t>
        </is>
      </c>
      <c r="C2171" s="25">
        <f>IF(COUNTIF('کدهای پیام‌داروساز'!$A$2:$A$2442,A2171)&gt;0,"بله","خیر")</f>
        <v/>
      </c>
    </row>
    <row r="2172" ht="15" customHeight="1" s="14">
      <c r="A2172" s="24" t="n">
        <v>23172</v>
      </c>
      <c r="B2172" s="24" t="inlineStr">
        <is>
          <t>MOMETASONE FUROATE/ FORMOTEROL FUMARATE AEROSOL, METERED RESPIRATORY 200 ug/5 ug/1{dose} 120 {dose}</t>
        </is>
      </c>
      <c r="C2172" s="25">
        <f>IF(COUNTIF('کدهای پیام‌داروساز'!$A$2:$A$2442,A2172)&gt;0,"بله","خیر")</f>
        <v/>
      </c>
    </row>
    <row r="2173" ht="15" customHeight="1" s="14">
      <c r="A2173" s="24" t="n">
        <v>23212</v>
      </c>
      <c r="B2173" s="24" t="inlineStr">
        <is>
          <t>METHOTREXATE SODIUM INJECTION PARENTERAL 10 mg/1mL 0.75 mL</t>
        </is>
      </c>
      <c r="C2173" s="25">
        <f>IF(COUNTIF('کدهای پیام‌داروساز'!$A$2:$A$2442,A2173)&gt;0,"بله","خیر")</f>
        <v/>
      </c>
    </row>
    <row r="2174" ht="15" customHeight="1" s="14">
      <c r="A2174" s="24" t="n">
        <v>23213</v>
      </c>
      <c r="B2174" s="24" t="inlineStr">
        <is>
          <t>METHOTREXATE SODIUM INJECTION PARENTERAL 10 mg/1mL 1.5 mL</t>
        </is>
      </c>
      <c r="C2174" s="25">
        <f>IF(COUNTIF('کدهای پیام‌داروساز'!$A$2:$A$2442,A2174)&gt;0,"بله","خیر")</f>
        <v/>
      </c>
    </row>
    <row r="2175" ht="15" customHeight="1" s="14">
      <c r="A2175" s="24" t="n">
        <v>23214</v>
      </c>
      <c r="B2175" s="24" t="inlineStr">
        <is>
          <t>METHOTREXATE SODIUM INJECTION PARENTERAL 10 mg/1mL 2 mL</t>
        </is>
      </c>
      <c r="C2175" s="25">
        <f>IF(COUNTIF('کدهای پیام‌داروساز'!$A$2:$A$2442,A2175)&gt;0,"بله","خیر")</f>
        <v/>
      </c>
    </row>
    <row r="2176" ht="15" customHeight="1" s="14">
      <c r="A2176" s="24" t="n">
        <v>23306</v>
      </c>
      <c r="B2176" s="24" t="inlineStr">
        <is>
          <t>HYDROXOCOBALAMIN INJECTION, SOLUTION PARENTERAL 1000 ug/1mL</t>
        </is>
      </c>
      <c r="C2176" s="25">
        <f>IF(COUNTIF('کدهای پیام‌داروساز'!$A$2:$A$2442,A2176)&gt;0,"بله","خیر")</f>
        <v/>
      </c>
    </row>
    <row r="2177" ht="15" customHeight="1" s="14">
      <c r="A2177" s="24" t="n">
        <v>23311</v>
      </c>
      <c r="B2177" s="24" t="inlineStr">
        <is>
          <t>BENZOYL PEROXIDE GEL TOPICAL 10 % 60 g</t>
        </is>
      </c>
      <c r="C2177" s="25">
        <f>IF(COUNTIF('کدهای پیام‌داروساز'!$A$2:$A$2442,A2177)&gt;0,"بله","خیر")</f>
        <v/>
      </c>
    </row>
    <row r="2178" ht="15" customHeight="1" s="14">
      <c r="A2178" s="24" t="n">
        <v>23312</v>
      </c>
      <c r="B2178" s="24" t="inlineStr">
        <is>
          <t>BENZOYL PEROXIDE GEL TOPICAL 5 % 60 g</t>
        </is>
      </c>
      <c r="C2178" s="25">
        <f>IF(COUNTIF('کدهای پیام‌داروساز'!$A$2:$A$2442,A2178)&gt;0,"بله","خیر")</f>
        <v/>
      </c>
    </row>
    <row r="2179" ht="15" customHeight="1" s="14">
      <c r="A2179" s="24" t="n">
        <v>23358</v>
      </c>
      <c r="B2179" s="24" t="inlineStr">
        <is>
          <t>MEGLUMINE COMPOUND INJECTION, SOLUTION PARENTERAL 66 %/10 %</t>
        </is>
      </c>
      <c r="C2179" s="25">
        <f>IF(COUNTIF('کدهای پیام‌داروساز'!$A$2:$A$2442,A2179)&gt;0,"بله","خیر")</f>
        <v/>
      </c>
    </row>
    <row r="2180" ht="15" customHeight="1" s="14">
      <c r="A2180" s="24" t="n">
        <v>23448</v>
      </c>
      <c r="B2180" s="24" t="inlineStr">
        <is>
          <t>RUXOLITINIB (AS PHOSPHATE) TABLET ORAL 5 mg</t>
        </is>
      </c>
      <c r="C2180" s="25">
        <f>IF(COUNTIF('کدهای پیام‌داروساز'!$A$2:$A$2442,A2180)&gt;0,"بله","خیر")</f>
        <v/>
      </c>
    </row>
    <row r="2181" ht="15" customHeight="1" s="14">
      <c r="A2181" s="24" t="n">
        <v>23470</v>
      </c>
      <c r="B2181" s="24" t="inlineStr">
        <is>
          <t>LEDIPASVIR / SOFOSBUVIR TABLET ORAL 90 mg/400 mg</t>
        </is>
      </c>
      <c r="C2181" s="25">
        <f>IF(COUNTIF('کدهای پیام‌داروساز'!$A$2:$A$2442,A2181)&gt;0,"بله","خیر")</f>
        <v/>
      </c>
    </row>
    <row r="2182" ht="15" customHeight="1" s="14">
      <c r="A2182" s="24" t="n">
        <v>23506</v>
      </c>
      <c r="B2182" s="24" t="inlineStr">
        <is>
          <t>SARGRAMOSTIM INJECTION, POWDER, LYOPHILIZED, FOR SOLUTION PARENTERAL 250 ug</t>
        </is>
      </c>
      <c r="C2182" s="25">
        <f>IF(COUNTIF('کدهای پیام‌داروساز'!$A$2:$A$2442,A2182)&gt;0,"بله","خیر")</f>
        <v/>
      </c>
    </row>
    <row r="2183" ht="15" customHeight="1" s="14">
      <c r="A2183" s="24" t="n">
        <v>23538</v>
      </c>
      <c r="B2183" s="24" t="inlineStr">
        <is>
          <t>VEMURAFENIB TABLET ORAL 240 mg</t>
        </is>
      </c>
      <c r="C2183" s="25">
        <f>IF(COUNTIF('کدهای پیام‌داروساز'!$A$2:$A$2442,A2183)&gt;0,"بله","خیر")</f>
        <v/>
      </c>
    </row>
    <row r="2184" ht="15" customHeight="1" s="14">
      <c r="A2184" s="24" t="n">
        <v>23984</v>
      </c>
      <c r="B2184" s="24" t="inlineStr">
        <is>
          <t>IPILIMUMAB INJECTION, SOLUTION, CONCENTRATE PARENTERAL 5 mg/1mL 10 mL</t>
        </is>
      </c>
      <c r="C2184" s="25">
        <f>IF(COUNTIF('کدهای پیام‌داروساز'!$A$2:$A$2442,A2184)&gt;0,"بله","خیر")</f>
        <v/>
      </c>
    </row>
    <row r="2185" ht="15" customHeight="1" s="14">
      <c r="A2185" s="24" t="n">
        <v>23986</v>
      </c>
      <c r="B2185" s="24" t="inlineStr">
        <is>
          <t>PERTUZUMAB INJECTION, SOLUTION, CONCENTRATE PARENTERAL 30 mg/1mL 14 mL</t>
        </is>
      </c>
      <c r="C2185" s="25">
        <f>IF(COUNTIF('کدهای پیام‌داروساز'!$A$2:$A$2442,A2185)&gt;0,"بله","خیر")</f>
        <v/>
      </c>
    </row>
    <row r="2186" ht="15" customHeight="1" s="14">
      <c r="A2186" s="24" t="n">
        <v>24006</v>
      </c>
      <c r="B2186" s="24" t="inlineStr">
        <is>
          <t>RAMUCIRUMAB INJECTION, SOLUTION, CONCENTRATE PARENTERAL 10 mg/1mL 50 mL</t>
        </is>
      </c>
      <c r="C2186" s="25">
        <f>IF(COUNTIF('کدهای پیام‌داروساز'!$A$2:$A$2442,A2186)&gt;0,"بله","خیر")</f>
        <v/>
      </c>
    </row>
    <row r="2187" ht="15" customHeight="1" s="14">
      <c r="A2187" s="24" t="n">
        <v>24054</v>
      </c>
      <c r="B2187" s="24" t="inlineStr">
        <is>
          <t>SOMATROPIN INJECTION, SOLUTION PARENTERAL 30 [iU]/2.7mL</t>
        </is>
      </c>
      <c r="C2187" s="25">
        <f>IF(COUNTIF('کدهای پیام‌داروساز'!$A$2:$A$2442,A2187)&gt;0,"بله","خیر")</f>
        <v/>
      </c>
    </row>
    <row r="2188" ht="15" customHeight="1" s="14">
      <c r="A2188" s="24" t="n">
        <v>24097</v>
      </c>
      <c r="B2188" s="24" t="inlineStr">
        <is>
          <t>PIRFENIDONE TABLET ORAL 200 mg</t>
        </is>
      </c>
      <c r="C2188" s="25">
        <f>IF(COUNTIF('کدهای پیام‌داروساز'!$A$2:$A$2442,A2188)&gt;0,"بله","خیر")</f>
        <v/>
      </c>
    </row>
    <row r="2189" ht="15" customHeight="1" s="14">
      <c r="A2189" s="24" t="n">
        <v>24191</v>
      </c>
      <c r="B2189" s="24" t="inlineStr">
        <is>
          <t>IVERMECTIN CREAM TOPICAL 1 % 30 g</t>
        </is>
      </c>
      <c r="C2189" s="25">
        <f>IF(COUNTIF('کدهای پیام‌داروساز'!$A$2:$A$2442,A2189)&gt;0,"بله","خیر")</f>
        <v/>
      </c>
    </row>
    <row r="2190" ht="15" customHeight="1" s="14">
      <c r="A2190" s="24" t="n">
        <v>24205</v>
      </c>
      <c r="B2190" s="24" t="inlineStr">
        <is>
          <t>FOSFOMYCIN (AS TROMETAMOL) GRANULE, FOR SOLUTION ORAL 3 g</t>
        </is>
      </c>
      <c r="C2190" s="25">
        <f>IF(COUNTIF('کدهای پیام‌داروساز'!$A$2:$A$2442,A2190)&gt;0,"بله","خیر")</f>
        <v/>
      </c>
    </row>
    <row r="2191" ht="15" customHeight="1" s="14">
      <c r="A2191" s="24" t="n">
        <v>24303</v>
      </c>
      <c r="B2191" s="24" t="inlineStr">
        <is>
          <t>ULIPRISTAL ACETATE TABLET ORAL 5 mg</t>
        </is>
      </c>
      <c r="C2191" s="25">
        <f>IF(COUNTIF('کدهای پیام‌داروساز'!$A$2:$A$2442,A2191)&gt;0,"بله","خیر")</f>
        <v/>
      </c>
    </row>
    <row r="2192" ht="15" customHeight="1" s="14">
      <c r="A2192" s="24" t="n">
        <v>24400</v>
      </c>
      <c r="B2192" s="24" t="inlineStr">
        <is>
          <t>BOTULINUM A TOXIN INJECTION, POWDER, LYOPHILIZED, FOR SOLUTION PARENTERAL 200 [iU]</t>
        </is>
      </c>
      <c r="C2192" s="25">
        <f>IF(COUNTIF('کدهای پیام‌داروساز'!$A$2:$A$2442,A2192)&gt;0,"بله","خیر")</f>
        <v/>
      </c>
    </row>
    <row r="2193" ht="15" customHeight="1" s="14">
      <c r="A2193" s="24" t="n">
        <v>24452</v>
      </c>
      <c r="B2193" s="24" t="inlineStr">
        <is>
          <t>CRIZOTINIB CAPSULE ORAL 250 mg</t>
        </is>
      </c>
      <c r="C2193" s="25">
        <f>IF(COUNTIF('کدهای پیام‌داروساز'!$A$2:$A$2442,A2193)&gt;0,"بله","خیر")</f>
        <v/>
      </c>
    </row>
    <row r="2194" ht="15" customHeight="1" s="14">
      <c r="A2194" s="24" t="n">
        <v>24484</v>
      </c>
      <c r="B2194" s="24" t="inlineStr">
        <is>
          <t>PAZOPANIB (AS HYDROCHLORIDE) TABLET ORAL 400 mg</t>
        </is>
      </c>
      <c r="C2194" s="25">
        <f>IF(COUNTIF('کدهای پیام‌داروساز'!$A$2:$A$2442,A2194)&gt;0,"بله","خیر")</f>
        <v/>
      </c>
    </row>
    <row r="2195" ht="15" customHeight="1" s="14">
      <c r="A2195" s="24" t="n">
        <v>24603</v>
      </c>
      <c r="B2195" s="24" t="inlineStr">
        <is>
          <t>ROPIVACAINE HYDROCHLORIDE INJECTION, SOLUTION PARENTERAL 2 mg/1 mL 10 mL</t>
        </is>
      </c>
      <c r="C2195" s="25">
        <f>IF(COUNTIF('کدهای پیام‌داروساز'!$A$2:$A$2442,A2195)&gt;0,"بله","خیر")</f>
        <v/>
      </c>
    </row>
    <row r="2196" ht="15" customHeight="1" s="14">
      <c r="A2196" s="24" t="n">
        <v>24604</v>
      </c>
      <c r="B2196" s="24" t="inlineStr">
        <is>
          <t>ROPIVACAINE HYDROCHLORIDE INJECTION, SOLUTION PARENTERAL 2 mg/1 mL 20 mL</t>
        </is>
      </c>
      <c r="C2196" s="25">
        <f>IF(COUNTIF('کدهای پیام‌داروساز'!$A$2:$A$2442,A2196)&gt;0,"بله","خیر")</f>
        <v/>
      </c>
    </row>
    <row r="2197" ht="15" customHeight="1" s="14">
      <c r="A2197" s="24" t="n">
        <v>24605</v>
      </c>
      <c r="B2197" s="24" t="inlineStr">
        <is>
          <t>ROPIVACAINE HYDROCHLORIDE INJECTION, SOLUTION PARENTERAL 5 mg/1 mL 10 mL</t>
        </is>
      </c>
      <c r="C2197" s="25">
        <f>IF(COUNTIF('کدهای پیام‌داروساز'!$A$2:$A$2442,A2197)&gt;0,"بله","خیر")</f>
        <v/>
      </c>
    </row>
    <row r="2198" ht="15" customHeight="1" s="14">
      <c r="A2198" s="24" t="n">
        <v>24616</v>
      </c>
      <c r="B2198" s="24" t="inlineStr">
        <is>
          <t>RUXOLITINIB (AS PHOSPHATE) TABLET ORAL 20 mg</t>
        </is>
      </c>
      <c r="C2198" s="25">
        <f>IF(COUNTIF('کدهای پیام‌داروساز'!$A$2:$A$2442,A2198)&gt;0,"بله","خیر")</f>
        <v/>
      </c>
    </row>
    <row r="2199" ht="15" customHeight="1" s="14">
      <c r="A2199" s="24" t="n">
        <v>24689</v>
      </c>
      <c r="B2199" s="24" t="inlineStr">
        <is>
          <t>RALTEGRAVIR TABLET, CHEWABLE ORAL 100 mg</t>
        </is>
      </c>
      <c r="C2199" s="25">
        <f>IF(COUNTIF('کدهای پیام‌داروساز'!$A$2:$A$2442,A2199)&gt;0,"بله","خیر")</f>
        <v/>
      </c>
    </row>
    <row r="2200" ht="15" customHeight="1" s="14">
      <c r="A2200" s="24" t="n">
        <v>24746</v>
      </c>
      <c r="B2200" s="24" t="inlineStr">
        <is>
          <t>ABACAVIR (AS SULFATE) SOLUTION ORAL 20 mg/1mL 240 mL</t>
        </is>
      </c>
      <c r="C2200" s="25">
        <f>IF(COUNTIF('کدهای پیام‌داروساز'!$A$2:$A$2442,A2200)&gt;0,"بله","خیر")</f>
        <v/>
      </c>
    </row>
    <row r="2201" ht="15" customHeight="1" s="14">
      <c r="A2201" s="24" t="n">
        <v>25137</v>
      </c>
      <c r="B2201" s="24" t="inlineStr">
        <is>
          <t>FEBUXOSTAT TABLET ORAL 120 mg</t>
        </is>
      </c>
      <c r="C2201" s="25">
        <f>IF(COUNTIF('کدهای پیام‌داروساز'!$A$2:$A$2442,A2201)&gt;0,"بله","خیر")</f>
        <v/>
      </c>
    </row>
    <row r="2202" ht="15" customHeight="1" s="14">
      <c r="A2202" s="24" t="n">
        <v>25187</v>
      </c>
      <c r="B2202" s="24" t="inlineStr">
        <is>
          <t>DEXPANTHENOL INJECTION, SOLUTION PARENTERAL 250 mg/1mL 2 mL</t>
        </is>
      </c>
      <c r="C2202" s="25">
        <f>IF(COUNTIF('کدهای پیام‌داروساز'!$A$2:$A$2442,A2202)&gt;0,"بله","خیر")</f>
        <v/>
      </c>
    </row>
    <row r="2203" ht="15" customHeight="1" s="14">
      <c r="A2203" s="24" t="n">
        <v>25268</v>
      </c>
      <c r="B2203" s="24" t="inlineStr">
        <is>
          <t>PEMBROLIZUMAB INJECTION, SOLUTION PARENTERAL 25 mg/1mL 4 mL</t>
        </is>
      </c>
      <c r="C2203" s="25">
        <f>IF(COUNTIF('کدهای پیام‌داروساز'!$A$2:$A$2442,A2203)&gt;0,"بله","خیر")</f>
        <v/>
      </c>
    </row>
    <row r="2204" ht="15" customHeight="1" s="14">
      <c r="A2204" s="24" t="n">
        <v>25308</v>
      </c>
      <c r="B2204" s="24" t="inlineStr">
        <is>
          <t>ELOSULFASE ALFA INJECTION, SOLUTION, CONCENTRATE PARENTERAL 1 mg/1mL 5 mL</t>
        </is>
      </c>
      <c r="C2204" s="25">
        <f>IF(COUNTIF('کدهای پیام‌داروساز'!$A$2:$A$2442,A2204)&gt;0,"بله","خیر")</f>
        <v/>
      </c>
    </row>
    <row r="2205" ht="15" customHeight="1" s="14">
      <c r="A2205" s="24" t="n">
        <v>50001</v>
      </c>
      <c r="B2205" s="24" t="inlineStr">
        <is>
          <t>LIPID INFUSION 20% (2) INJECTION, SOLUTION INTRAVENOUS 5 %/6 %/6 %/3 % 500 mL</t>
        </is>
      </c>
      <c r="C2205" s="25">
        <f>IF(COUNTIF('کدهای پیام‌داروساز'!$A$2:$A$2442,A2205)&gt;0,"بله","خیر")</f>
        <v/>
      </c>
    </row>
    <row r="2206" ht="15" customHeight="1" s="14">
      <c r="A2206" s="24" t="n">
        <v>50003</v>
      </c>
      <c r="B2206" s="24" t="inlineStr">
        <is>
          <t>DACLATASVIR / SOFOSBUVIR TABLET ORAL 60 mg/400 mg</t>
        </is>
      </c>
      <c r="C2206" s="25">
        <f>IF(COUNTIF('کدهای پیام‌داروساز'!$A$2:$A$2442,A2206)&gt;0,"بله","خیر")</f>
        <v/>
      </c>
    </row>
    <row r="2207" ht="15" customHeight="1" s="14">
      <c r="A2207" s="24" t="n">
        <v>50005</v>
      </c>
      <c r="B2207" s="24" t="inlineStr">
        <is>
          <t>RIVAROXABAN TABLET ORAL 15 mg</t>
        </is>
      </c>
      <c r="C2207" s="25">
        <f>IF(COUNTIF('کدهای پیام‌داروساز'!$A$2:$A$2442,A2207)&gt;0,"بله","خیر")</f>
        <v/>
      </c>
    </row>
    <row r="2208" ht="15" customHeight="1" s="14">
      <c r="A2208" s="24" t="n">
        <v>50021</v>
      </c>
      <c r="B2208" s="24" t="inlineStr">
        <is>
          <t>SOMATOSTATIN INJECTION, POWDER, FOR SOLUTION PARENTERAL 3 mg</t>
        </is>
      </c>
      <c r="C2208" s="25">
        <f>IF(COUNTIF('کدهای پیام‌داروساز'!$A$2:$A$2442,A2208)&gt;0,"بله","خیر")</f>
        <v/>
      </c>
    </row>
    <row r="2209" ht="15" customHeight="1" s="14">
      <c r="A2209" s="24" t="n">
        <v>50022</v>
      </c>
      <c r="B2209" s="24" t="inlineStr">
        <is>
          <t>MESALAZINE GRANULE, EXTENDED RELEASE ORAL 2 g</t>
        </is>
      </c>
      <c r="C2209" s="25">
        <f>IF(COUNTIF('کدهای پیام‌داروساز'!$A$2:$A$2442,A2209)&gt;0,"بله","خیر")</f>
        <v/>
      </c>
    </row>
    <row r="2210" ht="15" customHeight="1" s="14">
      <c r="A2210" s="24" t="n">
        <v>50024</v>
      </c>
      <c r="B2210" s="24" t="inlineStr">
        <is>
          <t>SOMATROPIN INJECTION, SOLUTION PARENTERAL 15 [iU]/1mL 1.5 mL</t>
        </is>
      </c>
      <c r="C2210" s="25">
        <f>IF(COUNTIF('کدهای پیام‌داروساز'!$A$2:$A$2442,A2210)&gt;0,"بله","خیر")</f>
        <v/>
      </c>
    </row>
    <row r="2211" ht="15" customHeight="1" s="14">
      <c r="A2211" s="24" t="n">
        <v>50029</v>
      </c>
      <c r="B2211" s="24" t="inlineStr">
        <is>
          <t>COLISTIMETHATE SODIUM INJECTION, POWDER, FOR SOLUTION PARENTERAL 2000000 [iU]</t>
        </is>
      </c>
      <c r="C2211" s="25">
        <f>IF(COUNTIF('کدهای پیام‌داروساز'!$A$2:$A$2442,A2211)&gt;0,"بله","خیر")</f>
        <v/>
      </c>
    </row>
    <row r="2212" ht="15" customHeight="1" s="14">
      <c r="A2212" s="24" t="n">
        <v>50030</v>
      </c>
      <c r="B2212" s="24" t="inlineStr">
        <is>
          <t>COLISTIMETHATE SODIUM INJECTION, POWDER, FOR SOLUTION PARENTERAL 4500000 [iU]</t>
        </is>
      </c>
      <c r="C2212" s="25">
        <f>IF(COUNTIF('کدهای پیام‌داروساز'!$A$2:$A$2442,A2212)&gt;0,"بله","خیر")</f>
        <v/>
      </c>
    </row>
    <row r="2213" ht="15" customHeight="1" s="14">
      <c r="A2213" s="24" t="n">
        <v>50033</v>
      </c>
      <c r="B2213" s="24" t="inlineStr">
        <is>
          <t>RETEPLASE INJECTION, POWDER, FOR SOLUTION PARENTERAL 10.4 [iU]</t>
        </is>
      </c>
      <c r="C2213" s="25">
        <f>IF(COUNTIF('کدهای پیام‌داروساز'!$A$2:$A$2442,A2213)&gt;0,"بله","خیر")</f>
        <v/>
      </c>
    </row>
    <row r="2214" ht="15" customHeight="1" s="14">
      <c r="A2214" s="24" t="n">
        <v>50047</v>
      </c>
      <c r="B2214" s="24" t="inlineStr">
        <is>
          <t>NOREPINEPHRINE (AS BITARTRATE) INJECTION, SOLUTION, CONCENTRATE PARENTERAL 1 mg/1mL 4 mL</t>
        </is>
      </c>
      <c r="C2214" s="25">
        <f>IF(COUNTIF('کدهای پیام‌داروساز'!$A$2:$A$2442,A2214)&gt;0,"بله","خیر")</f>
        <v/>
      </c>
    </row>
    <row r="2215" ht="15" customHeight="1" s="14">
      <c r="A2215" s="24" t="n">
        <v>50056</v>
      </c>
      <c r="B2215" s="24" t="inlineStr">
        <is>
          <t>TOBRAMYCIN / DEXAMETHASONE SUSPENSION, DROPS OPHTHALMIC 0.3 %/0.1 % 5 mL</t>
        </is>
      </c>
      <c r="C2215" s="25">
        <f>IF(COUNTIF('کدهای پیام‌داروساز'!$A$2:$A$2442,A2215)&gt;0,"بله","خیر")</f>
        <v/>
      </c>
    </row>
    <row r="2216" ht="15" customHeight="1" s="14">
      <c r="A2216" s="24" t="n">
        <v>50059</v>
      </c>
      <c r="B2216" s="24" t="inlineStr">
        <is>
          <t>FLUPENTHIXOL (AS DIHYDROCHLORIDE) TABLET ORAL 3 mg</t>
        </is>
      </c>
      <c r="C2216" s="25">
        <f>IF(COUNTIF('کدهای پیام‌داروساز'!$A$2:$A$2442,A2216)&gt;0,"بله","خیر")</f>
        <v/>
      </c>
    </row>
    <row r="2217" ht="15" customHeight="1" s="14">
      <c r="A2217" s="24" t="n">
        <v>50061</v>
      </c>
      <c r="B2217" s="24" t="inlineStr">
        <is>
          <t>FLUPENTHIXOL DECANOATE INJECTION PARENTERAL 20 mg/1mL 1 mL</t>
        </is>
      </c>
      <c r="C2217" s="25">
        <f>IF(COUNTIF('کدهای پیام‌داروساز'!$A$2:$A$2442,A2217)&gt;0,"بله","خیر")</f>
        <v/>
      </c>
    </row>
    <row r="2218" ht="15" customHeight="1" s="14">
      <c r="A2218" s="24" t="n">
        <v>50062</v>
      </c>
      <c r="B2218" s="24" t="inlineStr">
        <is>
          <t>NOT EXIST Not Exist Not Exist</t>
        </is>
      </c>
      <c r="C2218" s="25">
        <f>IF(COUNTIF('کدهای پیام‌داروساز'!$A$2:$A$2442,A2218)&gt;0,"بله","خیر")</f>
        <v/>
      </c>
    </row>
    <row r="2219" ht="15" customHeight="1" s="14">
      <c r="A2219" s="24" t="n">
        <v>50071</v>
      </c>
      <c r="B2219" s="24" t="inlineStr">
        <is>
          <t>SOMATROPIN INJECTION PARENTERAL 10 [iU]/1mL 1.5 mL</t>
        </is>
      </c>
      <c r="C2219" s="25">
        <f>IF(COUNTIF('کدهای پیام‌داروساز'!$A$2:$A$2442,A2219)&gt;0,"بله","خیر")</f>
        <v/>
      </c>
    </row>
    <row r="2220" ht="15" customHeight="1" s="14">
      <c r="A2220" s="24" t="n">
        <v>50075</v>
      </c>
      <c r="B2220" s="24" t="inlineStr">
        <is>
          <t>EDETATE CALCIUM DISODIUM INJECTION PARENTERAL 200 mg/1mL 5 mL</t>
        </is>
      </c>
      <c r="C2220" s="25">
        <f>IF(COUNTIF('کدهای پیام‌داروساز'!$A$2:$A$2442,A2220)&gt;0,"بله","خیر")</f>
        <v/>
      </c>
    </row>
    <row r="2221" ht="15" customHeight="1" s="14">
      <c r="A2221" s="24" t="n">
        <v>50079</v>
      </c>
      <c r="B2221" s="24" t="inlineStr">
        <is>
          <t>DIMERCAPROL INJECTION PARENTERAL 50 mg/1mL 2 mL</t>
        </is>
      </c>
      <c r="C2221" s="25">
        <f>IF(COUNTIF('کدهای پیام‌داروساز'!$A$2:$A$2442,A2221)&gt;0,"بله","خیر")</f>
        <v/>
      </c>
    </row>
    <row r="2222" ht="15" customHeight="1" s="14">
      <c r="A2222" s="24" t="n">
        <v>50080</v>
      </c>
      <c r="B2222" s="24" t="inlineStr">
        <is>
          <t>ANTITHYMOCYTE IMMUNOGLOBULIN (RABBIT) INJECTION PARENTERAL 20 mg/1mL</t>
        </is>
      </c>
      <c r="C2222" s="25">
        <f>IF(COUNTIF('کدهای پیام‌داروساز'!$A$2:$A$2442,A2222)&gt;0,"بله","خیر")</f>
        <v/>
      </c>
    </row>
    <row r="2223" ht="15" customHeight="1" s="14">
      <c r="A2223" s="24" t="n">
        <v>50081</v>
      </c>
      <c r="B2223" s="24" t="inlineStr">
        <is>
          <t>IMMUNE GLOBULIN INJECTION PARENTERAL 200 mg/1mL 5 mL</t>
        </is>
      </c>
      <c r="C2223" s="25">
        <f>IF(COUNTIF('کدهای پیام‌داروساز'!$A$2:$A$2442,A2223)&gt;0,"بله","خیر")</f>
        <v/>
      </c>
    </row>
    <row r="2224" ht="15" customHeight="1" s="14">
      <c r="A2224" s="24" t="n">
        <v>50082</v>
      </c>
      <c r="B2224" s="24" t="inlineStr">
        <is>
          <t>IMMUNE GLOBULIN INJECTION PARENTERAL 200 mg/1mL 10 mL</t>
        </is>
      </c>
      <c r="C2224" s="25">
        <f>IF(COUNTIF('کدهای پیام‌داروساز'!$A$2:$A$2442,A2224)&gt;0,"بله","خیر")</f>
        <v/>
      </c>
    </row>
    <row r="2225" ht="15" customHeight="1" s="14">
      <c r="A2225" s="24" t="n">
        <v>50083</v>
      </c>
      <c r="B2225" s="24" t="inlineStr">
        <is>
          <t>IMMUNE GLOBULIN INJECTION PARENTERAL 200 mg/1mL 20 mL</t>
        </is>
      </c>
      <c r="C2225" s="25">
        <f>IF(COUNTIF('کدهای پیام‌داروساز'!$A$2:$A$2442,A2225)&gt;0,"بله","خیر")</f>
        <v/>
      </c>
    </row>
    <row r="2226" ht="15" customHeight="1" s="14">
      <c r="A2226" s="24" t="n">
        <v>50088</v>
      </c>
      <c r="B2226" s="24" t="inlineStr">
        <is>
          <t>RISPERIDONE SOLUTION ORAL 1 mg/1mL 100 mL</t>
        </is>
      </c>
      <c r="C2226" s="25">
        <f>IF(COUNTIF('کدهای پیام‌داروساز'!$A$2:$A$2442,A2226)&gt;0,"بله","خیر")</f>
        <v/>
      </c>
    </row>
    <row r="2227" ht="15" customHeight="1" s="14">
      <c r="A2227" s="24" t="n">
        <v>50096</v>
      </c>
      <c r="B2227" s="24" t="inlineStr">
        <is>
          <t>GOSERELIN (AS ACETATE) IMPLANT PARENTERAL 3.6 mg</t>
        </is>
      </c>
      <c r="C2227" s="25">
        <f>IF(COUNTIF('کدهای پیام‌داروساز'!$A$2:$A$2442,A2227)&gt;0,"بله","خیر")</f>
        <v/>
      </c>
    </row>
    <row r="2228" ht="15" customHeight="1" s="14">
      <c r="A2228" s="24" t="n">
        <v>50097</v>
      </c>
      <c r="B2228" s="24" t="inlineStr">
        <is>
          <t>GOSERELIN (AS ACETATE) IMPLANT PARENTERAL 10.8 mg</t>
        </is>
      </c>
      <c r="C2228" s="25">
        <f>IF(COUNTIF('کدهای پیام‌داروساز'!$A$2:$A$2442,A2228)&gt;0,"بله","خیر")</f>
        <v/>
      </c>
    </row>
    <row r="2229" ht="15" customHeight="1" s="14">
      <c r="A2229" s="24" t="n">
        <v>50107</v>
      </c>
      <c r="B2229" s="24" t="inlineStr">
        <is>
          <t>INSULIN GLULISINE INJECTION, SOLUTION PARENTERAL 100 [iU]/1mL 3 mL</t>
        </is>
      </c>
      <c r="C2229" s="25">
        <f>IF(COUNTIF('کدهای پیام‌داروساز'!$A$2:$A$2442,A2229)&gt;0,"بله","خیر")</f>
        <v/>
      </c>
    </row>
    <row r="2230" ht="15" customHeight="1" s="14">
      <c r="A2230" s="24" t="n">
        <v>50111</v>
      </c>
      <c r="B2230" s="24" t="inlineStr">
        <is>
          <t>SEVELAMER CARBONATE POWDER, FOR SUSPENSION ORAL 2.4 g</t>
        </is>
      </c>
      <c r="C2230" s="25">
        <f>IF(COUNTIF('کدهای پیام‌داروساز'!$A$2:$A$2442,A2230)&gt;0,"بله","خیر")</f>
        <v/>
      </c>
    </row>
    <row r="2231" ht="15" customHeight="1" s="14">
      <c r="A2231" s="24" t="n">
        <v>50114</v>
      </c>
      <c r="B2231" s="24" t="inlineStr">
        <is>
          <t>LINEZOLID INJECTION, SOLUTION PARENTERAL 2 mg/1mL 300 mL</t>
        </is>
      </c>
      <c r="C2231" s="25">
        <f>IF(COUNTIF('کدهای پیام‌داروساز'!$A$2:$A$2442,A2231)&gt;0,"بله","خیر")</f>
        <v/>
      </c>
    </row>
    <row r="2232" ht="15" customHeight="1" s="14">
      <c r="A2232" s="24" t="n">
        <v>50130</v>
      </c>
      <c r="B2232" s="24" t="inlineStr">
        <is>
          <t>FACTOR VIII / VON WILLEBRAND FACTOR INJECTION, POWDER, LYOPHILIZED, FOR SOLUTION PARENTERAL 1000 [iU]/1000 [iU] 500 [iU]</t>
        </is>
      </c>
      <c r="C2232" s="25">
        <f>IF(COUNTIF('کدهای پیام‌داروساز'!$A$2:$A$2442,A2232)&gt;0,"بله","خیر")</f>
        <v/>
      </c>
    </row>
    <row r="2233" ht="15" customHeight="1" s="14">
      <c r="A2233" s="24" t="n">
        <v>50179</v>
      </c>
      <c r="B2233" s="24" t="inlineStr">
        <is>
          <t>AMINO ACID / LIPID / GLUCOSE (2-1) INJECTION, EMULSION INTRAVENOUS 32 g/8 g/8.24 g/5.58 g/1.65 g/2.84 g/3.95 g/3.4 g/2.84 g/3.95 g/4.48 g/2.84 g/3.95 g/3.4 g/2.25 g/2.84 g/0.95 g/0.15 g/3.64 g/1.5 g/3.67 g/2.24 g/0.81 g/0.52 g/110 g/1000mL 1000 mL</t>
        </is>
      </c>
      <c r="C2233" s="25">
        <f>IF(COUNTIF('کدهای پیام‌داروساز'!$A$2:$A$2442,A2233)&gt;0,"بله","خیر")</f>
        <v/>
      </c>
    </row>
    <row r="2234" ht="15" customHeight="1" s="14">
      <c r="A2234" s="24" t="n">
        <v>50180</v>
      </c>
      <c r="B2234" s="24" t="inlineStr">
        <is>
          <t>AMINO ACID / LIPID / GLUCOSE (1-1) INJECTION, EMULSION INTRAVENOUS 32 g/8 g/6.41 g/4.34 g/1.28 g/2.21 g/3.07 g/2.64 g/2.21 g/3.07 g/3.48 g/2.21 g/3.07 g/2.64 g/1.75 g/2.21 g/0.74 g/0.11 g/2.83 g/1.5 g/3.67 g/2.24 g/0.81 g/0.52 g/140 g/1000 mL 1000 mL</t>
        </is>
      </c>
      <c r="C2234" s="25">
        <f>IF(COUNTIF('کدهای پیام‌داروساز'!$A$2:$A$2442,A2234)&gt;0,"بله","خیر")</f>
        <v/>
      </c>
    </row>
    <row r="2235" ht="15" customHeight="1" s="14">
      <c r="A2235" s="24" t="n">
        <v>50181</v>
      </c>
      <c r="B2235" s="24" t="inlineStr">
        <is>
          <t>(18F) FLUDEOXYGLUCOSE INJECTION, SOLUTION PARENTERAL 10 mCi</t>
        </is>
      </c>
      <c r="C2235" s="25">
        <f>IF(COUNTIF('کدهای پیام‌داروساز'!$A$2:$A$2442,A2235)&gt;0,"بله","خیر")</f>
        <v/>
      </c>
    </row>
    <row r="2236" ht="15" customHeight="1" s="14">
      <c r="A2236" s="24" t="n">
        <v>50195</v>
      </c>
      <c r="B2236" s="24" t="inlineStr">
        <is>
          <t>FOLLITROPIN BETA INJECTION, SOLUTION PARENTERAL 75 [iU]/0.5mL</t>
        </is>
      </c>
      <c r="C2236" s="25">
        <f>IF(COUNTIF('کدهای پیام‌داروساز'!$A$2:$A$2442,A2236)&gt;0,"بله","خیر")</f>
        <v/>
      </c>
    </row>
    <row r="2237" ht="15" customHeight="1" s="14">
      <c r="A2237" s="24" t="n">
        <v>50196</v>
      </c>
      <c r="B2237" s="24" t="inlineStr">
        <is>
          <t>PHOSPHOROUS [32P] CHROMIC PHOSPHATE COLLOID INJECTION, SOLUTION PARENTERAL 5 mCi</t>
        </is>
      </c>
      <c r="C2237" s="25">
        <f>IF(COUNTIF('کدهای پیام‌داروساز'!$A$2:$A$2442,A2237)&gt;0,"بله","خیر")</f>
        <v/>
      </c>
    </row>
    <row r="2238" ht="15" customHeight="1" s="14">
      <c r="A2238" s="24" t="n">
        <v>50197</v>
      </c>
      <c r="B2238" s="24" t="inlineStr">
        <is>
          <t>C-14 UREA CAPSULE ORAL 1 mCi</t>
        </is>
      </c>
      <c r="C2238" s="25">
        <f>IF(COUNTIF('کدهای پیام‌داروساز'!$A$2:$A$2442,A2238)&gt;0,"بله","خیر")</f>
        <v/>
      </c>
    </row>
    <row r="2239" ht="15" customHeight="1" s="14">
      <c r="A2239" s="24" t="n">
        <v>50200</v>
      </c>
      <c r="B2239" s="24" t="inlineStr">
        <is>
          <t>TECHNETIUM 99MTC ANTIMONY TRISULFIDE INJECTION, SOLUTION SUBCUTANEOUS 1.5 mg</t>
        </is>
      </c>
      <c r="C2239" s="25">
        <f>IF(COUNTIF('کدهای پیام‌داروساز'!$A$2:$A$2442,A2239)&gt;0,"بله","خیر")</f>
        <v/>
      </c>
    </row>
    <row r="2240" ht="15" customHeight="1" s="14">
      <c r="A2240" s="24" t="n">
        <v>50202</v>
      </c>
      <c r="B2240" s="24" t="inlineStr">
        <is>
          <t>PEGINTERFERON ALFA-2A INJECTION PARENTERAL 360 ug/1mL 0.5 mL</t>
        </is>
      </c>
      <c r="C2240" s="25">
        <f>IF(COUNTIF('کدهای پیام‌داروساز'!$A$2:$A$2442,A2240)&gt;0,"بله","خیر")</f>
        <v/>
      </c>
    </row>
    <row r="2241" ht="15" customHeight="1" s="14">
      <c r="A2241" s="24" t="n">
        <v>50221</v>
      </c>
      <c r="B2241" s="24" t="inlineStr">
        <is>
          <t>POTASSIUM AMINOBENZOIC ACID (POTABA) POWDER ORAL 3 g</t>
        </is>
      </c>
      <c r="C2241" s="25">
        <f>IF(COUNTIF('کدهای پیام‌داروساز'!$A$2:$A$2442,A2241)&gt;0,"بله","خیر")</f>
        <v/>
      </c>
    </row>
    <row r="2242" ht="15" customHeight="1" s="14">
      <c r="A2242" s="24" t="n">
        <v>50227</v>
      </c>
      <c r="B2242" s="24" t="inlineStr">
        <is>
          <t>MIVACURIUM CHLORIDE INJECTION PARENTERAL 2 mg/1mL</t>
        </is>
      </c>
      <c r="C2242" s="25">
        <f>IF(COUNTIF('کدهای پیام‌داروساز'!$A$2:$A$2442,A2242)&gt;0,"بله","خیر")</f>
        <v/>
      </c>
    </row>
    <row r="2243" ht="15" customHeight="1" s="14">
      <c r="A2243" s="24" t="n">
        <v>50244</v>
      </c>
      <c r="B2243" s="24" t="inlineStr">
        <is>
          <t>DISOPYRAMIDE CAPSULE ORAL 100 mg</t>
        </is>
      </c>
      <c r="C2243" s="25">
        <f>IF(COUNTIF('کدهای پیام‌داروساز'!$A$2:$A$2442,A2243)&gt;0,"بله","خیر")</f>
        <v/>
      </c>
    </row>
    <row r="2244" ht="15" customHeight="1" s="14">
      <c r="A2244" s="24" t="n">
        <v>50253</v>
      </c>
      <c r="B2244" s="24" t="inlineStr">
        <is>
          <t>CALCIUM CARBONATE TABLET ORAL 500 mg</t>
        </is>
      </c>
      <c r="C2244" s="25">
        <f>IF(COUNTIF('کدهای پیام‌داروساز'!$A$2:$A$2442,A2244)&gt;0,"بله","خیر")</f>
        <v/>
      </c>
    </row>
    <row r="2245" ht="15" customHeight="1" s="14">
      <c r="A2245" s="24" t="n">
        <v>50266</v>
      </c>
      <c r="B2245" s="24" t="inlineStr">
        <is>
          <t>HYDROCHLOROTHIAZIDE TABLET ORAL 12.5 mg</t>
        </is>
      </c>
      <c r="C2245" s="25">
        <f>IF(COUNTIF('کدهای پیام‌داروساز'!$A$2:$A$2442,A2245)&gt;0,"بله","خیر")</f>
        <v/>
      </c>
    </row>
    <row r="2246" ht="15" customHeight="1" s="14">
      <c r="A2246" s="24" t="n">
        <v>50267</v>
      </c>
      <c r="B2246" s="24" t="inlineStr">
        <is>
          <t>ETHANOL SOLUTION NOT APPLICABLE 96 % 2.5 L</t>
        </is>
      </c>
      <c r="C2246" s="25">
        <f>IF(COUNTIF('کدهای پیام‌داروساز'!$A$2:$A$2442,A2246)&gt;0,"بله","خیر")</f>
        <v/>
      </c>
    </row>
    <row r="2247" ht="15" customHeight="1" s="14">
      <c r="A2247" s="24" t="n">
        <v>50268</v>
      </c>
      <c r="B2247" s="24" t="inlineStr">
        <is>
          <t>ETHANOL SOLUTION NOT APPLICABLE 96 % 1 L</t>
        </is>
      </c>
      <c r="C2247" s="25">
        <f>IF(COUNTIF('کدهای پیام‌داروساز'!$A$2:$A$2442,A2247)&gt;0,"بله","خیر")</f>
        <v/>
      </c>
    </row>
    <row r="2248" ht="15" customHeight="1" s="14">
      <c r="A2248" s="24" t="n">
        <v>50270</v>
      </c>
      <c r="B2248" s="24" t="inlineStr">
        <is>
          <t>ETHANOL SOLUTION NOT APPLICABLE 70 % 5 L</t>
        </is>
      </c>
      <c r="C2248" s="25">
        <f>IF(COUNTIF('کدهای پیام‌داروساز'!$A$2:$A$2442,A2248)&gt;0,"بله","خیر")</f>
        <v/>
      </c>
    </row>
    <row r="2249" ht="15" customHeight="1" s="14">
      <c r="A2249" s="24" t="n">
        <v>50271</v>
      </c>
      <c r="B2249" s="24" t="inlineStr">
        <is>
          <t>ETHANOL SOLUTION NOT APPLICABLE 99.6 % 2.5 L</t>
        </is>
      </c>
      <c r="C2249" s="25">
        <f>IF(COUNTIF('کدهای پیام‌داروساز'!$A$2:$A$2442,A2249)&gt;0,"بله","خیر")</f>
        <v/>
      </c>
    </row>
    <row r="2250" ht="15" customHeight="1" s="14">
      <c r="A2250" s="24" t="n">
        <v>50272</v>
      </c>
      <c r="B2250" s="24" t="inlineStr">
        <is>
          <t>ETHANOL SOLUTION NOT APPLICABLE 99.6 % 1 L</t>
        </is>
      </c>
      <c r="C2250" s="25">
        <f>IF(COUNTIF('کدهای پیام‌داروساز'!$A$2:$A$2442,A2250)&gt;0,"بله","خیر")</f>
        <v/>
      </c>
    </row>
    <row r="2251" ht="15" customHeight="1" s="14">
      <c r="A2251" s="24" t="n">
        <v>50275</v>
      </c>
      <c r="B2251" s="24" t="inlineStr">
        <is>
          <t>MOMETASONE FUROATE INHALANT RESPIRATORY 200 ug/1{Puff} 30 {dose}</t>
        </is>
      </c>
      <c r="C2251" s="25">
        <f>IF(COUNTIF('کدهای پیام‌داروساز'!$A$2:$A$2442,A2251)&gt;0,"بله","خیر")</f>
        <v/>
      </c>
    </row>
    <row r="2252" ht="15" customHeight="1" s="14">
      <c r="A2252" s="24" t="n">
        <v>50280</v>
      </c>
      <c r="B2252" s="24" t="inlineStr">
        <is>
          <t>EPHEDRINE HYDROCHLORIDE INJECTION PARENTERAL 50 mg/1mL 1 mL</t>
        </is>
      </c>
      <c r="C2252" s="25">
        <f>IF(COUNTIF('کدهای پیام‌داروساز'!$A$2:$A$2442,A2252)&gt;0,"بله","خیر")</f>
        <v/>
      </c>
    </row>
    <row r="2253" ht="15" customHeight="1" s="14">
      <c r="A2253" s="24" t="n">
        <v>50289</v>
      </c>
      <c r="B2253" s="24" t="inlineStr">
        <is>
          <t>RANITIDINE SOLUTION ORAL 75 mg/5mL 120 mL</t>
        </is>
      </c>
      <c r="C2253" s="25">
        <f>IF(COUNTIF('کدهای پیام‌داروساز'!$A$2:$A$2442,A2253)&gt;0,"بله","خیر")</f>
        <v/>
      </c>
    </row>
    <row r="2254" ht="15" customHeight="1" s="14">
      <c r="A2254" s="24" t="n">
        <v>50293</v>
      </c>
      <c r="B2254" s="24" t="inlineStr">
        <is>
          <t>PACLITAXEL INJECTION PARENTERAL 6 mg/1mL 50 mL</t>
        </is>
      </c>
      <c r="C2254" s="25">
        <f>IF(COUNTIF('کدهای پیام‌داروساز'!$A$2:$A$2442,A2254)&gt;0,"بله","خیر")</f>
        <v/>
      </c>
    </row>
    <row r="2255" ht="15" customHeight="1" s="14">
      <c r="A2255" s="24" t="n">
        <v>50294</v>
      </c>
      <c r="B2255" s="24" t="inlineStr">
        <is>
          <t>GEMCITABINE HYDROCHLORIDE INJECTION, SOLUTION, CONCENTRATE PARENTERAL 38 mg/1 mL 5.26 mL</t>
        </is>
      </c>
      <c r="C2255" s="25">
        <f>IF(COUNTIF('کدهای پیام‌داروساز'!$A$2:$A$2442,A2255)&gt;0,"بله","خیر")</f>
        <v/>
      </c>
    </row>
    <row r="2256" ht="15" customHeight="1" s="14">
      <c r="A2256" s="24" t="n">
        <v>50295</v>
      </c>
      <c r="B2256" s="24" t="inlineStr">
        <is>
          <t>GEMCITABINE HYDROCHLORIDE INJECTION, SOLUTION, CONCENTRATE PARENTERAL 38 mg/1 mL 26.3 mL</t>
        </is>
      </c>
      <c r="C2256" s="25">
        <f>IF(COUNTIF('کدهای پیام‌داروساز'!$A$2:$A$2442,A2256)&gt;0,"بله","خیر")</f>
        <v/>
      </c>
    </row>
    <row r="2257" ht="15" customHeight="1" s="14">
      <c r="A2257" s="24" t="n">
        <v>50296</v>
      </c>
      <c r="B2257" s="24" t="inlineStr">
        <is>
          <t>GEMCITABINE HYDROCHLORIDE INJECTION, SOLUTION, CONCENTRATE PARENTERAL 38 mg/1 mL 52.6 mL</t>
        </is>
      </c>
      <c r="C2257" s="25">
        <f>IF(COUNTIF('کدهای پیام‌داروساز'!$A$2:$A$2442,A2257)&gt;0,"بله","خیر")</f>
        <v/>
      </c>
    </row>
    <row r="2258" ht="15" customHeight="1" s="14">
      <c r="A2258" s="24" t="n">
        <v>50297</v>
      </c>
      <c r="B2258" s="24" t="inlineStr">
        <is>
          <t>METHOTREXATE SODIUM INJECTION PARENTERAL 25 mg/1mL 20 mL</t>
        </is>
      </c>
      <c r="C2258" s="25">
        <f>IF(COUNTIF('کدهای پیام‌داروساز'!$A$2:$A$2442,A2258)&gt;0,"بله","خیر")</f>
        <v/>
      </c>
    </row>
    <row r="2259" ht="15" customHeight="1" s="14">
      <c r="A2259" s="24" t="n">
        <v>50298</v>
      </c>
      <c r="B2259" s="24" t="inlineStr">
        <is>
          <t>DOCETAXEL INJECTION, SOLUTION INTRAVENOUS 10 mg/1mL 2 mL</t>
        </is>
      </c>
      <c r="C2259" s="25">
        <f>IF(COUNTIF('کدهای پیام‌داروساز'!$A$2:$A$2442,A2259)&gt;0,"بله","خیر")</f>
        <v/>
      </c>
    </row>
    <row r="2260" ht="15" customHeight="1" s="14">
      <c r="A2260" s="24" t="n">
        <v>50299</v>
      </c>
      <c r="B2260" s="24" t="inlineStr">
        <is>
          <t>DOCETAXEL INJECTION, SOLUTION INTRAVENOUS 10 mg/1mL 8 mL</t>
        </is>
      </c>
      <c r="C2260" s="25">
        <f>IF(COUNTIF('کدهای پیام‌داروساز'!$A$2:$A$2442,A2260)&gt;0,"بله","خیر")</f>
        <v/>
      </c>
    </row>
    <row r="2261" ht="15" customHeight="1" s="14">
      <c r="A2261" s="24" t="n">
        <v>50308</v>
      </c>
      <c r="B2261" s="24" t="inlineStr">
        <is>
          <t>ARTIFICIAL TEARS (CARBOMER) GEL OPHTHALMIC 0.25 % 0.5 g</t>
        </is>
      </c>
      <c r="C2261" s="25">
        <f>IF(COUNTIF('کدهای پیام‌داروساز'!$A$2:$A$2442,A2261)&gt;0,"بله","خیر")</f>
        <v/>
      </c>
    </row>
    <row r="2262" ht="15" customHeight="1" s="14">
      <c r="A2262" s="24" t="n">
        <v>50309</v>
      </c>
      <c r="B2262" s="24" t="inlineStr">
        <is>
          <t>ARTIFICIAL TEARS (CARBOMER) GEL OPHTHALMIC 0.25 % 10 g</t>
        </is>
      </c>
      <c r="C2262" s="25">
        <f>IF(COUNTIF('کدهای پیام‌داروساز'!$A$2:$A$2442,A2262)&gt;0,"بله","خیر")</f>
        <v/>
      </c>
    </row>
    <row r="2263" ht="15" customHeight="1" s="14">
      <c r="A2263" s="24" t="n">
        <v>50327</v>
      </c>
      <c r="B2263" s="24" t="inlineStr">
        <is>
          <t>MIDODRINE HYDROCHLORIDE TABLET ORAL 2.5 mg</t>
        </is>
      </c>
      <c r="C2263" s="25">
        <f>IF(COUNTIF('کدهای پیام‌داروساز'!$A$2:$A$2442,A2263)&gt;0,"بله","خیر")</f>
        <v/>
      </c>
    </row>
    <row r="2264" ht="15" customHeight="1" s="14">
      <c r="A2264" s="24" t="n">
        <v>50330</v>
      </c>
      <c r="B2264" s="24" t="inlineStr">
        <is>
          <t>FILGRASTIM INJECTION PARENTERAL 600 ug/1mL 0.2 mL</t>
        </is>
      </c>
      <c r="C2264" s="25">
        <f>IF(COUNTIF('کدهای پیام‌داروساز'!$A$2:$A$2442,A2264)&gt;0,"بله","خیر")</f>
        <v/>
      </c>
    </row>
    <row r="2265" ht="15" customHeight="1" s="14">
      <c r="A2265" s="24" t="n">
        <v>50332</v>
      </c>
      <c r="B2265" s="24" t="inlineStr">
        <is>
          <t>OSELTAMIVIR (AS PHOSPHATE) POWDER, FOR SOLUTION ORAL 30 mg/5mL 100 mL</t>
        </is>
      </c>
      <c r="C2265" s="25">
        <f>IF(COUNTIF('کدهای پیام‌داروساز'!$A$2:$A$2442,A2265)&gt;0,"بله","خیر")</f>
        <v/>
      </c>
    </row>
    <row r="2266" ht="15" customHeight="1" s="14">
      <c r="A2266" s="24" t="n">
        <v>50333</v>
      </c>
      <c r="B2266" s="24" t="inlineStr">
        <is>
          <t>DARUNAVIR (AS ETHANOLATE) TABLET ORAL 150 mg</t>
        </is>
      </c>
      <c r="C2266" s="25">
        <f>IF(COUNTIF('کدهای پیام‌داروساز'!$A$2:$A$2442,A2266)&gt;0,"بله","خیر")</f>
        <v/>
      </c>
    </row>
    <row r="2267" ht="15" customHeight="1" s="14">
      <c r="A2267" s="24" t="n">
        <v>50337</v>
      </c>
      <c r="B2267" s="24" t="inlineStr">
        <is>
          <t>POLIOMYELITIS VACCINE SOLUTION ORAL 20 {dose}</t>
        </is>
      </c>
      <c r="C2267" s="25">
        <f>IF(COUNTIF('کدهای پیام‌داروساز'!$A$2:$A$2442,A2267)&gt;0,"بله","خیر")</f>
        <v/>
      </c>
    </row>
    <row r="2268" ht="15" customHeight="1" s="14">
      <c r="A2268" s="24" t="n">
        <v>50341</v>
      </c>
      <c r="B2268" s="24" t="inlineStr">
        <is>
          <t>ACETAMINOPHEN / CHLORPHENIRAMINE / DEXTROMETHORPHAN / PHENYLEPHRINE SYRUP ORAL 160 mg/1 mg/5 mg/2.5 mg/5mL 120 mL</t>
        </is>
      </c>
      <c r="C2268" s="25">
        <f>IF(COUNTIF('کدهای پیام‌داروساز'!$A$2:$A$2442,A2268)&gt;0,"بله","خیر")</f>
        <v/>
      </c>
    </row>
    <row r="2269" ht="15" customHeight="1" s="14">
      <c r="A2269" s="24" t="n">
        <v>50342</v>
      </c>
      <c r="B2269" s="24" t="inlineStr">
        <is>
          <t>ADULT COLD PREPARATIONS (1-2) TABLET ORAL 325 mg/5 mg</t>
        </is>
      </c>
      <c r="C2269" s="25">
        <f>IF(COUNTIF('کدهای پیام‌داروساز'!$A$2:$A$2442,A2269)&gt;0,"بله","خیر")</f>
        <v/>
      </c>
    </row>
    <row r="2270" ht="15" customHeight="1" s="14">
      <c r="A2270" s="24" t="n">
        <v>50345</v>
      </c>
      <c r="B2270" s="24" t="inlineStr">
        <is>
          <t>FOLLITROPIN ALFA / LUTROPIN ALFA INJECTION, POWDER, FOR SOLUTION PARENTERAL 150 [iU]/75 [iU]</t>
        </is>
      </c>
      <c r="C2270" s="25">
        <f>IF(COUNTIF('کدهای پیام‌داروساز'!$A$2:$A$2442,A2270)&gt;0,"بله","خیر")</f>
        <v/>
      </c>
    </row>
    <row r="2271" ht="15" customHeight="1" s="14">
      <c r="A2271" s="24" t="n">
        <v>50346</v>
      </c>
      <c r="B2271" s="24" t="inlineStr">
        <is>
          <t>LEUPRORELIN ACETATE INJECTION, POWDER, FOR SUSPENSION, EXTENDED RELEASE PARENTERAL 22.5 mg</t>
        </is>
      </c>
      <c r="C2271" s="25">
        <f>IF(COUNTIF('کدهای پیام‌داروساز'!$A$2:$A$2442,A2271)&gt;0,"بله","خیر")</f>
        <v/>
      </c>
    </row>
    <row r="2272" ht="15" customHeight="1" s="14">
      <c r="A2272" s="24" t="n">
        <v>50348</v>
      </c>
      <c r="B2272" s="24" t="inlineStr">
        <is>
          <t>ADULT COLD PREPARATIONS (4-2) TABLET ORAL 650 mg/10 mg/4 mg</t>
        </is>
      </c>
      <c r="C2272" s="25">
        <f>IF(COUNTIF('کدهای پیام‌داروساز'!$A$2:$A$2442,A2272)&gt;0,"بله","خیر")</f>
        <v/>
      </c>
    </row>
    <row r="2273" ht="15" customHeight="1" s="14">
      <c r="A2273" s="24" t="n">
        <v>50357</v>
      </c>
      <c r="B2273" s="24" t="inlineStr">
        <is>
          <t>DACLATASVIR TABLET ORAL 30 mg</t>
        </is>
      </c>
      <c r="C2273" s="25">
        <f>IF(COUNTIF('کدهای پیام‌داروساز'!$A$2:$A$2442,A2273)&gt;0,"بله","خیر")</f>
        <v/>
      </c>
    </row>
    <row r="2274" ht="15" customHeight="1" s="14">
      <c r="A2274" s="24" t="n">
        <v>50358</v>
      </c>
      <c r="B2274" s="24" t="inlineStr">
        <is>
          <t>DACLATASVIR TABLET ORAL 60 mg</t>
        </is>
      </c>
      <c r="C2274" s="25">
        <f>IF(COUNTIF('کدهای پیام‌داروساز'!$A$2:$A$2442,A2274)&gt;0,"بله","خیر")</f>
        <v/>
      </c>
    </row>
    <row r="2275" ht="15" customHeight="1" s="14">
      <c r="A2275" s="24" t="n">
        <v>50359</v>
      </c>
      <c r="B2275" s="24" t="inlineStr">
        <is>
          <t>AMINO ACID / LIPID / GLUCOSE (1-1) INJECTION, EMULSION INTRAVENOUS 32 g/8 g/6.41 g/4.34 g/1.28 g/2.21 g/3.07 g/2.64 g/2.21 g/3.07 g/3.48 g/2.21 g/3.07 g/2.64 g/1.75 g/2.21 g/0.74 g/0.11 g/2.83 g/1.5 g/3.67 g/2.24 g/0.81 g/0.52 g/140 g/1000 mL 2000 mL</t>
        </is>
      </c>
      <c r="C2275" s="25">
        <f>IF(COUNTIF('کدهای پیام‌داروساز'!$A$2:$A$2442,A2275)&gt;0,"بله","خیر")</f>
        <v/>
      </c>
    </row>
    <row r="2276" ht="15" customHeight="1" s="14">
      <c r="A2276" s="24" t="n">
        <v>50360</v>
      </c>
      <c r="B2276" s="24" t="inlineStr">
        <is>
          <t>AMINO ACID / LIPID / GLUCOSE (2-1) INJECTION, EMULSION INTRAVENOUS 32 g/8 g/8.24 g/5.58 g/1.65 g/2.84 g/3.95 g/3.4 g/2.84 g/3.95 g/4.48 g/2.84 g/3.95 g/3.4 g/2.25 g/2.84 g/0.95 g/0.15 g/3.64 g/1.5 g/3.67 g/2.24 g/0.81 g/0.52 g/110 g/1000mL 2000 mL</t>
        </is>
      </c>
      <c r="C2276" s="25">
        <f>IF(COUNTIF('کدهای پیام‌داروساز'!$A$2:$A$2442,A2276)&gt;0,"بله","خیر")</f>
        <v/>
      </c>
    </row>
    <row r="2277" ht="15" customHeight="1" s="14">
      <c r="A2277" s="24" t="n">
        <v>50366</v>
      </c>
      <c r="B2277" s="24" t="inlineStr">
        <is>
          <t>AMINO ACID / LIPID / GLUCOSE (3-1) INJECTION, EMULSION INTRAVENOUS 24 g/6 g/3.66 g/2.48 g/0.73 g/1.26 g/1.76 g/1.51 g/1.26 g/1.76 g/1.99 g/1.26 g/1.76 g/1.51 g/1 g/1.26 g/0.42 g/0.06 g/1.62 g/1.16 g/1.91 g/1.19 g/0.45 g/0.3 g/75 g/1000mL 1500 mL</t>
        </is>
      </c>
      <c r="C2277" s="25">
        <f>IF(COUNTIF('کدهای پیام‌داروساز'!$A$2:$A$2442,A2277)&gt;0,"بله","خیر")</f>
        <v/>
      </c>
    </row>
    <row r="2278" ht="15" customHeight="1" s="14">
      <c r="A2278" s="24" t="n">
        <v>50367</v>
      </c>
      <c r="B2278" s="24" t="inlineStr">
        <is>
          <t>AMINO ACID / LIPID / GLUCOSE (3-1) INJECTION, EMULSION INTRAVENOUS 24 g/6 g/3.66 g/2.48 g/0.73 g/1.26 g/1.76 g/1.51 g/1.26 g/1.76 g/1.99 g/1.26 g/1.76 g/1.51 g/1 g/1.26 g/0.42 g/0.06 g/1.62 g/1.16 g/1.91 g/1.19 g/0.45 g/0.3 g/75 g/1000mL 2000 mL</t>
        </is>
      </c>
      <c r="C2278" s="25">
        <f>IF(COUNTIF('کدهای پیام‌داروساز'!$A$2:$A$2442,A2278)&gt;0,"بله","خیر")</f>
        <v/>
      </c>
    </row>
    <row r="2279" ht="15" customHeight="1" s="14">
      <c r="A2279" s="24" t="n">
        <v>50371</v>
      </c>
      <c r="B2279" s="24" t="inlineStr">
        <is>
          <t>LEVOFLOXACIN HEMIHYDRATE SOLUTION, DROPS OPHTHALMIC 0.5 % 0.3 mL</t>
        </is>
      </c>
      <c r="C2279" s="25">
        <f>IF(COUNTIF('کدهای پیام‌داروساز'!$A$2:$A$2442,A2279)&gt;0,"بله","خیر")</f>
        <v/>
      </c>
    </row>
    <row r="2280" ht="15" customHeight="1" s="14">
      <c r="A2280" s="24" t="n">
        <v>50378</v>
      </c>
      <c r="B2280" s="24" t="inlineStr">
        <is>
          <t>ACETAMINOPHEN / CHLORPHENIRAMINE / DEXTROMETHORPHAN / PHENYLEPHRINE SYRUP ORAL 160 mg/1 mg/5 mg/2.5 mg/5mL 200 mL</t>
        </is>
      </c>
      <c r="C2280" s="25">
        <f>IF(COUNTIF('کدهای پیام‌داروساز'!$A$2:$A$2442,A2280)&gt;0,"بله","خیر")</f>
        <v/>
      </c>
    </row>
    <row r="2281" ht="15" customHeight="1" s="14">
      <c r="A2281" s="24" t="n">
        <v>50382</v>
      </c>
      <c r="B2281" s="24" t="inlineStr">
        <is>
          <t>ROPIVACAINE HYDROCHLORIDE INJECTION, SOLUTION PARENTERAL 2 mg/1 mL 100 mL</t>
        </is>
      </c>
      <c r="C2281" s="25">
        <f>IF(COUNTIF('کدهای پیام‌داروساز'!$A$2:$A$2442,A2281)&gt;0,"بله","خیر")</f>
        <v/>
      </c>
    </row>
    <row r="2282" ht="15" customHeight="1" s="14">
      <c r="A2282" s="24" t="n">
        <v>50390</v>
      </c>
      <c r="B2282" s="24" t="inlineStr">
        <is>
          <t>IPRATROPIUM BROMIDE / SALBUTAMOL (AS SULFATE) SOLUTION RESPIRATORY 200 ug/1 mg/1mL 2.5 mL</t>
        </is>
      </c>
      <c r="C2282" s="25">
        <f>IF(COUNTIF('کدهای پیام‌داروساز'!$A$2:$A$2442,A2282)&gt;0,"بله","خیر")</f>
        <v/>
      </c>
    </row>
    <row r="2283" ht="15" customHeight="1" s="14">
      <c r="A2283" s="24" t="n">
        <v>50392</v>
      </c>
      <c r="B2283" s="24" t="inlineStr">
        <is>
          <t>LENALIDOMIDE CAPSULE ORAL 15 mg</t>
        </is>
      </c>
      <c r="C2283" s="25">
        <f>IF(COUNTIF('کدهای پیام‌داروساز'!$A$2:$A$2442,A2283)&gt;0,"بله","خیر")</f>
        <v/>
      </c>
    </row>
    <row r="2284" ht="15" customHeight="1" s="14">
      <c r="A2284" s="24" t="n">
        <v>50393</v>
      </c>
      <c r="B2284" s="24" t="inlineStr">
        <is>
          <t>OLANZAPINE INJECTION, POWDER, FOR SOLUTION PARENTERAL 10 mg</t>
        </is>
      </c>
      <c r="C2284" s="25">
        <f>IF(COUNTIF('کدهای پیام‌داروساز'!$A$2:$A$2442,A2284)&gt;0,"بله","خیر")</f>
        <v/>
      </c>
    </row>
    <row r="2285" ht="15" customHeight="1" s="14">
      <c r="A2285" s="24" t="n">
        <v>50401</v>
      </c>
      <c r="B2285" s="24" t="inlineStr">
        <is>
          <t>DIENOGEST TABLET ORAL 2 mg</t>
        </is>
      </c>
      <c r="C2285" s="25">
        <f>IF(COUNTIF('کدهای پیام‌داروساز'!$A$2:$A$2442,A2285)&gt;0,"بله","خیر")</f>
        <v/>
      </c>
    </row>
    <row r="2286" ht="15" customHeight="1" s="14">
      <c r="A2286" s="24" t="n">
        <v>50402</v>
      </c>
      <c r="B2286" s="24" t="inlineStr">
        <is>
          <t>CLINDAMYCIN (AS PHOSPHATE) / CLOTRIMAZOLE CREAM VAGINAL 2 %/2 % 30 g</t>
        </is>
      </c>
      <c r="C2286" s="25">
        <f>IF(COUNTIF('کدهای پیام‌داروساز'!$A$2:$A$2442,A2286)&gt;0,"بله","خیر")</f>
        <v/>
      </c>
    </row>
    <row r="2287" ht="15" customHeight="1" s="14">
      <c r="A2287" s="24" t="n">
        <v>50404</v>
      </c>
      <c r="B2287" s="24" t="inlineStr">
        <is>
          <t>PANCREATIN CAPSULE, DELAYED RELEASE PELLETS ORAL 10000 [iU]</t>
        </is>
      </c>
      <c r="C2287" s="25">
        <f>IF(COUNTIF('کدهای پیام‌داروساز'!$A$2:$A$2442,A2287)&gt;0,"بله","خیر")</f>
        <v/>
      </c>
    </row>
    <row r="2288" ht="15" customHeight="1" s="14">
      <c r="A2288" s="24" t="n">
        <v>50415</v>
      </c>
      <c r="B2288" s="24" t="inlineStr">
        <is>
          <t>MEASLES / MUMPS / RUBELLA VACCINE INJECTION, POWDER, LYOPHILIZED, FOR SOLUTION PARENTERAL 5 {dose} 2.5 mL</t>
        </is>
      </c>
      <c r="C2288" s="25">
        <f>IF(COUNTIF('کدهای پیام‌داروساز'!$A$2:$A$2442,A2288)&gt;0,"بله","خیر")</f>
        <v/>
      </c>
    </row>
    <row r="2289" ht="15" customHeight="1" s="14">
      <c r="A2289" s="24" t="n">
        <v>50423</v>
      </c>
      <c r="B2289" s="24" t="inlineStr">
        <is>
          <t>SOMATROPIN INJECTION PARENTERAL 20 [iU]/1mL 1.5 mL</t>
        </is>
      </c>
      <c r="C2289" s="25">
        <f>IF(COUNTIF('کدهای پیام‌داروساز'!$A$2:$A$2442,A2289)&gt;0,"بله","خیر")</f>
        <v/>
      </c>
    </row>
    <row r="2290" ht="15" customHeight="1" s="14">
      <c r="A2290" s="24" t="n">
        <v>50426</v>
      </c>
      <c r="B2290" s="24" t="inlineStr">
        <is>
          <t>MESALAZINE CAPSULE, EXTENDED RELEASE ORAL 500 mg</t>
        </is>
      </c>
      <c r="C2290" s="25">
        <f>IF(COUNTIF('کدهای پیام‌داروساز'!$A$2:$A$2442,A2290)&gt;0,"بله","خیر")</f>
        <v/>
      </c>
    </row>
    <row r="2291" ht="15" customHeight="1" s="14">
      <c r="A2291" s="24" t="n">
        <v>50429</v>
      </c>
      <c r="B2291" s="24" t="inlineStr">
        <is>
          <t>ARTIFICIAL TEARS SOLUTION OPHTHALMIC 3.2 mg/1mL 0.5 mL</t>
        </is>
      </c>
      <c r="C2291" s="25">
        <f>IF(COUNTIF('کدهای پیام‌داروساز'!$A$2:$A$2442,A2291)&gt;0,"بله","خیر")</f>
        <v/>
      </c>
    </row>
    <row r="2292" ht="15" customHeight="1" s="14">
      <c r="A2292" s="24" t="n">
        <v>50433</v>
      </c>
      <c r="B2292" s="24" t="inlineStr">
        <is>
          <t>PROMETHAZINE HYDROCHLORIDE INJECTION PARENTERAL 25 mg/1mL 2 mL</t>
        </is>
      </c>
      <c r="C2292" s="25">
        <f>IF(COUNTIF('کدهای پیام‌داروساز'!$A$2:$A$2442,A2292)&gt;0,"بله","خیر")</f>
        <v/>
      </c>
    </row>
    <row r="2293" ht="15" customHeight="1" s="14">
      <c r="A2293" s="24" t="n">
        <v>50438</v>
      </c>
      <c r="B2293" s="24" t="inlineStr">
        <is>
          <t>DEFERIPRONE TABLET, EFFERVESCENT ORAL 500 mg</t>
        </is>
      </c>
      <c r="C2293" s="25">
        <f>IF(COUNTIF('کدهای پیام‌داروساز'!$A$2:$A$2442,A2293)&gt;0,"بله","خیر")</f>
        <v/>
      </c>
    </row>
    <row r="2294" ht="15" customHeight="1" s="14">
      <c r="A2294" s="24" t="n">
        <v>50460</v>
      </c>
      <c r="B2294" s="24" t="inlineStr">
        <is>
          <t>GADODIAMIDE INJECTION PARENTERAL 287 mg/1mL 10 mL</t>
        </is>
      </c>
      <c r="C2294" s="25">
        <f>IF(COUNTIF('کدهای پیام‌داروساز'!$A$2:$A$2442,A2294)&gt;0,"بله","خیر")</f>
        <v/>
      </c>
    </row>
    <row r="2295" ht="15" customHeight="1" s="14">
      <c r="A2295" s="24" t="n">
        <v>50461</v>
      </c>
      <c r="B2295" s="24" t="inlineStr">
        <is>
          <t>GADODIAMIDE INJECTION PARENTERAL 287 mg/1mL 20 mL</t>
        </is>
      </c>
      <c r="C2295" s="25">
        <f>IF(COUNTIF('کدهای پیام‌داروساز'!$A$2:$A$2442,A2295)&gt;0,"بله","خیر")</f>
        <v/>
      </c>
    </row>
    <row r="2296" ht="15" customHeight="1" s="14">
      <c r="A2296" s="24" t="n">
        <v>50464</v>
      </c>
      <c r="B2296" s="24" t="inlineStr">
        <is>
          <t>CYTARABINE INJECTION, SOLUTION PARENTERAL 50 mg/1mL 20 mL</t>
        </is>
      </c>
      <c r="C2296" s="25">
        <f>IF(COUNTIF('کدهای پیام‌داروساز'!$A$2:$A$2442,A2296)&gt;0,"بله","خیر")</f>
        <v/>
      </c>
    </row>
    <row r="2297" ht="15" customHeight="1" s="14">
      <c r="A2297" s="24" t="n">
        <v>50472</v>
      </c>
      <c r="B2297" s="24" t="inlineStr">
        <is>
          <t>LEVETIRACETAM INJECTION, SOLUTION PARENTERAL 5 mg/1mL 100 mL</t>
        </is>
      </c>
      <c r="C2297" s="25">
        <f>IF(COUNTIF('کدهای پیام‌داروساز'!$A$2:$A$2442,A2297)&gt;0,"بله","خیر")</f>
        <v/>
      </c>
    </row>
    <row r="2298" ht="15" customHeight="1" s="14">
      <c r="A2298" s="24" t="n">
        <v>50473</v>
      </c>
      <c r="B2298" s="24" t="inlineStr">
        <is>
          <t>NEVIRAPINE SUSPENSION ORAL 50 mg/5mL 100 mL</t>
        </is>
      </c>
      <c r="C2298" s="25">
        <f>IF(COUNTIF('کدهای پیام‌داروساز'!$A$2:$A$2442,A2298)&gt;0,"بله","خیر")</f>
        <v/>
      </c>
    </row>
    <row r="2299" ht="15" customHeight="1" s="14">
      <c r="A2299" s="24" t="n">
        <v>50485</v>
      </c>
      <c r="B2299" s="24" t="inlineStr">
        <is>
          <t>SODIUM TETRADECYL SULFATE INJECTION PARENTERAL 0.2 % 5 mL</t>
        </is>
      </c>
      <c r="C2299" s="25">
        <f>IF(COUNTIF('کدهای پیام‌داروساز'!$A$2:$A$2442,A2299)&gt;0,"بله","خیر")</f>
        <v/>
      </c>
    </row>
    <row r="2300" ht="15" customHeight="1" s="14">
      <c r="A2300" s="24" t="n">
        <v>50494</v>
      </c>
      <c r="B2300" s="24" t="inlineStr">
        <is>
          <t>POTASSIUM CHLORIDE CONCENTRATED INJECTION, SOLUTION, CONCENTRATE INTRAVENOUS 1 meq/1mL 50 mL</t>
        </is>
      </c>
      <c r="C2300" s="25">
        <f>IF(COUNTIF('کدهای پیام‌داروساز'!$A$2:$A$2442,A2300)&gt;0,"بله","خیر")</f>
        <v/>
      </c>
    </row>
    <row r="2301" ht="15" customHeight="1" s="14">
      <c r="A2301" s="24" t="n">
        <v>50505</v>
      </c>
      <c r="B2301" s="24" t="inlineStr">
        <is>
          <t>IOPROMIDE INJECTION PARENTERAL 370 mg/1mL 20 mL</t>
        </is>
      </c>
      <c r="C2301" s="25">
        <f>IF(COUNTIF('کدهای پیام‌داروساز'!$A$2:$A$2442,A2301)&gt;0,"بله","خیر")</f>
        <v/>
      </c>
    </row>
    <row r="2302" ht="15" customHeight="1" s="14">
      <c r="A2302" s="24" t="n">
        <v>50510</v>
      </c>
      <c r="B2302" s="24" t="inlineStr">
        <is>
          <t>MEPIVACAINE HYDROCHLORIDE INJECTION PARENTERAL 3 % 1.7 mL</t>
        </is>
      </c>
      <c r="C2302" s="25">
        <f>IF(COUNTIF('کدهای پیام‌داروساز'!$A$2:$A$2442,A2302)&gt;0,"بله","خیر")</f>
        <v/>
      </c>
    </row>
    <row r="2303" ht="15" customHeight="1" s="14">
      <c r="A2303" s="24" t="n">
        <v>50528</v>
      </c>
      <c r="B2303" s="24" t="inlineStr">
        <is>
          <t>ACETYLCYSTEINE SOLUTION RESPIRATORY 100 mg/1mL 3 mL</t>
        </is>
      </c>
      <c r="C2303" s="25">
        <f>IF(COUNTIF('کدهای پیام‌داروساز'!$A$2:$A$2442,A2303)&gt;0,"بله","خیر")</f>
        <v/>
      </c>
    </row>
    <row r="2304" ht="15" customHeight="1" s="14">
      <c r="A2304" s="24" t="n">
        <v>50539</v>
      </c>
      <c r="B2304" s="24" t="inlineStr">
        <is>
          <t>TACROLIMUS CAPSULE, EXTENDED RELEASE ORAL 3 mg</t>
        </is>
      </c>
      <c r="C2304" s="25">
        <f>IF(COUNTIF('کدهای پیام‌داروساز'!$A$2:$A$2442,A2304)&gt;0,"بله","خیر")</f>
        <v/>
      </c>
    </row>
    <row r="2305" ht="15" customHeight="1" s="14">
      <c r="A2305" s="24" t="n">
        <v>50541</v>
      </c>
      <c r="B2305" s="24" t="inlineStr">
        <is>
          <t>LEUPRORELIN ACETATE INJECTION, POWDER, FOR SUSPENSION, EXTENDED RELEASE PARENTERAL 45 mg</t>
        </is>
      </c>
      <c r="C2305" s="25">
        <f>IF(COUNTIF('کدهای پیام‌داروساز'!$A$2:$A$2442,A2305)&gt;0,"بله","خیر")</f>
        <v/>
      </c>
    </row>
    <row r="2306" ht="15" customHeight="1" s="14">
      <c r="A2306" s="24" t="n">
        <v>50563</v>
      </c>
      <c r="B2306" s="24" t="inlineStr">
        <is>
          <t>ADULT COLD PREPARATIONS (7-7) CAPSULE, LIQUID FILLED ORAL 15 mg/2 mg/5 mg/325 mg</t>
        </is>
      </c>
      <c r="C2306" s="25">
        <f>IF(COUNTIF('کدهای پیام‌داروساز'!$A$2:$A$2442,A2306)&gt;0,"بله","خیر")</f>
        <v/>
      </c>
    </row>
    <row r="2307" ht="15" customHeight="1" s="14">
      <c r="A2307" s="24" t="n">
        <v>50564</v>
      </c>
      <c r="B2307" s="24" t="inlineStr">
        <is>
          <t>ADULT COLD PREPARATIONS (7-8) CAPSULE, LIQUID FILLED ORAL 15 mg/2 mg/5 mg/500 mg</t>
        </is>
      </c>
      <c r="C2307" s="25">
        <f>IF(COUNTIF('کدهای پیام‌داروساز'!$A$2:$A$2442,A2307)&gt;0,"بله","خیر")</f>
        <v/>
      </c>
    </row>
    <row r="2308" ht="15" customHeight="1" s="14">
      <c r="A2308" s="24" t="n">
        <v>50570</v>
      </c>
      <c r="B2308" s="24" t="inlineStr">
        <is>
          <t>NITROUS OXIDE GAS RESPIRATORY  25 kg</t>
        </is>
      </c>
      <c r="C2308" s="25">
        <f>IF(COUNTIF('کدهای پیام‌داروساز'!$A$2:$A$2442,A2308)&gt;0,"بله","خیر")</f>
        <v/>
      </c>
    </row>
    <row r="2309" ht="15" customHeight="1" s="14">
      <c r="A2309" s="24" t="n">
        <v>50575</v>
      </c>
      <c r="B2309" s="24" t="inlineStr">
        <is>
          <t>INSULIN ASPART INJECTION, SUSPENSION PARENTERAL 100 [iU]/1mL 3 mL</t>
        </is>
      </c>
      <c r="C2309" s="25">
        <f>IF(COUNTIF('کدهای پیام‌داروساز'!$A$2:$A$2442,A2309)&gt;0,"بله","خیر")</f>
        <v/>
      </c>
    </row>
    <row r="2310" ht="15" customHeight="1" s="14">
      <c r="A2310" s="24" t="n">
        <v>50580</v>
      </c>
      <c r="B2310" s="24" t="inlineStr">
        <is>
          <t>ADULT COLD PREPARATIONS (7-13) CAPSULE, LIQUID FILLED ORAL 10 mg/2 mg/5 mg/500 mg</t>
        </is>
      </c>
      <c r="C2310" s="25">
        <f>IF(COUNTIF('کدهای پیام‌داروساز'!$A$2:$A$2442,A2310)&gt;0,"بله","خیر")</f>
        <v/>
      </c>
    </row>
    <row r="2311" ht="15" customHeight="1" s="14">
      <c r="A2311" s="24" t="n">
        <v>50593</v>
      </c>
      <c r="B2311" s="24" t="inlineStr">
        <is>
          <t>NITROUS OXIDE GAS RESPIRATORY  7 kg</t>
        </is>
      </c>
      <c r="C2311" s="25">
        <f>IF(COUNTIF('کدهای پیام‌داروساز'!$A$2:$A$2442,A2311)&gt;0,"بله","خیر")</f>
        <v/>
      </c>
    </row>
    <row r="2312" ht="15" customHeight="1" s="14">
      <c r="A2312" s="24" t="n">
        <v>50594</v>
      </c>
      <c r="B2312" s="24" t="inlineStr">
        <is>
          <t>NITROUS OXIDE GAS RESPIRATORY  20 kg</t>
        </is>
      </c>
      <c r="C2312" s="25">
        <f>IF(COUNTIF('کدهای پیام‌داروساز'!$A$2:$A$2442,A2312)&gt;0,"بله","خیر")</f>
        <v/>
      </c>
    </row>
    <row r="2313" ht="15" customHeight="1" s="14">
      <c r="A2313" s="24" t="n">
        <v>50610</v>
      </c>
      <c r="B2313" s="24" t="inlineStr">
        <is>
          <t>DOXORUBICIN HYDROCHLORIDE (PEGYLATED) INJECTABLE, LIPOSOMAL PARENTERAL 2 mg/1mL 10 mL</t>
        </is>
      </c>
      <c r="C2313" s="25">
        <f>IF(COUNTIF('کدهای پیام‌داروساز'!$A$2:$A$2442,A2313)&gt;0,"بله","خیر")</f>
        <v/>
      </c>
    </row>
    <row r="2314" ht="15" customHeight="1" s="14">
      <c r="A2314" s="24" t="n">
        <v>50615</v>
      </c>
      <c r="B2314" s="24" t="inlineStr">
        <is>
          <t>ARTESUNATE SUPPOSITORY RECTAL 50 mg</t>
        </is>
      </c>
      <c r="C2314" s="25">
        <f>IF(COUNTIF('کدهای پیام‌داروساز'!$A$2:$A$2442,A2314)&gt;0,"بله","خیر")</f>
        <v/>
      </c>
    </row>
    <row r="2315" ht="15" customHeight="1" s="14">
      <c r="A2315" s="24" t="n">
        <v>50618</v>
      </c>
      <c r="B2315" s="24" t="inlineStr">
        <is>
          <t>ARTIFICIAL SALIVA SPRAY ORAL  40 mL</t>
        </is>
      </c>
      <c r="C2315" s="25">
        <f>IF(COUNTIF('کدهای پیام‌داروساز'!$A$2:$A$2442,A2315)&gt;0,"بله","خیر")</f>
        <v/>
      </c>
    </row>
    <row r="2316" ht="15" customHeight="1" s="14">
      <c r="A2316" s="24" t="n">
        <v>50622</v>
      </c>
      <c r="B2316" s="24" t="inlineStr">
        <is>
          <t>ASA (ACETYLSALICYLIC ACID) TABLET, DELAYED RELEASE ORAL 81 mg</t>
        </is>
      </c>
      <c r="C2316" s="25">
        <f>IF(COUNTIF('کدهای پیام‌داروساز'!$A$2:$A$2442,A2316)&gt;0,"بله","خیر")</f>
        <v/>
      </c>
    </row>
    <row r="2317" ht="15" customHeight="1" s="14">
      <c r="A2317" s="24" t="n">
        <v>50624</v>
      </c>
      <c r="B2317" s="24" t="inlineStr">
        <is>
          <t>TEMOZOLOMIDE INJECTION, POWDER, LYOPHILIZED, FOR SOLUTION INTRAVENOUS 100 mg</t>
        </is>
      </c>
      <c r="C2317" s="25">
        <f>IF(COUNTIF('کدهای پیام‌داروساز'!$A$2:$A$2442,A2317)&gt;0,"بله","خیر")</f>
        <v/>
      </c>
    </row>
    <row r="2318" ht="15" customHeight="1" s="14">
      <c r="A2318" s="24" t="n">
        <v>50627</v>
      </c>
      <c r="B2318" s="24" t="inlineStr">
        <is>
          <t>BOTULISM ANTITOXIN MONOVALENT TYPE A (EQUINE) INJECTION PARENTERAL 5000 [iU]/1mL 10 mL</t>
        </is>
      </c>
      <c r="C2318" s="25">
        <f>IF(COUNTIF('کدهای پیام‌داروساز'!$A$2:$A$2442,A2318)&gt;0,"بله","خیر")</f>
        <v/>
      </c>
    </row>
    <row r="2319" ht="15" customHeight="1" s="14">
      <c r="A2319" s="24" t="n">
        <v>50628</v>
      </c>
      <c r="B2319" s="24" t="inlineStr">
        <is>
          <t>ASA / ATORVASTATIN (AS CALCIUM) / ENALAPRIL MALEATE / HYDROCHLOROTHIAZIDE TABLET ORAL 81 mg/20 mg/5 mg/12.5 mg</t>
        </is>
      </c>
      <c r="C2319" s="25">
        <f>IF(COUNTIF('کدهای پیام‌داروساز'!$A$2:$A$2442,A2319)&gt;0,"بله","خیر")</f>
        <v/>
      </c>
    </row>
    <row r="2320" ht="15" customHeight="1" s="14">
      <c r="A2320" s="24" t="n">
        <v>50635</v>
      </c>
      <c r="B2320" s="24" t="inlineStr">
        <is>
          <t>ASA / ATORVASTATIN (AS CALCIUM) / HYDROCHLOROTHIAZIDE / VALSARTAN TABLET ORAL 81 mg/20 mg/12.5 mg/40 mg</t>
        </is>
      </c>
      <c r="C2320" s="25">
        <f>IF(COUNTIF('کدهای پیام‌داروساز'!$A$2:$A$2442,A2320)&gt;0,"بله","خیر")</f>
        <v/>
      </c>
    </row>
    <row r="2321" ht="15" customHeight="1" s="14">
      <c r="A2321" s="24" t="n">
        <v>50640</v>
      </c>
      <c r="B2321" s="24" t="inlineStr">
        <is>
          <t>DAPOXETINE (AS HYDROCHLORIDE) TABLET ORAL 30 mg</t>
        </is>
      </c>
      <c r="C2321" s="25">
        <f>IF(COUNTIF('کدهای پیام‌داروساز'!$A$2:$A$2442,A2321)&gt;0,"بله","خیر")</f>
        <v/>
      </c>
    </row>
    <row r="2322" ht="15" customHeight="1" s="14">
      <c r="A2322" s="24" t="n">
        <v>50642</v>
      </c>
      <c r="B2322" s="24" t="inlineStr">
        <is>
          <t>SODIUM CHLORIDE SOLUTION, DROPS OPHTHALMIC 5 % 0.5 mL</t>
        </is>
      </c>
      <c r="C2322" s="25">
        <f>IF(COUNTIF('کدهای پیام‌داروساز'!$A$2:$A$2442,A2322)&gt;0,"بله","خیر")</f>
        <v/>
      </c>
    </row>
    <row r="2323" ht="15" customHeight="1" s="14">
      <c r="A2323" s="24" t="n">
        <v>50647</v>
      </c>
      <c r="B2323" s="24" t="inlineStr">
        <is>
          <t>ARTIFICIAL TEARS SOLUTION, DROPS OPHTHALMIC 14 mg/1mL 10 mL</t>
        </is>
      </c>
      <c r="C2323" s="25">
        <f>IF(COUNTIF('کدهای پیام‌داروساز'!$A$2:$A$2442,A2323)&gt;0,"بله","خیر")</f>
        <v/>
      </c>
    </row>
    <row r="2324" ht="15" customHeight="1" s="14">
      <c r="A2324" s="24" t="n">
        <v>50684</v>
      </c>
      <c r="B2324" s="24" t="inlineStr">
        <is>
          <t>METHYLPHENIDATE HYDROCHLORIDE TABLET, EXTENDED RELEASE ORAL 18 mg</t>
        </is>
      </c>
      <c r="C2324" s="25">
        <f>IF(COUNTIF('کدهای پیام‌داروساز'!$A$2:$A$2442,A2324)&gt;0,"بله","خیر")</f>
        <v/>
      </c>
    </row>
    <row r="2325" ht="15" customHeight="1" s="14">
      <c r="A2325" s="24" t="n">
        <v>50685</v>
      </c>
      <c r="B2325" s="24" t="inlineStr">
        <is>
          <t>METHYLPHENIDATE HYDROCHLORIDE TABLET, EXTENDED RELEASE ORAL 36 mg</t>
        </is>
      </c>
      <c r="C2325" s="25">
        <f>IF(COUNTIF('کدهای پیام‌داروساز'!$A$2:$A$2442,A2325)&gt;0,"بله","خیر")</f>
        <v/>
      </c>
    </row>
    <row r="2326" ht="15" customHeight="1" s="14">
      <c r="A2326" s="24" t="n">
        <v>50686</v>
      </c>
      <c r="B2326" s="24" t="inlineStr">
        <is>
          <t>METHYLPHENIDATE HYDROCHLORIDE TABLET, EXTENDED RELEASE ORAL 54 mg</t>
        </is>
      </c>
      <c r="C2326" s="25">
        <f>IF(COUNTIF('کدهای پیام‌داروساز'!$A$2:$A$2442,A2326)&gt;0,"بله","خیر")</f>
        <v/>
      </c>
    </row>
    <row r="2327" ht="15" customHeight="1" s="14">
      <c r="A2327" s="24" t="n">
        <v>50694</v>
      </c>
      <c r="B2327" s="24" t="inlineStr">
        <is>
          <t>INOSINE MONOPHOSPHATE DISODIUM SOLUTION, DROPS OPHTHALMIC 0.1 % 10 mL</t>
        </is>
      </c>
      <c r="C2327" s="25">
        <f>IF(COUNTIF('کدهای پیام‌داروساز'!$A$2:$A$2442,A2327)&gt;0,"بله","خیر")</f>
        <v/>
      </c>
    </row>
    <row r="2328" ht="15" customHeight="1" s="14">
      <c r="A2328" s="24" t="n">
        <v>50695</v>
      </c>
      <c r="B2328" s="24" t="inlineStr">
        <is>
          <t>ESTRADIOL HEMIHYDRATE / LEVONORGESTREL PATCH TRANSDERMAL 1.5 mg/0.525 mg/15cm2</t>
        </is>
      </c>
      <c r="C2328" s="25">
        <f>IF(COUNTIF('کدهای پیام‌داروساز'!$A$2:$A$2442,A2328)&gt;0,"بله","خیر")</f>
        <v/>
      </c>
    </row>
    <row r="2329" ht="15" customHeight="1" s="14">
      <c r="A2329" s="24" t="n">
        <v>50701</v>
      </c>
      <c r="B2329" s="24" t="inlineStr">
        <is>
          <t>EVOLOCUMAB INJECTION PARENTERAL 140 mg/1mL 1 mL</t>
        </is>
      </c>
      <c r="C2329" s="25">
        <f>IF(COUNTIF('کدهای پیام‌داروساز'!$A$2:$A$2442,A2329)&gt;0,"بله","خیر")</f>
        <v/>
      </c>
    </row>
    <row r="2330" ht="15" customHeight="1" s="14">
      <c r="A2330" s="24" t="n">
        <v>50702</v>
      </c>
      <c r="B2330" s="24" t="inlineStr">
        <is>
          <t>SACUBITRIL / VALSARTAN TABLET ORAL 24 mg/26 mg</t>
        </is>
      </c>
      <c r="C2330" s="25">
        <f>IF(COUNTIF('کدهای پیام‌داروساز'!$A$2:$A$2442,A2330)&gt;0,"بله","خیر")</f>
        <v/>
      </c>
    </row>
    <row r="2331" ht="15" customHeight="1" s="14">
      <c r="A2331" s="24" t="n">
        <v>50710</v>
      </c>
      <c r="B2331" s="24" t="inlineStr">
        <is>
          <t>MYCOPHENOLATE MOFETIL POWDER, FOR SUSPENSION ORAL 1 g/5mL 110 g</t>
        </is>
      </c>
      <c r="C2331" s="25">
        <f>IF(COUNTIF('کدهای پیام‌داروساز'!$A$2:$A$2442,A2331)&gt;0,"بله","خیر")</f>
        <v/>
      </c>
    </row>
    <row r="2332" ht="15" customHeight="1" s="14">
      <c r="A2332" s="24" t="n">
        <v>50711</v>
      </c>
      <c r="B2332" s="24" t="inlineStr">
        <is>
          <t>TOFACITINIB (AS CITRATE) TABLET ORAL 5 mg</t>
        </is>
      </c>
      <c r="C2332" s="25">
        <f>IF(COUNTIF('کدهای پیام‌داروساز'!$A$2:$A$2442,A2332)&gt;0,"بله","خیر")</f>
        <v/>
      </c>
    </row>
    <row r="2333" ht="15" customHeight="1" s="14">
      <c r="A2333" s="24" t="n">
        <v>50712</v>
      </c>
      <c r="B2333" s="24" t="inlineStr">
        <is>
          <t>PALBOCICLIB CAPSULE ORAL 125 mg</t>
        </is>
      </c>
      <c r="C2333" s="25">
        <f>IF(COUNTIF('کدهای پیام‌داروساز'!$A$2:$A$2442,A2333)&gt;0,"بله","خیر")</f>
        <v/>
      </c>
    </row>
    <row r="2334" ht="15" customHeight="1" s="14">
      <c r="A2334" s="24" t="n">
        <v>50720</v>
      </c>
      <c r="B2334" s="24" t="inlineStr">
        <is>
          <t>CORIFOLLITROPIN ALFA INJECTION, SOLUTION PARENTERAL 300 ug/1mL 0.5 mL</t>
        </is>
      </c>
      <c r="C2334" s="25">
        <f>IF(COUNTIF('کدهای پیام‌داروساز'!$A$2:$A$2442,A2334)&gt;0,"بله","خیر")</f>
        <v/>
      </c>
    </row>
    <row r="2335" ht="15" customHeight="1" s="14">
      <c r="A2335" s="24" t="n">
        <v>50722</v>
      </c>
      <c r="B2335" s="24" t="inlineStr">
        <is>
          <t>POSACONAZOLE SUSPENSION ORAL 40 mg/1mL 105 mL</t>
        </is>
      </c>
      <c r="C2335" s="25">
        <f>IF(COUNTIF('کدهای پیام‌داروساز'!$A$2:$A$2442,A2335)&gt;0,"بله","خیر")</f>
        <v/>
      </c>
    </row>
    <row r="2336" ht="15" customHeight="1" s="14">
      <c r="A2336" s="24" t="n">
        <v>50727</v>
      </c>
      <c r="B2336" s="24" t="inlineStr">
        <is>
          <t>AMISULPRIDE TABLET ORAL 400 mg</t>
        </is>
      </c>
      <c r="C2336" s="25">
        <f>IF(COUNTIF('کدهای پیام‌داروساز'!$A$2:$A$2442,A2336)&gt;0,"بله","خیر")</f>
        <v/>
      </c>
    </row>
    <row r="2337" ht="15" customHeight="1" s="14">
      <c r="A2337" s="24" t="n">
        <v>50751</v>
      </c>
      <c r="B2337" s="24" t="inlineStr">
        <is>
          <t>PIRFENIDONE CAPSULE ORAL 267 mg</t>
        </is>
      </c>
      <c r="C2337" s="25">
        <f>IF(COUNTIF('کدهای پیام‌داروساز'!$A$2:$A$2442,A2337)&gt;0,"بله","خیر")</f>
        <v/>
      </c>
    </row>
    <row r="2338" ht="15" customHeight="1" s="14">
      <c r="A2338" s="24" t="n">
        <v>50757</v>
      </c>
      <c r="B2338" s="24" t="inlineStr">
        <is>
          <t>ROTIGOTINE PATCH TRANSDERMAL 13.5 mg/30cm2</t>
        </is>
      </c>
      <c r="C2338" s="25">
        <f>IF(COUNTIF('کدهای پیام‌داروساز'!$A$2:$A$2442,A2338)&gt;0,"بله","خیر")</f>
        <v/>
      </c>
    </row>
    <row r="2339" ht="15" customHeight="1" s="14">
      <c r="A2339" s="24" t="n">
        <v>50758</v>
      </c>
      <c r="B2339" s="24" t="inlineStr">
        <is>
          <t>LENVATINIB (AS MESILATE) CAPSULE ORAL 10 mg</t>
        </is>
      </c>
      <c r="C2339" s="25">
        <f>IF(COUNTIF('کدهای پیام‌داروساز'!$A$2:$A$2442,A2339)&gt;0,"بله","خیر")</f>
        <v/>
      </c>
    </row>
    <row r="2340" ht="15" customHeight="1" s="14">
      <c r="A2340" s="24" t="n">
        <v>50760</v>
      </c>
      <c r="B2340" s="24" t="inlineStr">
        <is>
          <t>ARTIFICIAL TEAR SOLUTION, DROPS OPHTHALMIC /1mL 10 mL</t>
        </is>
      </c>
      <c r="C2340" s="25">
        <f>IF(COUNTIF('کدهای پیام‌داروساز'!$A$2:$A$2442,A2340)&gt;0,"بله","خیر")</f>
        <v/>
      </c>
    </row>
    <row r="2341" ht="15" customHeight="1" s="14">
      <c r="A2341" s="24" t="n">
        <v>50765</v>
      </c>
      <c r="B2341" s="24" t="inlineStr">
        <is>
          <t>MEPOLIZOMAB INJECTION, POWDER, FOR SOLUTION PARENTERAL 100 mg</t>
        </is>
      </c>
      <c r="C2341" s="25">
        <f>IF(COUNTIF('کدهای پیام‌داروساز'!$A$2:$A$2442,A2341)&gt;0,"بله","خیر")</f>
        <v/>
      </c>
    </row>
    <row r="2342" ht="15" customHeight="1" s="14">
      <c r="A2342" s="24" t="n">
        <v>50769</v>
      </c>
      <c r="B2342" s="24" t="inlineStr">
        <is>
          <t>IBRUTINIB CAPSULE ORAL 140 mg</t>
        </is>
      </c>
      <c r="C2342" s="25">
        <f>IF(COUNTIF('کدهای پیام‌داروساز'!$A$2:$A$2442,A2342)&gt;0,"بله","خیر")</f>
        <v/>
      </c>
    </row>
    <row r="2343" ht="15" customHeight="1" s="14">
      <c r="A2343" s="24" t="n">
        <v>50771</v>
      </c>
      <c r="B2343" s="24" t="inlineStr">
        <is>
          <t>DALFAMPRIDINE TABLET ORAL 10 mg</t>
        </is>
      </c>
      <c r="C2343" s="25">
        <f>IF(COUNTIF('کدهای پیام‌داروساز'!$A$2:$A$2442,A2343)&gt;0,"بله","خیر")</f>
        <v/>
      </c>
    </row>
    <row r="2344" ht="15" customHeight="1" s="14">
      <c r="A2344" s="24" t="n">
        <v>50772</v>
      </c>
      <c r="B2344" s="24" t="inlineStr">
        <is>
          <t>BEXAROTENE GEL TOPICAL 1 % 60 g</t>
        </is>
      </c>
      <c r="C2344" s="25">
        <f>IF(COUNTIF('کدهای پیام‌داروساز'!$A$2:$A$2442,A2344)&gt;0,"بله","خیر")</f>
        <v/>
      </c>
    </row>
    <row r="2345" ht="15" customHeight="1" s="14">
      <c r="A2345" s="24" t="n">
        <v>50776</v>
      </c>
      <c r="B2345" s="24" t="inlineStr">
        <is>
          <t>VALGANCICLOVIR (AS HYDROCHLORIDE) POWDER, FOR SOLUTION ORAL 50 mg/1mL 12 g</t>
        </is>
      </c>
      <c r="C2345" s="25">
        <f>IF(COUNTIF('کدهای پیام‌داروساز'!$A$2:$A$2442,A2345)&gt;0,"بله","خیر")</f>
        <v/>
      </c>
    </row>
    <row r="2346" ht="15" customHeight="1" s="14">
      <c r="A2346" s="24" t="n">
        <v>50821</v>
      </c>
      <c r="B2346" s="24" t="inlineStr">
        <is>
          <t>FOLLITROPIN BETA INJECTION, SOLUTION PARENTERAL 833 [iU]/1mL 0.36 mL</t>
        </is>
      </c>
      <c r="C2346" s="25">
        <f>IF(COUNTIF('کدهای پیام‌داروساز'!$A$2:$A$2442,A2346)&gt;0,"بله","خیر")</f>
        <v/>
      </c>
    </row>
    <row r="2347" ht="15" customHeight="1" s="14">
      <c r="A2347" s="24" t="n">
        <v>50822</v>
      </c>
      <c r="B2347" s="24" t="inlineStr">
        <is>
          <t>FOLLITROPIN BETA INJECTION, SOLUTION PARENTERAL 833 [iU]/1mL 0.72 mL</t>
        </is>
      </c>
      <c r="C2347" s="25">
        <f>IF(COUNTIF('کدهای پیام‌داروساز'!$A$2:$A$2442,A2347)&gt;0,"بله","خیر")</f>
        <v/>
      </c>
    </row>
    <row r="2348" ht="15" customHeight="1" s="14">
      <c r="A2348" s="24" t="n">
        <v>50823</v>
      </c>
      <c r="B2348" s="24" t="inlineStr">
        <is>
          <t>FOLLITROPIN BETA INJECTION, SOLUTION PARENTERAL 833 [iU]/1mL 1.08 mL</t>
        </is>
      </c>
      <c r="C2348" s="25">
        <f>IF(COUNTIF('کدهای پیام‌داروساز'!$A$2:$A$2442,A2348)&gt;0,"بله","خیر")</f>
        <v/>
      </c>
    </row>
    <row r="2349" ht="15" customHeight="1" s="14">
      <c r="A2349" s="24" t="n">
        <v>50833</v>
      </c>
      <c r="B2349" s="24" t="inlineStr">
        <is>
          <t>LINACLOTIDE CAPSULE ORAL 145 ug</t>
        </is>
      </c>
      <c r="C2349" s="25">
        <f>IF(COUNTIF('کدهای پیام‌داروساز'!$A$2:$A$2442,A2349)&gt;0,"بله","خیر")</f>
        <v/>
      </c>
    </row>
    <row r="2350" ht="15" customHeight="1" s="14">
      <c r="A2350" s="24" t="n">
        <v>50837</v>
      </c>
      <c r="B2350" s="24" t="inlineStr">
        <is>
          <t>C1-ESTRASE INHIBITOR INJECTION, POWDER, FOR SOLUTION PARENTERAL 500 [iU]</t>
        </is>
      </c>
      <c r="C2350" s="25">
        <f>IF(COUNTIF('کدهای پیام‌داروساز'!$A$2:$A$2442,A2350)&gt;0,"بله","خیر")</f>
        <v/>
      </c>
    </row>
    <row r="2351" ht="15" customHeight="1" s="14">
      <c r="A2351" s="24" t="n">
        <v>50838</v>
      </c>
      <c r="B2351" s="24" t="inlineStr">
        <is>
          <t>CYCLOPENTOLATE HYDROCHLORIDE SOLUTION OPHTHALMIC 1 % 5 mL</t>
        </is>
      </c>
      <c r="C2351" s="25">
        <f>IF(COUNTIF('کدهای پیام‌داروساز'!$A$2:$A$2442,A2351)&gt;0,"بله","خیر")</f>
        <v/>
      </c>
    </row>
    <row r="2352" ht="15" customHeight="1" s="14">
      <c r="A2352" s="24" t="n">
        <v>50841</v>
      </c>
      <c r="B2352" s="24" t="inlineStr">
        <is>
          <t>BRENTUXIMAB VEDOTIN INJECTION, POWDER, FOR SOLUTION PARENTERAL 50 mg</t>
        </is>
      </c>
      <c r="C2352" s="25">
        <f>IF(COUNTIF('کدهای پیام‌داروساز'!$A$2:$A$2442,A2352)&gt;0,"بله","خیر")</f>
        <v/>
      </c>
    </row>
    <row r="2353" ht="15" customHeight="1" s="14">
      <c r="A2353" s="24" t="n">
        <v>50865</v>
      </c>
      <c r="B2353" s="24" t="inlineStr">
        <is>
          <t>AMINO ACID 5% (2) INJECTION, SOLUTION INTRAVENOUS 2.5 mg/3.7 mg/4.655 mg/2.15 mg/2.55 mg/2.2 mg/1 mg/3.1 mg/6 mg/1.5 mg/7 mg/5.5 mg/5.6 mg/3.25 mg/0.2 mg/0.5 mg/1mL 500 mL</t>
        </is>
      </c>
      <c r="C2353" s="25">
        <f>IF(COUNTIF('کدهای پیام‌داروساز'!$A$2:$A$2442,A2353)&gt;0,"بله","خیر")</f>
        <v/>
      </c>
    </row>
    <row r="2354" ht="15" customHeight="1" s="14">
      <c r="A2354" s="24" t="n">
        <v>50872</v>
      </c>
      <c r="B2354" s="24" t="inlineStr">
        <is>
          <t>TESTOSTERONE ENANTHATE INJECTION PARENTERAL 250 mg/1mL 1 mL</t>
        </is>
      </c>
      <c r="C2354" s="25">
        <f>IF(COUNTIF('کدهای پیام‌داروساز'!$A$2:$A$2442,A2354)&gt;0,"بله","خیر")</f>
        <v/>
      </c>
    </row>
    <row r="2355" ht="15" customHeight="1" s="14">
      <c r="A2355" s="24" t="n">
        <v>50878</v>
      </c>
      <c r="B2355" s="24" t="inlineStr">
        <is>
          <t>CERITINIB CAPSULE ORAL 150 mg</t>
        </is>
      </c>
      <c r="C2355" s="25">
        <f>IF(COUNTIF('کدهای پیام‌داروساز'!$A$2:$A$2442,A2355)&gt;0,"بله","خیر")</f>
        <v/>
      </c>
    </row>
    <row r="2356" ht="15" customHeight="1" s="14">
      <c r="A2356" s="24" t="n">
        <v>50882</v>
      </c>
      <c r="B2356" s="24" t="inlineStr">
        <is>
          <t>TRASTUZUMAB EMTANSINE INJECTION, POWDER, LYOPHILIZED, FOR SOLUTION PARENTERAL 160 mg</t>
        </is>
      </c>
      <c r="C2356" s="25">
        <f>IF(COUNTIF('کدهای پیام‌داروساز'!$A$2:$A$2442,A2356)&gt;0,"بله","خیر")</f>
        <v/>
      </c>
    </row>
    <row r="2357" ht="15" customHeight="1" s="14">
      <c r="A2357" s="24" t="n">
        <v>50883</v>
      </c>
      <c r="B2357" s="24" t="inlineStr">
        <is>
          <t>ARTIFICIAL TEARS (CARBOMER) GEL OPHTHALMIC 0.2 % 10 g</t>
        </is>
      </c>
      <c r="C2357" s="25">
        <f>IF(COUNTIF('کدهای پیام‌داروساز'!$A$2:$A$2442,A2357)&gt;0,"بله","خیر")</f>
        <v/>
      </c>
    </row>
    <row r="2358" ht="15" customHeight="1" s="14">
      <c r="A2358" s="24" t="n">
        <v>50884</v>
      </c>
      <c r="B2358" s="24" t="inlineStr">
        <is>
          <t>NIVOLUMAB INJECTION, SOLUTION, CONCENTRATE PARENTERAL 10 mg/1mL 10 mL</t>
        </is>
      </c>
      <c r="C2358" s="25">
        <f>IF(COUNTIF('کدهای پیام‌داروساز'!$A$2:$A$2442,A2358)&gt;0,"بله","خیر")</f>
        <v/>
      </c>
    </row>
    <row r="2359" ht="15" customHeight="1" s="14">
      <c r="A2359" s="24" t="n">
        <v>50886</v>
      </c>
      <c r="B2359" s="24" t="inlineStr">
        <is>
          <t>DASATINIB TABLET ORAL 50 mg</t>
        </is>
      </c>
      <c r="C2359" s="25">
        <f>IF(COUNTIF('کدهای پیام‌داروساز'!$A$2:$A$2442,A2359)&gt;0,"بله","خیر")</f>
        <v/>
      </c>
    </row>
    <row r="2360" ht="15" customHeight="1" s="14">
      <c r="A2360" s="24" t="n">
        <v>50891</v>
      </c>
      <c r="B2360" s="24" t="inlineStr">
        <is>
          <t>LENVATINIB (AS MESILATE) CAPSULE ORAL 4 mg</t>
        </is>
      </c>
      <c r="C2360" s="25">
        <f>IF(COUNTIF('کدهای پیام‌داروساز'!$A$2:$A$2442,A2360)&gt;0,"بله","خیر")</f>
        <v/>
      </c>
    </row>
    <row r="2361" ht="15" customHeight="1" s="14">
      <c r="A2361" s="24" t="n">
        <v>50893</v>
      </c>
      <c r="B2361" s="24" t="inlineStr">
        <is>
          <t>IMMUNE GLOBULIN INJECTION INTRAVENOUS 50 mg/1mL 200 mL</t>
        </is>
      </c>
      <c r="C2361" s="25">
        <f>IF(COUNTIF('کدهای پیام‌داروساز'!$A$2:$A$2442,A2361)&gt;0,"بله","خیر")</f>
        <v/>
      </c>
    </row>
    <row r="2362" ht="15" customHeight="1" s="14">
      <c r="A2362" s="24" t="n">
        <v>50894</v>
      </c>
      <c r="B2362" s="24" t="inlineStr">
        <is>
          <t>IMMUNE GLOBULIN INJECTION INTRAVENOUS 50 mg/1mL 20 mL</t>
        </is>
      </c>
      <c r="C2362" s="25">
        <f>IF(COUNTIF('کدهای پیام‌داروساز'!$A$2:$A$2442,A2362)&gt;0,"بله","خیر")</f>
        <v/>
      </c>
    </row>
    <row r="2363" ht="15" customHeight="1" s="14">
      <c r="A2363" s="24" t="n">
        <v>50895</v>
      </c>
      <c r="B2363" s="24" t="inlineStr">
        <is>
          <t>SODIUM IODIDE (SUP131/SUPI) SOLUTION ORAL 100 mCi</t>
        </is>
      </c>
      <c r="C2363" s="25">
        <f>IF(COUNTIF('کدهای پیام‌داروساز'!$A$2:$A$2442,A2363)&gt;0,"بله","خیر")</f>
        <v/>
      </c>
    </row>
    <row r="2364" ht="15" customHeight="1" s="14">
      <c r="A2364" s="24" t="n">
        <v>50902</v>
      </c>
      <c r="B2364" s="24" t="inlineStr">
        <is>
          <t>IVERMECTIN CREAM TOPICAL 1 % 15 g</t>
        </is>
      </c>
      <c r="C2364" s="25">
        <f>IF(COUNTIF('کدهای پیام‌داروساز'!$A$2:$A$2442,A2364)&gt;0,"بله","خیر")</f>
        <v/>
      </c>
    </row>
    <row r="2365" ht="15" customHeight="1" s="14">
      <c r="A2365" s="24" t="n">
        <v>50908</v>
      </c>
      <c r="B2365" s="24" t="inlineStr">
        <is>
          <t>TOCILIZUMAB INJECTION, SOLUTION, CONCENTRATE PARENTERAL 20 mg/1mL 10 mL</t>
        </is>
      </c>
      <c r="C2365" s="25">
        <f>IF(COUNTIF('کدهای پیام‌داروساز'!$A$2:$A$2442,A2365)&gt;0,"بله","خیر")</f>
        <v/>
      </c>
    </row>
    <row r="2366" ht="15" customHeight="1" s="14">
      <c r="A2366" s="24" t="n">
        <v>50910</v>
      </c>
      <c r="B2366" s="24" t="inlineStr">
        <is>
          <t>OSIMERTINIB (AS MESYLATE) TABLET ORAL 40 mg</t>
        </is>
      </c>
      <c r="C2366" s="25">
        <f>IF(COUNTIF('کدهای پیام‌داروساز'!$A$2:$A$2442,A2366)&gt;0,"بله","خیر")</f>
        <v/>
      </c>
    </row>
    <row r="2367" ht="15" customHeight="1" s="14">
      <c r="A2367" s="24" t="n">
        <v>50911</v>
      </c>
      <c r="B2367" s="24" t="inlineStr">
        <is>
          <t>OSIMERTINIB (AS MESYLATE) TABLET ORAL 80 mg</t>
        </is>
      </c>
      <c r="C2367" s="25">
        <f>IF(COUNTIF('کدهای پیام‌داروساز'!$A$2:$A$2442,A2367)&gt;0,"بله","خیر")</f>
        <v/>
      </c>
    </row>
    <row r="2368" ht="15" customHeight="1" s="14">
      <c r="A2368" s="24" t="n">
        <v>50913</v>
      </c>
      <c r="B2368" s="24" t="inlineStr">
        <is>
          <t>RUXOLITINIB (AS PHOSPHATE) TABLET ORAL 10 mg</t>
        </is>
      </c>
      <c r="C2368" s="25">
        <f>IF(COUNTIF('کدهای پیام‌داروساز'!$A$2:$A$2442,A2368)&gt;0,"بله","خیر")</f>
        <v/>
      </c>
    </row>
    <row r="2369" ht="15" customHeight="1" s="14">
      <c r="A2369" s="24" t="n">
        <v>50914</v>
      </c>
      <c r="B2369" s="24" t="inlineStr">
        <is>
          <t>RUXOLITINIB (AS PHOSPHATE) TABLET ORAL 15 mg</t>
        </is>
      </c>
      <c r="C2369" s="25">
        <f>IF(COUNTIF('کدهای پیام‌داروساز'!$A$2:$A$2442,A2369)&gt;0,"بله","خیر")</f>
        <v/>
      </c>
    </row>
    <row r="2370" ht="15" customHeight="1" s="14">
      <c r="A2370" s="24" t="n">
        <v>50919</v>
      </c>
      <c r="B2370" s="24" t="inlineStr">
        <is>
          <t>FUROSEMIDE SOLUTION ORAL 10 mg/1mL 120 mL</t>
        </is>
      </c>
      <c r="C2370" s="25">
        <f>IF(COUNTIF('کدهای پیام‌داروساز'!$A$2:$A$2442,A2370)&gt;0,"بله","خیر")</f>
        <v/>
      </c>
    </row>
    <row r="2371" ht="15" customHeight="1" s="14">
      <c r="A2371" s="24" t="n">
        <v>50920</v>
      </c>
      <c r="B2371" s="24" t="inlineStr">
        <is>
          <t>DIHYDROTESTOSTERONE GEL TOPICAL 2.5 % 80 g</t>
        </is>
      </c>
      <c r="C2371" s="25">
        <f>IF(COUNTIF('کدهای پیام‌داروساز'!$A$2:$A$2442,A2371)&gt;0,"بله","خیر")</f>
        <v/>
      </c>
    </row>
    <row r="2372" ht="15" customHeight="1" s="14">
      <c r="A2372" s="24" t="n">
        <v>50927</v>
      </c>
      <c r="B2372" s="24" t="inlineStr">
        <is>
          <t>RABIES IMMUNE GLOBULIN (HUMAN) INJECTION PARENTERAL 150 [iU]/1mL 5 mL</t>
        </is>
      </c>
      <c r="C2372" s="25">
        <f>IF(COUNTIF('کدهای پیام‌داروساز'!$A$2:$A$2442,A2372)&gt;0,"بله","خیر")</f>
        <v/>
      </c>
    </row>
    <row r="2373" ht="15" customHeight="1" s="14">
      <c r="A2373" s="24" t="n">
        <v>50929</v>
      </c>
      <c r="B2373" s="24" t="inlineStr">
        <is>
          <t>BUDESONIDE / FORMOTEROL FUMARATE POWDER, METERED RESPIRATORY 320 ug/9 ug/1{dose} 120 {dose}</t>
        </is>
      </c>
      <c r="C2373" s="25">
        <f>IF(COUNTIF('کدهای پیام‌داروساز'!$A$2:$A$2442,A2373)&gt;0,"بله","خیر")</f>
        <v/>
      </c>
    </row>
    <row r="2374" ht="15" customHeight="1" s="14">
      <c r="A2374" s="24" t="n">
        <v>50936</v>
      </c>
      <c r="B2374" s="24" t="inlineStr">
        <is>
          <t>METHENAMINE HIPPURATE TABLET ORAL 1 g</t>
        </is>
      </c>
      <c r="C2374" s="25">
        <f>IF(COUNTIF('کدهای پیام‌داروساز'!$A$2:$A$2442,A2374)&gt;0,"بله","خیر")</f>
        <v/>
      </c>
    </row>
    <row r="2375" ht="15" customHeight="1" s="14">
      <c r="A2375" s="24" t="n">
        <v>50954</v>
      </c>
      <c r="B2375" s="24" t="inlineStr">
        <is>
          <t>ALBUMIN (HUMAN) INJECTION, SOLUTION PARENTERAL 20 % 250 mL</t>
        </is>
      </c>
      <c r="C2375" s="25">
        <f>IF(COUNTIF('کدهای پیام‌داروساز'!$A$2:$A$2442,A2375)&gt;0,"بله","خیر")</f>
        <v/>
      </c>
    </row>
    <row r="2376" ht="15" customHeight="1" s="14">
      <c r="A2376" s="24" t="n">
        <v>50962</v>
      </c>
      <c r="B2376" s="24" t="inlineStr">
        <is>
          <t>AMLODIPINE (AS BESILATE) / VALSARTAN TABLET ORAL 10 mg/320 mg</t>
        </is>
      </c>
      <c r="C2376" s="25">
        <f>IF(COUNTIF('کدهای پیام‌داروساز'!$A$2:$A$2442,A2376)&gt;0,"بله","خیر")</f>
        <v/>
      </c>
    </row>
    <row r="2377" ht="15" customHeight="1" s="14">
      <c r="A2377" s="24" t="n">
        <v>50963</v>
      </c>
      <c r="B2377" s="24" t="inlineStr">
        <is>
          <t>AMLODIPINE (AS BESILATE) / VALSARTAN TABLET ORAL 5 mg/320 mg</t>
        </is>
      </c>
      <c r="C2377" s="25">
        <f>IF(COUNTIF('کدهای پیام‌داروساز'!$A$2:$A$2442,A2377)&gt;0,"بله","خیر")</f>
        <v/>
      </c>
    </row>
    <row r="2378" ht="15" customHeight="1" s="14">
      <c r="A2378" s="24" t="n">
        <v>50964</v>
      </c>
      <c r="B2378" s="24" t="inlineStr">
        <is>
          <t>AMLODIPINE (AS BESILATE) / VALSARTAN / HYDROCHLOROTHIAZIDE TABLET ORAL 10 mg/160 mg/12.5 mg</t>
        </is>
      </c>
      <c r="C2378" s="25">
        <f>IF(COUNTIF('کدهای پیام‌داروساز'!$A$2:$A$2442,A2378)&gt;0,"بله","خیر")</f>
        <v/>
      </c>
    </row>
    <row r="2379" ht="15" customHeight="1" s="14">
      <c r="A2379" s="24" t="n">
        <v>50965</v>
      </c>
      <c r="B2379" s="24" t="inlineStr">
        <is>
          <t>AMLODIPINE (AS BESILATE) / VALSARTAN / HYDROCHLOROTHIAZIDE TABLET ORAL 10 mg/160 mg/25 mg</t>
        </is>
      </c>
      <c r="C2379" s="25">
        <f>IF(COUNTIF('کدهای پیام‌داروساز'!$A$2:$A$2442,A2379)&gt;0,"بله","خیر")</f>
        <v/>
      </c>
    </row>
    <row r="2380" ht="15" customHeight="1" s="14">
      <c r="A2380" s="24" t="n">
        <v>50966</v>
      </c>
      <c r="B2380" s="24" t="inlineStr">
        <is>
          <t>AMLODIPINE (AS BESILATE) / VALSARTAN / HYDROCHLOROTHIAZIDE TABLET ORAL 5 mg/160 mg/12.5 mg</t>
        </is>
      </c>
      <c r="C2380" s="25">
        <f>IF(COUNTIF('کدهای پیام‌داروساز'!$A$2:$A$2442,A2380)&gt;0,"بله","خیر")</f>
        <v/>
      </c>
    </row>
    <row r="2381" ht="15" customHeight="1" s="14">
      <c r="A2381" s="24" t="n">
        <v>50967</v>
      </c>
      <c r="B2381" s="24" t="inlineStr">
        <is>
          <t>AMLODIPINE (AS BESILATE) / VALSARTAN / HYDROCHLOROTHIAZIDE TABLET ORAL 5 mg/160 mg/25 mg</t>
        </is>
      </c>
      <c r="C2381" s="25">
        <f>IF(COUNTIF('کدهای پیام‌داروساز'!$A$2:$A$2442,A2381)&gt;0,"بله","خیر")</f>
        <v/>
      </c>
    </row>
    <row r="2382" ht="15" customHeight="1" s="14">
      <c r="A2382" s="24" t="n">
        <v>50986</v>
      </c>
      <c r="B2382" s="24" t="inlineStr">
        <is>
          <t>TRASTUZUMAB EMTANSINE INJECTION, POWDER, LYOPHILIZED, FOR SOLUTION PARENTERAL 100 mg</t>
        </is>
      </c>
      <c r="C2382" s="25">
        <f>IF(COUNTIF('کدهای پیام‌داروساز'!$A$2:$A$2442,A2382)&gt;0,"بله","خیر")</f>
        <v/>
      </c>
    </row>
    <row r="2383" ht="15" customHeight="1" s="14">
      <c r="A2383" s="24" t="n">
        <v>50993</v>
      </c>
      <c r="B2383" s="24" t="inlineStr">
        <is>
          <t>PRAMIPEXOLE (AS DIHYDROCHLORIDE) TABLET, EXTENDED RELEASE ORAL 2.1 mg</t>
        </is>
      </c>
      <c r="C2383" s="25">
        <f>IF(COUNTIF('کدهای پیام‌داروساز'!$A$2:$A$2442,A2383)&gt;0,"بله","خیر")</f>
        <v/>
      </c>
    </row>
    <row r="2384" ht="15" customHeight="1" s="14">
      <c r="A2384" s="24" t="n">
        <v>50996</v>
      </c>
      <c r="B2384" s="24" t="inlineStr">
        <is>
          <t>RISPERIDONE INJECTION, POWDER, FOR SUSPENSION, EXTENDED RELEASE PARENTERAL 50 mg</t>
        </is>
      </c>
      <c r="C2384" s="25">
        <f>IF(COUNTIF('کدهای پیام‌داروساز'!$A$2:$A$2442,A2384)&gt;0,"بله","خیر")</f>
        <v/>
      </c>
    </row>
    <row r="2385" ht="15" customHeight="1" s="14">
      <c r="A2385" s="24" t="n">
        <v>51000</v>
      </c>
      <c r="B2385" s="24" t="inlineStr">
        <is>
          <t>ELTROMBOPAG (AS OLAMINE) TABLET ORAL 25 mg</t>
        </is>
      </c>
      <c r="C2385" s="25">
        <f>IF(COUNTIF('کدهای پیام‌داروساز'!$A$2:$A$2442,A2385)&gt;0,"بله","خیر")</f>
        <v/>
      </c>
    </row>
    <row r="2386" ht="15" customHeight="1" s="14">
      <c r="A2386" s="24" t="n">
        <v>51001</v>
      </c>
      <c r="B2386" s="24" t="inlineStr">
        <is>
          <t>ELTROMBOPAG (AS OLAMINE) TABLET ORAL 50 mg</t>
        </is>
      </c>
      <c r="C2386" s="25">
        <f>IF(COUNTIF('کدهای پیام‌داروساز'!$A$2:$A$2442,A2386)&gt;0,"بله","خیر")</f>
        <v/>
      </c>
    </row>
    <row r="2387" ht="15" customHeight="1" s="14">
      <c r="A2387" s="24" t="n">
        <v>51005</v>
      </c>
      <c r="B2387" s="24" t="inlineStr">
        <is>
          <t>SACUBITRIL / VALSARTAN TABLET ORAL 49 mg/51 mg</t>
        </is>
      </c>
      <c r="C2387" s="25">
        <f>IF(COUNTIF('کدهای پیام‌داروساز'!$A$2:$A$2442,A2387)&gt;0,"بله","خیر")</f>
        <v/>
      </c>
    </row>
    <row r="2388" ht="15" customHeight="1" s="14">
      <c r="A2388" s="24" t="n">
        <v>51006</v>
      </c>
      <c r="B2388" s="24" t="inlineStr">
        <is>
          <t>DIMETHYLGLYCINE CAPSULE ORAL 125 mg</t>
        </is>
      </c>
      <c r="C2388" s="25">
        <f>IF(COUNTIF('کدهای پیام‌داروساز'!$A$2:$A$2442,A2388)&gt;0,"بله","خیر")</f>
        <v/>
      </c>
    </row>
    <row r="2389" ht="15" customHeight="1" s="14">
      <c r="A2389" s="24" t="n">
        <v>51007</v>
      </c>
      <c r="B2389" s="24" t="inlineStr">
        <is>
          <t>FENTANYL (AS CITRATE) TABLET SUBLINGUAL 100 ug</t>
        </is>
      </c>
      <c r="C2389" s="25">
        <f>IF(COUNTIF('کدهای پیام‌داروساز'!$A$2:$A$2442,A2389)&gt;0,"بله","خیر")</f>
        <v/>
      </c>
    </row>
    <row r="2390" ht="15" customHeight="1" s="14">
      <c r="A2390" s="24" t="n">
        <v>51012</v>
      </c>
      <c r="B2390" s="24" t="inlineStr">
        <is>
          <t>FACTOR VIII / VON WILLEBRAND FACTOR INJECTION, POWDER, LYOPHILIZED, FOR SOLUTION PARENTERAL 500 [iU]/500 [iU]</t>
        </is>
      </c>
      <c r="C2390" s="25">
        <f>IF(COUNTIF('کدهای پیام‌داروساز'!$A$2:$A$2442,A2390)&gt;0,"بله","خیر")</f>
        <v/>
      </c>
    </row>
    <row r="2391" ht="15" customHeight="1" s="14">
      <c r="A2391" s="24" t="n">
        <v>51013</v>
      </c>
      <c r="B2391" s="24" t="inlineStr">
        <is>
          <t>FENTANYL (AS CITRATE) TABLET SUBLINGUAL 200 ug</t>
        </is>
      </c>
      <c r="C2391" s="25">
        <f>IF(COUNTIF('کدهای پیام‌داروساز'!$A$2:$A$2442,A2391)&gt;0,"بله","خیر")</f>
        <v/>
      </c>
    </row>
    <row r="2392" ht="15" customHeight="1" s="14">
      <c r="A2392" s="24" t="n">
        <v>51014</v>
      </c>
      <c r="B2392" s="24" t="inlineStr">
        <is>
          <t>FENTANYL (AS CITRATE) TABLET SUBLINGUAL 300 ug</t>
        </is>
      </c>
      <c r="C2392" s="25">
        <f>IF(COUNTIF('کدهای پیام‌داروساز'!$A$2:$A$2442,A2392)&gt;0,"بله","خیر")</f>
        <v/>
      </c>
    </row>
    <row r="2393" ht="15" customHeight="1" s="14">
      <c r="A2393" s="24" t="n">
        <v>51027</v>
      </c>
      <c r="B2393" s="24" t="inlineStr">
        <is>
          <t>OLARATUMAB INJECTION PARENTERAL 10 mg/1mL 50 mL</t>
        </is>
      </c>
      <c r="C2393" s="25">
        <f>IF(COUNTIF('کدهای پیام‌داروساز'!$A$2:$A$2442,A2393)&gt;0,"بله","خیر")</f>
        <v/>
      </c>
    </row>
    <row r="2394" ht="15" customHeight="1" s="14">
      <c r="A2394" s="24" t="n">
        <v>51031</v>
      </c>
      <c r="B2394" s="24" t="inlineStr">
        <is>
          <t>HUMAN THROMBIN / FIBRINOGEN POWDER TOPICAL 500 [iU]</t>
        </is>
      </c>
      <c r="C2394" s="25">
        <f>IF(COUNTIF('کدهای پیام‌داروساز'!$A$2:$A$2442,A2394)&gt;0,"بله","خیر")</f>
        <v/>
      </c>
    </row>
    <row r="2395" ht="15" customHeight="1" s="14">
      <c r="A2395" s="24" t="n">
        <v>51054</v>
      </c>
      <c r="B2395" s="24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1250 mL</t>
        </is>
      </c>
      <c r="C2395" s="25">
        <f>IF(COUNTIF('کدهای پیام‌داروساز'!$A$2:$A$2442,A2395)&gt;0,"بله","خیر")</f>
        <v/>
      </c>
    </row>
    <row r="2396" ht="15" customHeight="1" s="14">
      <c r="A2396" s="24" t="n">
        <v>51055</v>
      </c>
      <c r="B2396" s="24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1875 mL</t>
        </is>
      </c>
      <c r="C2396" s="25">
        <f>IF(COUNTIF('کدهای پیام‌داروساز'!$A$2:$A$2442,A2396)&gt;0,"بله","خیر")</f>
        <v/>
      </c>
    </row>
    <row r="2397" ht="15" customHeight="1" s="14">
      <c r="A2397" s="24" t="n">
        <v>51057</v>
      </c>
      <c r="B2397" s="24" t="inlineStr">
        <is>
          <t>ARTIFICIAL TEARS SOLUTION OPHTHALMIC 3.2 mg/1mL 10 mL</t>
        </is>
      </c>
      <c r="C2397" s="25">
        <f>IF(COUNTIF('کدهای پیام‌داروساز'!$A$2:$A$2442,A2397)&gt;0,"بله","خیر")</f>
        <v/>
      </c>
    </row>
    <row r="2398" ht="15" customHeight="1" s="14">
      <c r="A2398" s="24" t="n">
        <v>51060</v>
      </c>
      <c r="B2398" s="24" t="inlineStr">
        <is>
          <t>ALEMTUZUMAB INJECTION, SOLUTION, CONCENTRATE INTRAVENOUS 10 mg/1mL 1.2 mL</t>
        </is>
      </c>
      <c r="C2398" s="25">
        <f>IF(COUNTIF('کدهای پیام‌داروساز'!$A$2:$A$2442,A2398)&gt;0,"بله","خیر")</f>
        <v/>
      </c>
    </row>
    <row r="2399" ht="15" customHeight="1" s="14">
      <c r="A2399" s="24" t="n">
        <v>51061</v>
      </c>
      <c r="B2399" s="24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1250 mL</t>
        </is>
      </c>
      <c r="C2399" s="25">
        <f>IF(COUNTIF('کدهای پیام‌داروساز'!$A$2:$A$2442,A2399)&gt;0,"بله","خیر")</f>
        <v/>
      </c>
    </row>
    <row r="2400" ht="15" customHeight="1" s="14">
      <c r="A2400" s="24" t="n">
        <v>51062</v>
      </c>
      <c r="B2400" s="24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1875 mL</t>
        </is>
      </c>
      <c r="C2400" s="25">
        <f>IF(COUNTIF('کدهای پیام‌داروساز'!$A$2:$A$2442,A2400)&gt;0,"بله","خیر")</f>
        <v/>
      </c>
    </row>
    <row r="2401" ht="15" customHeight="1" s="14">
      <c r="A2401" s="24" t="n">
        <v>51063</v>
      </c>
      <c r="B2401" s="24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2500 mL</t>
        </is>
      </c>
      <c r="C2401" s="25">
        <f>IF(COUNTIF('کدهای پیام‌داروساز'!$A$2:$A$2442,A2401)&gt;0,"بله","خیر")</f>
        <v/>
      </c>
    </row>
    <row r="2402" ht="15" customHeight="1" s="14">
      <c r="A2402" s="24" t="n">
        <v>51064</v>
      </c>
      <c r="B2402" s="24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625 mL</t>
        </is>
      </c>
      <c r="C2402" s="25">
        <f>IF(COUNTIF('کدهای پیام‌داروساز'!$A$2:$A$2442,A2402)&gt;0,"بله","خیر")</f>
        <v/>
      </c>
    </row>
    <row r="2403" ht="15" customHeight="1" s="14">
      <c r="A2403" s="24" t="n">
        <v>51065</v>
      </c>
      <c r="B2403" s="24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1250 mL</t>
        </is>
      </c>
      <c r="C2403" s="25">
        <f>IF(COUNTIF('کدهای پیام‌داروساز'!$A$2:$A$2442,A2403)&gt;0,"بله","خیر")</f>
        <v/>
      </c>
    </row>
    <row r="2404" ht="15" customHeight="1" s="14">
      <c r="A2404" s="24" t="n">
        <v>51066</v>
      </c>
      <c r="B2404" s="24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1875 mL</t>
        </is>
      </c>
      <c r="C2404" s="25">
        <f>IF(COUNTIF('کدهای پیام‌داروساز'!$A$2:$A$2442,A2404)&gt;0,"بله","خیر")</f>
        <v/>
      </c>
    </row>
    <row r="2405" ht="15" customHeight="1" s="14">
      <c r="A2405" s="24" t="n">
        <v>51073</v>
      </c>
      <c r="B2405" s="24" t="inlineStr">
        <is>
          <t>ARTESUNATE SUPPOSITORY RECTAL 200 mg</t>
        </is>
      </c>
      <c r="C2405" s="25">
        <f>IF(COUNTIF('کدهای پیام‌داروساز'!$A$2:$A$2442,A2405)&gt;0,"بله","خیر")</f>
        <v/>
      </c>
    </row>
    <row r="2406" ht="15" customHeight="1" s="14">
      <c r="A2406" s="24" t="n">
        <v>51074</v>
      </c>
      <c r="B2406" s="24" t="inlineStr">
        <is>
          <t>ARTESUNATE INJECTION PARENTERAL 60 mg/1mL</t>
        </is>
      </c>
      <c r="C2406" s="25">
        <f>IF(COUNTIF('کدهای پیام‌داروساز'!$A$2:$A$2442,A2406)&gt;0,"بله","خیر")</f>
        <v/>
      </c>
    </row>
    <row r="2407" ht="15" customHeight="1" s="14">
      <c r="A2407" s="24" t="n">
        <v>51078</v>
      </c>
      <c r="B2407" s="24" t="inlineStr">
        <is>
          <t>GALLIUM (SUP67 / SUPGA) CITRATE INJECTION INTRAVENOUS 10 mCi</t>
        </is>
      </c>
      <c r="C2407" s="25">
        <f>IF(COUNTIF('کدهای پیام‌داروساز'!$A$2:$A$2442,A2407)&gt;0,"بله","خیر")</f>
        <v/>
      </c>
    </row>
    <row r="2408" ht="15" customHeight="1" s="14">
      <c r="A2408" s="24" t="n">
        <v>51079</v>
      </c>
      <c r="B2408" s="24" t="inlineStr">
        <is>
          <t>GALLIUM (SUP67 / SUPGA) CITRATE INJECTION INTRAVENOUS 5 mCi</t>
        </is>
      </c>
      <c r="C2408" s="25">
        <f>IF(COUNTIF('کدهای پیام‌داروساز'!$A$2:$A$2442,A2408)&gt;0,"بله","خیر")</f>
        <v/>
      </c>
    </row>
    <row r="2409" ht="15" customHeight="1" s="14">
      <c r="A2409" s="24" t="n">
        <v>51084</v>
      </c>
      <c r="B2409" s="24" t="inlineStr">
        <is>
          <t>IOBENGUANE (SUP131/SUPI) INJECTION, SOLUTION PARENTERAL 50 mCi</t>
        </is>
      </c>
      <c r="C2409" s="25">
        <f>IF(COUNTIF('کدهای پیام‌داروساز'!$A$2:$A$2442,A2409)&gt;0,"بله","خیر")</f>
        <v/>
      </c>
    </row>
    <row r="2410" ht="15" customHeight="1" s="14">
      <c r="A2410" s="24" t="n">
        <v>51085</v>
      </c>
      <c r="B2410" s="24" t="inlineStr">
        <is>
          <t>IOBENGUANE (SUP131/SUPI) INJECTION, SOLUTION PARENTERAL 0.5 mCi</t>
        </is>
      </c>
      <c r="C2410" s="25">
        <f>IF(COUNTIF('کدهای پیام‌داروساز'!$A$2:$A$2442,A2410)&gt;0,"بله","خیر")</f>
        <v/>
      </c>
    </row>
    <row r="2411" ht="15" customHeight="1" s="14">
      <c r="A2411" s="24" t="n">
        <v>51086</v>
      </c>
      <c r="B2411" s="24" t="inlineStr">
        <is>
          <t>SODIUM IODIDE (SUP131/SUPI) SOLUTION ORAL 150 mCi</t>
        </is>
      </c>
      <c r="C2411" s="25">
        <f>IF(COUNTIF('کدهای پیام‌داروساز'!$A$2:$A$2442,A2411)&gt;0,"بله","خیر")</f>
        <v/>
      </c>
    </row>
    <row r="2412" ht="15" customHeight="1" s="14">
      <c r="A2412" s="24" t="n">
        <v>51087</v>
      </c>
      <c r="B2412" s="24" t="inlineStr">
        <is>
          <t>SODIUM IODIDE (SUP131/SUPI) SOLUTION ORAL 200 mCi</t>
        </is>
      </c>
      <c r="C2412" s="25">
        <f>IF(COUNTIF('کدهای پیام‌داروساز'!$A$2:$A$2442,A2412)&gt;0,"بله","خیر")</f>
        <v/>
      </c>
    </row>
    <row r="2413" ht="15" customHeight="1" s="14">
      <c r="A2413" s="24" t="n">
        <v>51088</v>
      </c>
      <c r="B2413" s="24" t="inlineStr">
        <is>
          <t>SODIUM IODIDE (SUP131/SUPI) SOLUTION ORAL 50 mCi</t>
        </is>
      </c>
      <c r="C2413" s="25">
        <f>IF(COUNTIF('کدهای پیام‌داروساز'!$A$2:$A$2442,A2413)&gt;0,"بله","خیر")</f>
        <v/>
      </c>
    </row>
    <row r="2414" ht="15" customHeight="1" s="14">
      <c r="A2414" s="24" t="n">
        <v>51089</v>
      </c>
      <c r="B2414" s="24" t="inlineStr">
        <is>
          <t>TECHNETIUM (SUP99M/SUPTC) MEDRONIC ACID INJECTION, POWDER, LYOPHILIZED, FOR SOLUTION INTRAVENOUS 300 mCi</t>
        </is>
      </c>
      <c r="C2414" s="25">
        <f>IF(COUNTIF('کدهای پیام‌داروساز'!$A$2:$A$2442,A2414)&gt;0,"بله","خیر")</f>
        <v/>
      </c>
    </row>
    <row r="2415" ht="15" customHeight="1" s="14">
      <c r="A2415" s="24" t="n">
        <v>51091</v>
      </c>
      <c r="B2415" s="24" t="inlineStr">
        <is>
          <t>SODIUM IODIDE (SUP131/SUPI) CAPSULE ORAL 0.1 mCi</t>
        </is>
      </c>
      <c r="C2415" s="25">
        <f>IF(COUNTIF('کدهای پیام‌داروساز'!$A$2:$A$2442,A2415)&gt;0,"بله","خیر")</f>
        <v/>
      </c>
    </row>
    <row r="2416" ht="15" customHeight="1" s="14">
      <c r="A2416" s="24" t="n">
        <v>51092</v>
      </c>
      <c r="B2416" s="24" t="inlineStr">
        <is>
          <t>SODIUM IODIDE (SUP131/SUPI) CAPSULE ORAL 0.016 mCi</t>
        </is>
      </c>
      <c r="C2416" s="25">
        <f>IF(COUNTIF('کدهای پیام‌داروساز'!$A$2:$A$2442,A2416)&gt;0,"بله","خیر")</f>
        <v/>
      </c>
    </row>
    <row r="2417" ht="15" customHeight="1" s="14">
      <c r="A2417" s="24" t="n">
        <v>51093</v>
      </c>
      <c r="B2417" s="24" t="inlineStr">
        <is>
          <t>SODIUM IODIDE (SUP131/SUPI) CAPSULE ORAL 0.03 mCi</t>
        </is>
      </c>
      <c r="C2417" s="25">
        <f>IF(COUNTIF('کدهای پیام‌داروساز'!$A$2:$A$2442,A2417)&gt;0,"بله","خیر")</f>
        <v/>
      </c>
    </row>
    <row r="2418" ht="15" customHeight="1" s="14">
      <c r="A2418" s="24" t="n">
        <v>51094</v>
      </c>
      <c r="B2418" s="24" t="inlineStr">
        <is>
          <t>SODIUM IODIDE (SUP131/SUPI) CAPSULE ORAL 0.05 mCi</t>
        </is>
      </c>
      <c r="C2418" s="25">
        <f>IF(COUNTIF('کدهای پیام‌داروساز'!$A$2:$A$2442,A2418)&gt;0,"بله","خیر")</f>
        <v/>
      </c>
    </row>
    <row r="2419" ht="15" customHeight="1" s="14">
      <c r="A2419" s="24" t="n">
        <v>51098</v>
      </c>
      <c r="B2419" s="24" t="inlineStr">
        <is>
          <t>SODIUM PHOSPHATE (SUP32/SUPP) SOLUTION ORAL 5 mCi</t>
        </is>
      </c>
      <c r="C2419" s="25">
        <f>IF(COUNTIF('کدهای پیام‌داروساز'!$A$2:$A$2442,A2419)&gt;0,"بله","خیر")</f>
        <v/>
      </c>
    </row>
    <row r="2420" ht="15" customHeight="1" s="14">
      <c r="A2420" s="24" t="n">
        <v>51099</v>
      </c>
      <c r="B2420" s="24" t="inlineStr">
        <is>
          <t>RHENIUM (SUP186/SUPRE) ETIDRONIC ACID INJECTION, SOLUTION PARENTERAL 80 mCi</t>
        </is>
      </c>
      <c r="C2420" s="25">
        <f>IF(COUNTIF('کدهای پیام‌داروساز'!$A$2:$A$2442,A2420)&gt;0,"بله","خیر")</f>
        <v/>
      </c>
    </row>
    <row r="2421" ht="15" customHeight="1" s="14">
      <c r="A2421" s="24" t="n">
        <v>51100</v>
      </c>
      <c r="B2421" s="24" t="inlineStr">
        <is>
          <t>RHENIUM (SUP186/SUPRE) SULFIDE COLLOID INJECTION, SUSPENSION PARENTERAL 5 mCi</t>
        </is>
      </c>
      <c r="C2421" s="25">
        <f>IF(COUNTIF('کدهای پیام‌داروساز'!$A$2:$A$2442,A2421)&gt;0,"بله","خیر")</f>
        <v/>
      </c>
    </row>
    <row r="2422" ht="15" customHeight="1" s="14">
      <c r="A2422" s="24" t="n">
        <v>51101</v>
      </c>
      <c r="B2422" s="24" t="inlineStr">
        <is>
          <t>SAMARIUM (SUP153/SUPSM) LEXIDRONAM INJECTION, SOLUTION PARENTERAL 80 mCi 80 mCi</t>
        </is>
      </c>
      <c r="C2422" s="25">
        <f>IF(COUNTIF('کدهای پیام‌داروساز'!$A$2:$A$2442,A2422)&gt;0,"بله","خیر")</f>
        <v/>
      </c>
    </row>
    <row r="2423" ht="15" customHeight="1" s="14">
      <c r="A2423" s="24" t="n">
        <v>51102</v>
      </c>
      <c r="B2423" s="24" t="inlineStr">
        <is>
          <t>SODIUM FLUORIDE (SUP18/SUPF) INJECTION, SOLUTION PARENTERAL 10 mCi</t>
        </is>
      </c>
      <c r="C2423" s="25">
        <f>IF(COUNTIF('کدهای پیام‌داروساز'!$A$2:$A$2442,A2423)&gt;0,"بله","خیر")</f>
        <v/>
      </c>
    </row>
    <row r="2424" ht="15" customHeight="1" s="14">
      <c r="A2424" s="24" t="n">
        <v>51105</v>
      </c>
      <c r="B2424" s="24" t="inlineStr">
        <is>
          <t>DICLOFENAC POTASSIUM CAPSULE, LIQUID FILLED ORAL 25 mg</t>
        </is>
      </c>
      <c r="C2424" s="25">
        <f>IF(COUNTIF('کدهای پیام‌داروساز'!$A$2:$A$2442,A2424)&gt;0,"بله","خیر")</f>
        <v/>
      </c>
    </row>
    <row r="2425" ht="15" customHeight="1" s="14">
      <c r="A2425" s="24" t="n">
        <v>51110</v>
      </c>
      <c r="B2425" s="24" t="inlineStr">
        <is>
          <t>TECHNETIUM (99mTc)-HYNIC-BOMBESIN INJECTION, POWDER, LYOPHILIZED, FOR SOLUTION PARENTERAL 25 ug</t>
        </is>
      </c>
      <c r="C2425" s="25">
        <f>IF(COUNTIF('کدهای پیام‌داروساز'!$A$2:$A$2442,A2425)&gt;0,"بله","خیر")</f>
        <v/>
      </c>
    </row>
    <row r="2426" ht="15" customHeight="1" s="14">
      <c r="A2426" s="24" t="n">
        <v>51112</v>
      </c>
      <c r="B2426" s="24" t="inlineStr">
        <is>
          <t>TECHNETIUM (SUP99M/SUPTC) BICISATE INJECTION, POWDER, LYOPHILIZED, FOR SOLUTION INTRAVENOUS 10 mCi</t>
        </is>
      </c>
      <c r="C2426" s="25">
        <f>IF(COUNTIF('کدهای پیام‌داروساز'!$A$2:$A$2442,A2426)&gt;0,"بله","خیر")</f>
        <v/>
      </c>
    </row>
    <row r="2427" ht="15" customHeight="1" s="14">
      <c r="A2427" s="24" t="n">
        <v>51114</v>
      </c>
      <c r="B2427" s="24" t="inlineStr">
        <is>
          <t>TECHNETIUM (99MTC) ETHYLENEDICYSTEUNE INJECTION, POWDER, LYOPHILIZED, FOR SOLUTION INTRAVENOUS 1 mg</t>
        </is>
      </c>
      <c r="C2427" s="25">
        <f>IF(COUNTIF('کدهای پیام‌داروساز'!$A$2:$A$2442,A2427)&gt;0,"بله","خیر")</f>
        <v/>
      </c>
    </row>
    <row r="2428" ht="15" customHeight="1" s="14">
      <c r="A2428" s="24" t="n">
        <v>51116</v>
      </c>
      <c r="B2428" s="24" t="inlineStr">
        <is>
          <t>TECHNETIUM (SUP99M/SUPTC) EXAMETAZIME HMPAO WBC INJECTION, POWDER, LYOPHILIZED, FOR SOLUTION INTRAVENOUS 10 mCi</t>
        </is>
      </c>
      <c r="C2428" s="25">
        <f>IF(COUNTIF('کدهای پیام‌داروساز'!$A$2:$A$2442,A2428)&gt;0,"بله","خیر")</f>
        <v/>
      </c>
    </row>
    <row r="2429" ht="15" customHeight="1" s="14">
      <c r="A2429" s="24" t="n">
        <v>51119</v>
      </c>
      <c r="B2429" s="24" t="inlineStr">
        <is>
          <t>TESTOSTERONE UNDECANOATE CAPSULE ORAL 40 mg</t>
        </is>
      </c>
      <c r="C2429" s="25">
        <f>IF(COUNTIF('کدهای پیام‌داروساز'!$A$2:$A$2442,A2429)&gt;0,"بله","خیر")</f>
        <v/>
      </c>
    </row>
    <row r="2430" ht="15" customHeight="1" s="14">
      <c r="A2430" s="24" t="n">
        <v>51120</v>
      </c>
      <c r="B2430" s="24" t="inlineStr">
        <is>
          <t>SILDENAFIL CITRATE GEL TOPICAL 1 % 30 g</t>
        </is>
      </c>
      <c r="C2430" s="25">
        <f>IF(COUNTIF('کدهای پیام‌داروساز'!$A$2:$A$2442,A2430)&gt;0,"بله","خیر")</f>
        <v/>
      </c>
    </row>
    <row r="2431" ht="15" customHeight="1" s="14">
      <c r="A2431" s="24" t="n">
        <v>51121</v>
      </c>
      <c r="B2431" s="24" t="inlineStr">
        <is>
          <t>EPINEPHRINE INJECTION, SOLUTION PARENTERAL 0.5 mg/1mL 0.3 mL</t>
        </is>
      </c>
      <c r="C2431" s="25">
        <f>IF(COUNTIF('کدهای پیام‌داروساز'!$A$2:$A$2442,A2431)&gt;0,"بله","خیر")</f>
        <v/>
      </c>
    </row>
    <row r="2432" ht="15" customHeight="1" s="14">
      <c r="A2432" s="24" t="n">
        <v>51127</v>
      </c>
      <c r="B2432" s="24" t="inlineStr">
        <is>
          <t>BORTEZOMIB INJECTION, POWDER, LYOPHILIZED, FOR SOLUTION PARENTERAL 1 mg</t>
        </is>
      </c>
      <c r="C2432" s="25">
        <f>IF(COUNTIF('کدهای پیام‌داروساز'!$A$2:$A$2442,A2432)&gt;0,"بله","خیر")</f>
        <v/>
      </c>
    </row>
    <row r="2433" ht="15" customHeight="1" s="14">
      <c r="A2433" s="24" t="n">
        <v>51128</v>
      </c>
      <c r="B2433" s="24" t="inlineStr">
        <is>
          <t>TECHNETIUM (SUP99M/SUPTC) MACROSALB INJECTION, POWDER, LYOPHILIZED, FOR SOLUTION INTRAVENOUS 30 mCi</t>
        </is>
      </c>
      <c r="C2433" s="25">
        <f>IF(COUNTIF('کدهای پیام‌داروساز'!$A$2:$A$2442,A2433)&gt;0,"بله","خیر")</f>
        <v/>
      </c>
    </row>
    <row r="2434" ht="15" customHeight="1" s="14">
      <c r="A2434" s="24" t="n">
        <v>51129</v>
      </c>
      <c r="B2434" s="24" t="inlineStr">
        <is>
          <t>POLYMYXIN B / NEOMYCIN SULFATE / HYDROCORTISONE SUSPENSION, DROPS AURICULAR (OTIC) 10000 [iU]/5 mg/10 mg/1mL 5 mL</t>
        </is>
      </c>
      <c r="C2434" s="25">
        <f>IF(COUNTIF('کدهای پیام‌داروساز'!$A$2:$A$2442,A2434)&gt;0,"بله","خیر")</f>
        <v/>
      </c>
    </row>
    <row r="2435" ht="15" customHeight="1" s="14">
      <c r="A2435" s="24" t="n">
        <v>51131</v>
      </c>
      <c r="B2435" s="24" t="inlineStr">
        <is>
          <t>TECHNETIUM (SUP99M/SUPTC) MEBROFENIN INJECTION, POWDER, LYOPHILIZED, FOR SOLUTION INTRAVENOUS 100 mCi</t>
        </is>
      </c>
      <c r="C2435" s="25">
        <f>IF(COUNTIF('کدهای پیام‌داروساز'!$A$2:$A$2442,A2435)&gt;0,"بله","خیر")</f>
        <v/>
      </c>
    </row>
    <row r="2436" ht="15" customHeight="1" s="14">
      <c r="A2436" s="24" t="n">
        <v>51133</v>
      </c>
      <c r="B2436" s="24" t="inlineStr">
        <is>
          <t>TECHNETIUM (SUP99M/SUPTC) PENTETIC ACID INJECTION, POWDER, LYOPHILIZED, FOR SOLUTION INTRAVENOUS 300 mCi</t>
        </is>
      </c>
      <c r="C2436" s="25">
        <f>IF(COUNTIF('کدهای پیام‌داروساز'!$A$2:$A$2442,A2436)&gt;0,"بله","خیر")</f>
        <v/>
      </c>
    </row>
    <row r="2437" ht="15" customHeight="1" s="14">
      <c r="A2437" s="24" t="n">
        <v>51135</v>
      </c>
      <c r="B2437" s="24" t="inlineStr">
        <is>
          <t>TECHNETIUM (SUP99M/SUPTC) PERTECHNETATE INJECTION INTRAVENOUS 200 mCi</t>
        </is>
      </c>
      <c r="C2437" s="25">
        <f>IF(COUNTIF('کدهای پیام‌داروساز'!$A$2:$A$2442,A2437)&gt;0,"بله","خیر")</f>
        <v/>
      </c>
    </row>
    <row r="2438" ht="15" customHeight="1" s="14">
      <c r="A2438" s="24" t="n">
        <v>51136</v>
      </c>
      <c r="B2438" s="24" t="inlineStr">
        <is>
          <t>IFOSFAMIDE INJECTION, SOLUTION PARENTERAL 40 mg/1mL 25 mL</t>
        </is>
      </c>
      <c r="C2438" s="25">
        <f>IF(COUNTIF('کدهای پیام‌داروساز'!$A$2:$A$2442,A2438)&gt;0,"بله","خیر")</f>
        <v/>
      </c>
    </row>
    <row r="2439" ht="15" customHeight="1" s="14">
      <c r="A2439" s="24" t="n">
        <v>51139</v>
      </c>
      <c r="B2439" s="24" t="inlineStr">
        <is>
          <t>TECHNETIUM (SUP99M/SUPTC) PERTECHNETATE INJECTION INTRAVENOUS 400 mCi</t>
        </is>
      </c>
      <c r="C2439" s="25">
        <f>IF(COUNTIF('کدهای پیام‌داروساز'!$A$2:$A$2442,A2439)&gt;0,"بله","خیر")</f>
        <v/>
      </c>
    </row>
    <row r="2440" ht="15" customHeight="1" s="14">
      <c r="A2440" s="24" t="n">
        <v>51140</v>
      </c>
      <c r="B2440" s="24" t="inlineStr">
        <is>
          <t>TECHNETIUM (SUP99M/SUPTC) PHYTATE INJECTION, POWDER, LYOPHILIZED, FOR SOLUTION INTRAVENOUS 100 mCi</t>
        </is>
      </c>
      <c r="C2440" s="25">
        <f>IF(COUNTIF('کدهای پیام‌داروساز'!$A$2:$A$2442,A2440)&gt;0,"بله","خیر")</f>
        <v/>
      </c>
    </row>
    <row r="2441" ht="15" customHeight="1" s="14">
      <c r="A2441" s="24" t="n">
        <v>51142</v>
      </c>
      <c r="B2441" s="24" t="inlineStr">
        <is>
          <t>THALLIUM (SUP201/SUPTL) CHLORIDE INJECTION INTRAVENOUS 10 mCi</t>
        </is>
      </c>
      <c r="C2441" s="25">
        <f>IF(COUNTIF('کدهای پیام‌داروساز'!$A$2:$A$2442,A2441)&gt;0,"بله","خیر")</f>
        <v/>
      </c>
    </row>
    <row r="2442" ht="15" customHeight="1" s="14">
      <c r="A2442" s="24" t="n">
        <v>51143</v>
      </c>
      <c r="B2442" s="24" t="inlineStr">
        <is>
          <t>THALLIUM (SUP201/SUPTL) CHLORIDE INJECTION INTRAVENOUS 5 mCi</t>
        </is>
      </c>
      <c r="C2442" s="25">
        <f>IF(COUNTIF('کدهای پیام‌داروساز'!$A$2:$A$2442,A2442)&gt;0,"بله","خیر")</f>
        <v/>
      </c>
    </row>
    <row r="2443" ht="15" customHeight="1" s="14">
      <c r="A2443" s="24" t="n">
        <v>51154</v>
      </c>
      <c r="B2443" s="24" t="inlineStr">
        <is>
          <t>TECHNETIUM (SUP99M/SUPTC) SUCCIMER INJECTION, POWDER, LYOPHILIZED, FOR SOLUTION INTRAVENOUS 40 mCi</t>
        </is>
      </c>
      <c r="C2443" s="25">
        <f>IF(COUNTIF('کدهای پیام‌داروساز'!$A$2:$A$2442,A2443)&gt;0,"بله","خیر")</f>
        <v/>
      </c>
    </row>
    <row r="2444" ht="15" customHeight="1" s="14">
      <c r="A2444" s="24" t="n">
        <v>51170</v>
      </c>
      <c r="B2444" s="24" t="inlineStr">
        <is>
          <t>BECLOMETHASONE DIPROPIONATE INHALANT RESPIRATORY 0.4 mg/1mL 2 mL</t>
        </is>
      </c>
      <c r="C2444" s="25">
        <f>IF(COUNTIF('کدهای پیام‌داروساز'!$A$2:$A$2442,A2444)&gt;0,"بله","خیر")</f>
        <v/>
      </c>
    </row>
    <row r="2445" ht="15" customHeight="1" s="14">
      <c r="A2445" s="24" t="n">
        <v>51178</v>
      </c>
      <c r="B2445" s="24" t="inlineStr">
        <is>
          <t>TECHNETIUM (SUP99M/SUPTC) SESTAMIBI INJECTION, POWDER, LYOPHILIZED, FOR SOLUTION INTRAVENOUS 100 mCi</t>
        </is>
      </c>
      <c r="C2445" s="25">
        <f>IF(COUNTIF('کدهای پیام‌داروساز'!$A$2:$A$2442,A2445)&gt;0,"بله","خیر")</f>
        <v/>
      </c>
    </row>
    <row r="2446" ht="15" customHeight="1" s="14">
      <c r="A2446" s="24" t="n">
        <v>51179</v>
      </c>
      <c r="B2446" s="24" t="inlineStr">
        <is>
          <t>BOTULISM ANTITOXIN POLYVALENT A+B+E (EQUINE) INJECTION PARENTERAL 6500 [iU]/1mL 10 mL</t>
        </is>
      </c>
      <c r="C2446" s="25">
        <f>IF(COUNTIF('کدهای پیام‌داروساز'!$A$2:$A$2442,A2446)&gt;0,"بله","خیر")</f>
        <v/>
      </c>
    </row>
    <row r="2447" ht="15" customHeight="1" s="14">
      <c r="A2447" s="24" t="n">
        <v>51182</v>
      </c>
      <c r="B2447" s="24" t="inlineStr">
        <is>
          <t>C1-ESTRASE INHIBITOR PLASMA DERIVED INJECTION, POWDER, FOR SOLUTION PARENTERAL 500 [iU]</t>
        </is>
      </c>
      <c r="C2447" s="25">
        <f>IF(COUNTIF('کدهای پیام‌داروساز'!$A$2:$A$2442,A2447)&gt;0,"بله","خیر")</f>
        <v/>
      </c>
    </row>
    <row r="2448" ht="15" customHeight="1" s="14">
      <c r="A2448" s="24" t="n">
        <v>51202</v>
      </c>
      <c r="B2448" s="24" t="inlineStr">
        <is>
          <t>PALIPERIDONE PALMITATE INJECTION, SUSPENSION, EXTENDED RELEASE PARENTERAL 117 mg/0.75mL</t>
        </is>
      </c>
      <c r="C2448" s="25">
        <f>IF(COUNTIF('کدهای پیام‌داروساز'!$A$2:$A$2442,A2448)&gt;0,"بله","خیر")</f>
        <v/>
      </c>
    </row>
    <row r="2449" ht="15" customHeight="1" s="14">
      <c r="A2449" s="24" t="n">
        <v>51204</v>
      </c>
      <c r="B2449" s="24" t="inlineStr">
        <is>
          <t>MIRABEGRON TABLET, EXTENDED RELEASE ORAL 50 mg</t>
        </is>
      </c>
      <c r="C2449" s="25">
        <f>IF(COUNTIF('کدهای پیام‌داروساز'!$A$2:$A$2442,A2449)&gt;0,"بله","خیر")</f>
        <v/>
      </c>
    </row>
    <row r="2450" ht="15" customHeight="1" s="14">
      <c r="A2450" s="24" t="n">
        <v>51213</v>
      </c>
      <c r="B2450" s="24" t="inlineStr">
        <is>
          <t>FEXOFENADINE HYDROCHLORIDE SUSPENSION ORAL 30 mg/5mL 120 mL</t>
        </is>
      </c>
      <c r="C2450" s="25">
        <f>IF(COUNTIF('کدهای پیام‌داروساز'!$A$2:$A$2442,A2450)&gt;0,"بله","خیر")</f>
        <v/>
      </c>
    </row>
    <row r="2451" ht="15" customHeight="1" s="14">
      <c r="A2451" s="24" t="n">
        <v>51238</v>
      </c>
      <c r="B2451" s="24" t="inlineStr">
        <is>
          <t>FLUTICASONE FUROATE SPRAY, METERED NASAL 27.5 ug/1 {Puff} 120 {Puff}</t>
        </is>
      </c>
      <c r="C2451" s="25">
        <f>IF(COUNTIF('کدهای پیام‌داروساز'!$A$2:$A$2442,A2451)&gt;0,"بله","خیر")</f>
        <v/>
      </c>
    </row>
    <row r="2452" ht="15" customHeight="1" s="14">
      <c r="A2452" s="24" t="n">
        <v>51241</v>
      </c>
      <c r="B2452" s="24" t="inlineStr">
        <is>
          <t>TECHNETIUM (SUP99M/SUPTC) PYROPHOSPHATE INJECTION, POWDER INTRAVENOUS 14 mg</t>
        </is>
      </c>
      <c r="C2452" s="25">
        <f>IF(COUNTIF('کدهای پیام‌داروساز'!$A$2:$A$2442,A2452)&gt;0,"بله","خیر")</f>
        <v/>
      </c>
    </row>
    <row r="2453" ht="15" customHeight="1" s="14">
      <c r="A2453" s="24" t="n">
        <v>51242</v>
      </c>
      <c r="B2453" s="24" t="inlineStr">
        <is>
          <t>TECHNETIUM (SUP99M/SUPTC) STANNOUS AGENT LABELLED CELLS INJECTION, POWDER, LYOPHILIZED, FOR SOLUTION INTRAVENOUS 100 mCi</t>
        </is>
      </c>
      <c r="C2453" s="25">
        <f>IF(COUNTIF('کدهای پیام‌داروساز'!$A$2:$A$2442,A2453)&gt;0,"بله","خیر")</f>
        <v/>
      </c>
    </row>
    <row r="2454" ht="15" customHeight="1" s="14">
      <c r="A2454" s="24" t="n">
        <v>51244</v>
      </c>
      <c r="B2454" s="24" t="inlineStr">
        <is>
          <t>TECHNETIUM (99MTC) TYROSINE OCTREOTIDE INJECTION, POWDER, LYOPHILIZED, FOR SOLUTION INTRAVENOUS 25 ug</t>
        </is>
      </c>
      <c r="C2454" s="25">
        <f>IF(COUNTIF('کدهای پیام‌داروساز'!$A$2:$A$2442,A2454)&gt;0,"بله","خیر")</f>
        <v/>
      </c>
    </row>
    <row r="2455" ht="15" customHeight="1" s="14">
      <c r="A2455" s="24" t="n">
        <v>51246</v>
      </c>
      <c r="B2455" s="24" t="inlineStr">
        <is>
          <t>TECHNETIUM (99MTC) HYNIC-UBIQUICIDINE (29-41) INJECTION, POWDER, LYOPHILIZED, FOR SOLUTION INTRAVENOUS 50 ug</t>
        </is>
      </c>
      <c r="C2455" s="25">
        <f>IF(COUNTIF('کدهای پیام‌داروساز'!$A$2:$A$2442,A2455)&gt;0,"بله","خیر")</f>
        <v/>
      </c>
    </row>
    <row r="2456" ht="15" customHeight="1" s="14">
      <c r="A2456" s="24" t="n">
        <v>51249</v>
      </c>
      <c r="B2456" s="24" t="inlineStr">
        <is>
          <t>GERMANIUM (68 Ge) / GALLIUM (68 Ga) SOLUTION INTRAVENOUS 20 mCi 3 mL</t>
        </is>
      </c>
      <c r="C2456" s="25">
        <f>IF(COUNTIF('کدهای پیام‌داروساز'!$A$2:$A$2442,A2456)&gt;0,"بله","خیر")</f>
        <v/>
      </c>
    </row>
    <row r="2457" ht="15" customHeight="1" s="14">
      <c r="A2457" s="24" t="n">
        <v>51252</v>
      </c>
      <c r="B2457" s="24" t="inlineStr">
        <is>
          <t>CHARCOAL ACTIVATED SUSPENSION ORAL 200 mg/1mL 250 mL</t>
        </is>
      </c>
      <c r="C2457" s="25">
        <f>IF(COUNTIF('کدهای پیام‌داروساز'!$A$2:$A$2442,A2457)&gt;0,"بله","خیر")</f>
        <v/>
      </c>
    </row>
    <row r="2458" ht="15" customHeight="1" s="14">
      <c r="A2458" s="24" t="n">
        <v>51281</v>
      </c>
      <c r="B2458" s="24" t="inlineStr">
        <is>
          <t>PENTOSAN POLYSULFATE SODIUM TABLET ORAL 100 mg</t>
        </is>
      </c>
      <c r="C2458" s="25">
        <f>IF(COUNTIF('کدهای پیام‌داروساز'!$A$2:$A$2442,A2458)&gt;0,"بله","خیر")</f>
        <v/>
      </c>
    </row>
    <row r="2459" ht="15" customHeight="1" s="14">
      <c r="A2459" s="24" t="n">
        <v>51284</v>
      </c>
      <c r="B2459" s="24" t="inlineStr">
        <is>
          <t>AMOXAPINE TABLET ORAL 50 mg</t>
        </is>
      </c>
      <c r="C2459" s="25">
        <f>IF(COUNTIF('کدهای پیام‌داروساز'!$A$2:$A$2442,A2459)&gt;0,"بله","خیر")</f>
        <v/>
      </c>
    </row>
    <row r="2460" ht="15" customHeight="1" s="14">
      <c r="A2460" s="24" t="n">
        <v>51285</v>
      </c>
      <c r="B2460" s="24" t="inlineStr">
        <is>
          <t>SERTINDOLE TABLET ORAL 4 mg</t>
        </is>
      </c>
      <c r="C2460" s="25">
        <f>IF(COUNTIF('کدهای پیام‌داروساز'!$A$2:$A$2442,A2460)&gt;0,"بله","خیر")</f>
        <v/>
      </c>
    </row>
    <row r="2461" ht="15" customHeight="1" s="14">
      <c r="A2461" s="24" t="n">
        <v>51286</v>
      </c>
      <c r="B2461" s="24" t="inlineStr">
        <is>
          <t>LIPID INFUSION 20% (1) INJECTION, SOLUTION PARENTERAL 100 mg/100 mg/1mL 500 mL</t>
        </is>
      </c>
      <c r="C2461" s="25">
        <f>IF(COUNTIF('کدهای پیام‌داروساز'!$A$2:$A$2442,A2461)&gt;0,"بله","خیر")</f>
        <v/>
      </c>
    </row>
    <row r="2462" ht="15" customHeight="1" s="14">
      <c r="A2462" s="24" t="n">
        <v>51302</v>
      </c>
      <c r="B2462" s="24" t="inlineStr">
        <is>
          <t>CO-AMOXICLAV INJECTION, POWDER, FOR SOLUTION PARENTERAL 1000 mg/200 mg</t>
        </is>
      </c>
      <c r="C2462" s="25">
        <f>IF(COUNTIF('کدهای پیام‌داروساز'!$A$2:$A$2442,A2462)&gt;0,"بله","خیر")</f>
        <v/>
      </c>
    </row>
    <row r="2463" ht="15" customHeight="1" s="14">
      <c r="A2463" s="24" t="n">
        <v>51328</v>
      </c>
      <c r="B2463" s="24" t="inlineStr">
        <is>
          <t>GALANTAMINE (AS HYDROBROMIDE) SOLUTION ORAL 4 mg/1mL</t>
        </is>
      </c>
      <c r="C2463" s="25">
        <f>IF(COUNTIF('کدهای پیام‌داروساز'!$A$2:$A$2442,A2463)&gt;0,"بله","خیر")</f>
        <v/>
      </c>
    </row>
    <row r="2464" ht="15" customHeight="1" s="14">
      <c r="A2464" s="24" t="n">
        <v>51329</v>
      </c>
      <c r="B2464" s="24" t="inlineStr">
        <is>
          <t>EXENATIDE INJECTION, SUSPENSION, EXTENDED RELEASE PARENTERAL 2 mg</t>
        </is>
      </c>
      <c r="C2464" s="25">
        <f>IF(COUNTIF('کدهای پیام‌داروساز'!$A$2:$A$2442,A2464)&gt;0,"بله","خیر")</f>
        <v/>
      </c>
    </row>
    <row r="2465" ht="15" customHeight="1" s="14">
      <c r="A2465" s="24" t="n">
        <v>51331</v>
      </c>
      <c r="B2465" s="24" t="inlineStr">
        <is>
          <t>GANCICLOVIR GEL OPHTHALMIC 0.15 % 5 g</t>
        </is>
      </c>
      <c r="C2465" s="25">
        <f>IF(COUNTIF('کدهای پیام‌داروساز'!$A$2:$A$2442,A2465)&gt;0,"بله","خیر")</f>
        <v/>
      </c>
    </row>
    <row r="2466" ht="15" customHeight="1" s="14">
      <c r="A2466" s="24" t="n">
        <v>51335</v>
      </c>
      <c r="B2466" s="24" t="inlineStr">
        <is>
          <t>GENTAMICIN INJECTION PARENTERAL 0.8 mg/1mL</t>
        </is>
      </c>
      <c r="C2466" s="25">
        <f>IF(COUNTIF('کدهای پیام‌داروساز'!$A$2:$A$2442,A2466)&gt;0,"بله","خیر")</f>
        <v/>
      </c>
    </row>
    <row r="2467" ht="15" customHeight="1" s="14">
      <c r="A2467" s="24" t="n">
        <v>51339</v>
      </c>
      <c r="B2467" s="24" t="inlineStr">
        <is>
          <t>APIXABAN TABLET ORAL 2.5 mg</t>
        </is>
      </c>
      <c r="C2467" s="25">
        <f>IF(COUNTIF('کدهای پیام‌داروساز'!$A$2:$A$2442,A2467)&gt;0,"بله","خیر")</f>
        <v/>
      </c>
    </row>
    <row r="2468" ht="15" customHeight="1" s="14">
      <c r="A2468" s="24" t="n">
        <v>51340</v>
      </c>
      <c r="B2468" s="24" t="inlineStr">
        <is>
          <t>APIXABAN TABLET ORAL 5 mg</t>
        </is>
      </c>
      <c r="C2468" s="25">
        <f>IF(COUNTIF('کدهای پیام‌داروساز'!$A$2:$A$2442,A2468)&gt;0,"بله","خیر")</f>
        <v/>
      </c>
    </row>
    <row r="2469" ht="15" customHeight="1" s="14">
      <c r="A2469" s="24" t="n">
        <v>51348</v>
      </c>
      <c r="B2469" s="24" t="inlineStr">
        <is>
          <t>DIENOGEST / ETHINYLESTRADIOL TABLET ORAL 2 mg/0.03 mg</t>
        </is>
      </c>
      <c r="C2469" s="25">
        <f>IF(COUNTIF('کدهای پیام‌داروساز'!$A$2:$A$2442,A2469)&gt;0,"بله","خیر")</f>
        <v/>
      </c>
    </row>
    <row r="2470" ht="15" customHeight="1" s="14">
      <c r="A2470" s="24" t="n">
        <v>51351</v>
      </c>
      <c r="B2470" s="24" t="inlineStr">
        <is>
          <t>EMTRICITABINE / TENOFOVIR DISOPROXIL FUMARATE / EFAVIRENZ TABLET ORAL 200 mg/300 mg/600 mg</t>
        </is>
      </c>
      <c r="C2470" s="25">
        <f>IF(COUNTIF('کدهای پیام‌داروساز'!$A$2:$A$2442,A2470)&gt;0,"بله","خیر")</f>
        <v/>
      </c>
    </row>
    <row r="2471" ht="15" customHeight="1" s="14">
      <c r="A2471" s="24" t="n">
        <v>51361</v>
      </c>
      <c r="B2471" s="24" t="inlineStr">
        <is>
          <t>METHOTREXATE SODIUM INJECTION, SOLUTION PARENTERAL 100 mg/1mL 50 mL</t>
        </is>
      </c>
      <c r="C2471" s="25">
        <f>IF(COUNTIF('کدهای پیام‌داروساز'!$A$2:$A$2442,A2471)&gt;0,"بله","خیر")</f>
        <v/>
      </c>
    </row>
    <row r="2472" ht="15" customHeight="1" s="14">
      <c r="A2472" s="24" t="n">
        <v>51370</v>
      </c>
      <c r="B2472" s="24" t="inlineStr">
        <is>
          <t>DANTROLENE SODIUM CAPSULE ORAL 25 mg</t>
        </is>
      </c>
      <c r="C2472" s="25">
        <f>IF(COUNTIF('کدهای پیام‌داروساز'!$A$2:$A$2442,A2472)&gt;0,"بله","خیر")</f>
        <v/>
      </c>
    </row>
    <row r="2473" ht="15" customHeight="1" s="14">
      <c r="A2473" s="24" t="n">
        <v>51371</v>
      </c>
      <c r="B2473" s="24" t="inlineStr">
        <is>
          <t>DAPSONE GEL TOPICAL 5 % 30 g</t>
        </is>
      </c>
      <c r="C2473" s="25">
        <f>IF(COUNTIF('کدهای پیام‌داروساز'!$A$2:$A$2442,A2473)&gt;0,"بله","خیر")</f>
        <v/>
      </c>
    </row>
    <row r="2474" ht="15" customHeight="1" s="14">
      <c r="A2474" s="24" t="n">
        <v>51377</v>
      </c>
      <c r="B2474" s="24" t="inlineStr">
        <is>
          <t>DESOGESTREL TABLET ORAL 75 ug</t>
        </is>
      </c>
      <c r="C2474" s="25">
        <f>IF(COUNTIF('کدهای پیام‌داروساز'!$A$2:$A$2442,A2474)&gt;0,"بله","خیر")</f>
        <v/>
      </c>
    </row>
    <row r="2475" ht="15" customHeight="1" s="14">
      <c r="A2475" s="24" t="n">
        <v>51380</v>
      </c>
      <c r="B2475" s="24" t="inlineStr">
        <is>
          <t>MEMANTINE HYDROCHLORIDE CAPSULE, EXTENDED RELEASE ORAL 14 mg</t>
        </is>
      </c>
      <c r="C2475" s="25">
        <f>IF(COUNTIF('کدهای پیام‌داروساز'!$A$2:$A$2442,A2475)&gt;0,"بله","خیر")</f>
        <v/>
      </c>
    </row>
    <row r="2476" ht="15" customHeight="1" s="14">
      <c r="A2476" s="24" t="n">
        <v>51396</v>
      </c>
      <c r="B2476" s="24" t="inlineStr">
        <is>
          <t>LANREOTIDE INJECTION, SOLUTION PARENTERAL 120 mg</t>
        </is>
      </c>
      <c r="C2476" s="25">
        <f>IF(COUNTIF('کدهای پیام‌داروساز'!$A$2:$A$2442,A2476)&gt;0,"بله","خیر")</f>
        <v/>
      </c>
    </row>
    <row r="2477" ht="15" customHeight="1" s="14">
      <c r="A2477" s="24" t="n">
        <v>51403</v>
      </c>
      <c r="B2477" s="24" t="inlineStr">
        <is>
          <t>LIDOCAINE HYDROCHLORIDE SPRAY TOPICAL 6.5 % 65 mL</t>
        </is>
      </c>
      <c r="C2477" s="25">
        <f>IF(COUNTIF('کدهای پیام‌داروساز'!$A$2:$A$2442,A2477)&gt;0,"بله","خیر")</f>
        <v/>
      </c>
    </row>
    <row r="2478" ht="15" customHeight="1" s="14">
      <c r="A2478" s="24" t="n">
        <v>51404</v>
      </c>
      <c r="B2478" s="24" t="inlineStr">
        <is>
          <t>CABAZITAXEL INJECTION, SOLUTION, CONCENTRATE INTRAVENOUS 40 mg/1mL 1.5 mL</t>
        </is>
      </c>
      <c r="C2478" s="25">
        <f>IF(COUNTIF('کدهای پیام‌داروساز'!$A$2:$A$2442,A2478)&gt;0,"بله","خیر")</f>
        <v/>
      </c>
    </row>
    <row r="2479" ht="15" customHeight="1" s="14">
      <c r="A2479" s="24" t="n">
        <v>51409</v>
      </c>
      <c r="B2479" s="24" t="inlineStr">
        <is>
          <t>LUBIPROSTONE CAPSULE ORAL 8 ug</t>
        </is>
      </c>
      <c r="C2479" s="25">
        <f>IF(COUNTIF('کدهای پیام‌داروساز'!$A$2:$A$2442,A2479)&gt;0,"بله","خیر")</f>
        <v/>
      </c>
    </row>
    <row r="2480" ht="15" customHeight="1" s="14">
      <c r="A2480" s="24" t="n">
        <v>51410</v>
      </c>
      <c r="B2480" s="24" t="inlineStr">
        <is>
          <t>INSULIN LISPRO INJECTION PARENTERAL 100 [iU]/1mL 3 mL</t>
        </is>
      </c>
      <c r="C2480" s="25">
        <f>IF(COUNTIF('کدهای پیام‌داروساز'!$A$2:$A$2442,A2480)&gt;0,"بله","خیر")</f>
        <v/>
      </c>
    </row>
    <row r="2481" ht="15" customHeight="1" s="14">
      <c r="A2481" s="24" t="n">
        <v>51414</v>
      </c>
      <c r="B2481" s="24" t="inlineStr">
        <is>
          <t>ELBASVIR / GRAZOPREVIR TABLET ORAL 50 mg/100 mg</t>
        </is>
      </c>
      <c r="C2481" s="25">
        <f>IF(COUNTIF('کدهای پیام‌داروساز'!$A$2:$A$2442,A2481)&gt;0,"بله","خیر")</f>
        <v/>
      </c>
    </row>
    <row r="2482" ht="15" customHeight="1" s="14">
      <c r="A2482" s="24" t="n">
        <v>51415</v>
      </c>
      <c r="B2482" s="24" t="inlineStr">
        <is>
          <t>LUMACAFTOR / IVACAFTOR TABLET ORAL 200 mg/125 mg</t>
        </is>
      </c>
      <c r="C2482" s="25">
        <f>IF(COUNTIF('کدهای پیام‌داروساز'!$A$2:$A$2442,A2482)&gt;0,"بله","خیر")</f>
        <v/>
      </c>
    </row>
    <row r="2483" ht="15" customHeight="1" s="14">
      <c r="A2483" s="24" t="n">
        <v>51421</v>
      </c>
      <c r="B2483" s="24" t="inlineStr">
        <is>
          <t>TRACE METAL COMBINATION (2-3) INJECTION PARENTERAL 540 ug/1050 ug/19.79 ug/102.3 ug/17.29 ug/16.6 ug/5.33 ug/210 ug/4.85 ug/1mL 10 mL</t>
        </is>
      </c>
      <c r="C2483" s="25">
        <f>IF(COUNTIF('کدهای پیام‌داروساز'!$A$2:$A$2442,A2483)&gt;0,"بله","خیر")</f>
        <v/>
      </c>
    </row>
    <row r="2484" ht="15" customHeight="1" s="14">
      <c r="A2484" s="24" t="n">
        <v>51441</v>
      </c>
      <c r="B2484" s="24" t="inlineStr">
        <is>
          <t>MILTEFOSINE CAPSULE ORAL 50 mg</t>
        </is>
      </c>
      <c r="C2484" s="25">
        <f>IF(COUNTIF('کدهای پیام‌داروساز'!$A$2:$A$2442,A2484)&gt;0,"بله","خیر")</f>
        <v/>
      </c>
    </row>
    <row r="2485" ht="15" customHeight="1" s="14">
      <c r="A2485" s="24" t="n">
        <v>51458</v>
      </c>
      <c r="B2485" s="24" t="inlineStr">
        <is>
          <t>NINTEDANIB ESILATE CAPSULE, LIQUID FILLED ORAL 100 mg</t>
        </is>
      </c>
      <c r="C2485" s="25">
        <f>IF(COUNTIF('کدهای پیام‌داروساز'!$A$2:$A$2442,A2485)&gt;0,"بله","خیر")</f>
        <v/>
      </c>
    </row>
    <row r="2486" ht="15" customHeight="1" s="14">
      <c r="A2486" s="24" t="n">
        <v>51459</v>
      </c>
      <c r="B2486" s="24" t="inlineStr">
        <is>
          <t>NINTEDANIB ESILATE CAPSULE, LIQUID FILLED ORAL 150 mg</t>
        </is>
      </c>
      <c r="C2486" s="25">
        <f>IF(COUNTIF('کدهای پیام‌داروساز'!$A$2:$A$2442,A2486)&gt;0,"بله","خیر")</f>
        <v/>
      </c>
    </row>
    <row r="2487" ht="15" customHeight="1" s="14">
      <c r="A2487" s="24" t="n">
        <v>51462</v>
      </c>
      <c r="B2487" s="24" t="inlineStr">
        <is>
          <t>IFOSFAMIDE INJECTION, SOLUTION PARENTERAL 50 mg/1mL 20 mL</t>
        </is>
      </c>
      <c r="C2487" s="25">
        <f>IF(COUNTIF('کدهای پیام‌داروساز'!$A$2:$A$2442,A2487)&gt;0,"بله","خیر")</f>
        <v/>
      </c>
    </row>
    <row r="2488" ht="15" customHeight="1" s="14">
      <c r="A2488" s="24" t="n">
        <v>51473</v>
      </c>
      <c r="B2488" s="24" t="inlineStr">
        <is>
          <t>IVERMECTIN TABLET ORAL 6 mg</t>
        </is>
      </c>
      <c r="C2488" s="25">
        <f>IF(COUNTIF('کدهای پیام‌داروساز'!$A$2:$A$2442,A2488)&gt;0,"بله","خیر")</f>
        <v/>
      </c>
    </row>
    <row r="2489" ht="15" customHeight="1" s="14">
      <c r="A2489" s="24" t="n">
        <v>51477</v>
      </c>
      <c r="B2489" s="24" t="inlineStr">
        <is>
          <t>LANREOTIDE INJECTION, SOLUTION PARENTERAL 60 mg</t>
        </is>
      </c>
      <c r="C2489" s="25">
        <f>IF(COUNTIF('کدهای پیام‌داروساز'!$A$2:$A$2442,A2489)&gt;0,"بله","خیر")</f>
        <v/>
      </c>
    </row>
    <row r="2490" ht="15" customHeight="1" s="14">
      <c r="A2490" s="24" t="n">
        <v>51478</v>
      </c>
      <c r="B2490" s="24" t="inlineStr">
        <is>
          <t>LANREOTIDE INJECTION, SOLUTION PARENTERAL 90 mg</t>
        </is>
      </c>
      <c r="C2490" s="25">
        <f>IF(COUNTIF('کدهای پیام‌داروساز'!$A$2:$A$2442,A2490)&gt;0,"بله","خیر")</f>
        <v/>
      </c>
    </row>
    <row r="2491" ht="15" customHeight="1" s="14">
      <c r="A2491" s="24" t="n">
        <v>51479</v>
      </c>
      <c r="B2491" s="24" t="inlineStr">
        <is>
          <t>LENALIDOMIDE CAPSULE ORAL 5 mg</t>
        </is>
      </c>
      <c r="C2491" s="25">
        <f>IF(COUNTIF('کدهای پیام‌داروساز'!$A$2:$A$2442,A2491)&gt;0,"بله","خیر")</f>
        <v/>
      </c>
    </row>
    <row r="2492" ht="15" customHeight="1" s="14">
      <c r="A2492" s="24" t="n">
        <v>51485</v>
      </c>
      <c r="B2492" s="24" t="inlineStr">
        <is>
          <t>LIDOCAINE / EPINEPHRINE INJECTION PARENTERAL 20 mg/12.5 ug/1mL 1.8 mL</t>
        </is>
      </c>
      <c r="C2492" s="25">
        <f>IF(COUNTIF('کدهای پیام‌داروساز'!$A$2:$A$2442,A2492)&gt;0,"بله","خیر")</f>
        <v/>
      </c>
    </row>
    <row r="2493" ht="15" customHeight="1" s="14">
      <c r="A2493" s="24" t="n">
        <v>51492</v>
      </c>
      <c r="B2493" s="24" t="inlineStr">
        <is>
          <t>SODIUM PICOSULFATE SOLUTION, DROPS ORAL 7.5 mg/1mL 15 mL</t>
        </is>
      </c>
      <c r="C2493" s="25">
        <f>IF(COUNTIF('کدهای پیام‌داروساز'!$A$2:$A$2442,A2493)&gt;0,"بله","خیر")</f>
        <v/>
      </c>
    </row>
    <row r="2494" ht="15" customHeight="1" s="14">
      <c r="A2494" s="24" t="n">
        <v>51502</v>
      </c>
      <c r="B2494" s="24" t="inlineStr">
        <is>
          <t>HEMODIALYSIS CONCENTRATED I ACIDIC SOLUTION, CONCENTRATE HEMODIALYSIS 3710 meq/35 meq/35 meq/87.5 meq/3902.5 meq/122.5 meq/70 g 4920 mL</t>
        </is>
      </c>
      <c r="C2494" s="25">
        <f>IF(COUNTIF('کدهای پیام‌داروساز'!$A$2:$A$2442,A2494)&gt;0,"بله","خیر")</f>
        <v/>
      </c>
    </row>
    <row r="2495" ht="15" customHeight="1" s="14">
      <c r="A2495" s="24" t="n">
        <v>51504</v>
      </c>
      <c r="B2495" s="24" t="inlineStr">
        <is>
          <t>HEMODIALYSIS CONCENTRATED III ACIDIC SOLUTION, CONCENTRATE HEMODIALYSIS 3710 meq/35 meq/105 meq/87.5 meq/3902.5 meq/122.5 meq/70 g 4920 mL</t>
        </is>
      </c>
      <c r="C2495" s="25">
        <f>IF(COUNTIF('کدهای پیام‌داروساز'!$A$2:$A$2442,A2495)&gt;0,"بله","خیر")</f>
        <v/>
      </c>
    </row>
    <row r="2496" ht="15" customHeight="1" s="14">
      <c r="A2496" s="24" t="n">
        <v>51505</v>
      </c>
      <c r="B2496" s="24" t="inlineStr">
        <is>
          <t>HEMOFILTRATION / HEMODIAFILTRATION (2) SOLUTION PARENTERAL 5.4 g/5.145 g/2.033 g/6.45 g/3.09 g/22 g/0.157 g/1000mL 5000 mL</t>
        </is>
      </c>
      <c r="C2496" s="25">
        <f>IF(COUNTIF('کدهای پیام‌داروساز'!$A$2:$A$2442,A2496)&gt;0,"بله","خیر")</f>
        <v/>
      </c>
    </row>
    <row r="2497" ht="15" customHeight="1" s="14">
      <c r="A2497" s="24" t="n">
        <v>51508</v>
      </c>
      <c r="B2497" s="24" t="inlineStr">
        <is>
          <t>LOPINAVIR / RITONAVIR TABLET ORAL 100 mg/25 mg</t>
        </is>
      </c>
      <c r="C2497" s="25">
        <f>IF(COUNTIF('کدهای پیام‌داروساز'!$A$2:$A$2442,A2497)&gt;0,"بله","خیر")</f>
        <v/>
      </c>
    </row>
    <row r="2498" ht="15" customHeight="1" s="14">
      <c r="A2498" s="24" t="n">
        <v>51513</v>
      </c>
      <c r="B2498" s="24" t="inlineStr">
        <is>
          <t>QUETIAPINE (AS FUMARATE) TABLET, EXTENDED RELEASE ORAL 150 mg</t>
        </is>
      </c>
      <c r="C2498" s="25">
        <f>IF(COUNTIF('کدهای پیام‌داروساز'!$A$2:$A$2442,A2498)&gt;0,"بله","خیر")</f>
        <v/>
      </c>
    </row>
    <row r="2499" ht="15" customHeight="1" s="14">
      <c r="A2499" s="24" t="n">
        <v>51516</v>
      </c>
      <c r="B2499" s="24" t="inlineStr">
        <is>
          <t>MEGLUMINE COMPOUND SOLUTION ORAL 66 %/10 % 120 mL</t>
        </is>
      </c>
      <c r="C2499" s="25">
        <f>IF(COUNTIF('کدهای پیام‌داروساز'!$A$2:$A$2442,A2499)&gt;0,"بله","خیر")</f>
        <v/>
      </c>
    </row>
    <row r="2500" ht="15" customHeight="1" s="14">
      <c r="A2500" s="24" t="n">
        <v>51517</v>
      </c>
      <c r="B2500" s="24" t="inlineStr">
        <is>
          <t>QUETIAPINE (AS FUMARATE) TABLET, EXTENDED RELEASE ORAL 300 mg</t>
        </is>
      </c>
      <c r="C2500" s="25">
        <f>IF(COUNTIF('کدهای پیام‌داروساز'!$A$2:$A$2442,A2500)&gt;0,"بله","خیر")</f>
        <v/>
      </c>
    </row>
    <row r="2501" ht="15" customHeight="1" s="14">
      <c r="A2501" s="24" t="n">
        <v>51518</v>
      </c>
      <c r="B2501" s="24" t="inlineStr">
        <is>
          <t>OMEPRAZOLE POWDER, FOR SUSPENSION ORAL 20 mg</t>
        </is>
      </c>
      <c r="C2501" s="25">
        <f>IF(COUNTIF('کدهای پیام‌داروساز'!$A$2:$A$2442,A2501)&gt;0,"بله","خیر")</f>
        <v/>
      </c>
    </row>
    <row r="2502" ht="15" customHeight="1" s="14">
      <c r="A2502" s="24" t="n">
        <v>51520</v>
      </c>
      <c r="B2502" s="24" t="inlineStr">
        <is>
          <t>OSELTAMIVIR (AS PHOSPHATE) POWDER, FOR SUSPENSION ORAL 60 mg/5mL 75 mL</t>
        </is>
      </c>
      <c r="C2502" s="25">
        <f>IF(COUNTIF('کدهای پیام‌داروساز'!$A$2:$A$2442,A2502)&gt;0,"بله","خیر")</f>
        <v/>
      </c>
    </row>
    <row r="2503" ht="15" customHeight="1" s="14">
      <c r="A2503" s="24" t="n">
        <v>51525</v>
      </c>
      <c r="B2503" s="24" t="inlineStr">
        <is>
          <t>OXYCODONE HYDROCHLORIDE TABLET, EXTENDED RELEASE ORAL 10 mg</t>
        </is>
      </c>
      <c r="C2503" s="25">
        <f>IF(COUNTIF('کدهای پیام‌داروساز'!$A$2:$A$2442,A2503)&gt;0,"بله","خیر")</f>
        <v/>
      </c>
    </row>
    <row r="2504" ht="15" customHeight="1" s="14">
      <c r="A2504" s="24" t="n">
        <v>51526</v>
      </c>
      <c r="B2504" s="24" t="inlineStr">
        <is>
          <t>OXYCODONE HYDROCHLORIDE TABLET, EXTENDED RELEASE ORAL 40 mg</t>
        </is>
      </c>
      <c r="C2504" s="25">
        <f>IF(COUNTIF('کدهای پیام‌داروساز'!$A$2:$A$2442,A2504)&gt;0,"بله","خیر")</f>
        <v/>
      </c>
    </row>
    <row r="2505" ht="15" customHeight="1" s="14">
      <c r="A2505" s="24" t="n">
        <v>51527</v>
      </c>
      <c r="B2505" s="24" t="inlineStr">
        <is>
          <t>OXYCODONE HYDROCHLORIDE TABLET, EXTENDED RELEASE ORAL 80 mg</t>
        </is>
      </c>
      <c r="C2505" s="25">
        <f>IF(COUNTIF('کدهای پیام‌داروساز'!$A$2:$A$2442,A2505)&gt;0,"بله","خیر")</f>
        <v/>
      </c>
    </row>
    <row r="2506" ht="15" customHeight="1" s="14">
      <c r="A2506" s="24" t="n">
        <v>51564</v>
      </c>
      <c r="B2506" s="24" t="inlineStr">
        <is>
          <t>PLASMA, CRYPOOR INJECTION PARENTERAL</t>
        </is>
      </c>
      <c r="C2506" s="25">
        <f>IF(COUNTIF('کدهای پیام‌داروساز'!$A$2:$A$2442,A2506)&gt;0,"بله","خیر")</f>
        <v/>
      </c>
    </row>
    <row r="2507" ht="15" customHeight="1" s="14">
      <c r="A2507" s="24" t="n">
        <v>51565</v>
      </c>
      <c r="B2507" s="24" t="inlineStr">
        <is>
          <t>PLASMA, CRYPRECIPITATE INJECTION PARENTERAL</t>
        </is>
      </c>
      <c r="C2507" s="25">
        <f>IF(COUNTIF('کدهای پیام‌داروساز'!$A$2:$A$2442,A2507)&gt;0,"بله","خیر")</f>
        <v/>
      </c>
    </row>
    <row r="2508" ht="15" customHeight="1" s="14">
      <c r="A2508" s="24" t="n">
        <v>51566</v>
      </c>
      <c r="B2508" s="24" t="inlineStr">
        <is>
          <t>PLASMA, FRESH FROZEN INJECTION PARENTERAL</t>
        </is>
      </c>
      <c r="C2508" s="25">
        <f>IF(COUNTIF('کدهای پیام‌داروساز'!$A$2:$A$2442,A2508)&gt;0,"بله","خیر")</f>
        <v/>
      </c>
    </row>
    <row r="2509" ht="15" customHeight="1" s="14">
      <c r="A2509" s="24" t="n">
        <v>51572</v>
      </c>
      <c r="B2509" s="24" t="inlineStr">
        <is>
          <t>POTASSIUM CHLORIDE INJECTION INTRAVENOUS 0.3 % 500 mL</t>
        </is>
      </c>
      <c r="C2509" s="25">
        <f>IF(COUNTIF('کدهای پیام‌داروساز'!$A$2:$A$2442,A2509)&gt;0,"بله","خیر")</f>
        <v/>
      </c>
    </row>
    <row r="2510" ht="15" customHeight="1" s="14">
      <c r="A2510" s="24" t="n">
        <v>51577</v>
      </c>
      <c r="B2510" s="24" t="inlineStr">
        <is>
          <t>POVIDONE-IODINE SUPPOSITORY VAGINAL 200 mg</t>
        </is>
      </c>
      <c r="C2510" s="25">
        <f>IF(COUNTIF('کدهای پیام‌داروساز'!$A$2:$A$2442,A2510)&gt;0,"بله","خیر")</f>
        <v/>
      </c>
    </row>
    <row r="2511" ht="15" customHeight="1" s="14">
      <c r="A2511" s="24" t="n">
        <v>51632</v>
      </c>
      <c r="B2511" s="24" t="inlineStr">
        <is>
          <t>OFATUMUMAB INJECTION, SOLUTION, CONCENTRATE PARENTERAL 20 mg/1mL 5 mL</t>
        </is>
      </c>
      <c r="C2511" s="25">
        <f>IF(COUNTIF('کدهای پیام‌داروساز'!$A$2:$A$2442,A2511)&gt;0,"بله","خیر")</f>
        <v/>
      </c>
    </row>
    <row r="2512" ht="15" customHeight="1" s="14">
      <c r="A2512" s="24" t="n">
        <v>51637</v>
      </c>
      <c r="B2512" s="24" t="inlineStr">
        <is>
          <t>MECLOZINE DIHYDROCHLORIDE TABLET ORAL 25 mg</t>
        </is>
      </c>
      <c r="C2512" s="25">
        <f>IF(COUNTIF('کدهای پیام‌داروساز'!$A$2:$A$2442,A2512)&gt;0,"بله","خیر")</f>
        <v/>
      </c>
    </row>
    <row r="2513" ht="15" customHeight="1" s="14">
      <c r="A2513" s="24" t="n">
        <v>51638</v>
      </c>
      <c r="B2513" s="24" t="inlineStr">
        <is>
          <t>VANDETANIB TABLET ORAL 100 mg</t>
        </is>
      </c>
      <c r="C2513" s="25">
        <f>IF(COUNTIF('کدهای پیام‌داروساز'!$A$2:$A$2442,A2513)&gt;0,"بله","خیر")</f>
        <v/>
      </c>
    </row>
    <row r="2514" ht="15" customHeight="1" s="14">
      <c r="A2514" s="24" t="n">
        <v>51644</v>
      </c>
      <c r="B2514" s="24" t="inlineStr">
        <is>
          <t>MEMANTINE HYDROCHLORIDE CAPSULE, EXTENDED RELEASE ORAL 21 mg</t>
        </is>
      </c>
      <c r="C2514" s="25">
        <f>IF(COUNTIF('کدهای پیام‌داروساز'!$A$2:$A$2442,A2514)&gt;0,"بله","خیر")</f>
        <v/>
      </c>
    </row>
    <row r="2515" ht="15" customHeight="1" s="14">
      <c r="A2515" s="24" t="n">
        <v>51653</v>
      </c>
      <c r="B2515" s="24" t="inlineStr">
        <is>
          <t>METHYLPHENIDATE HYDROCHLORIDE TABLET, EXTENDED RELEASE ORAL 27 mg</t>
        </is>
      </c>
      <c r="C2515" s="25">
        <f>IF(COUNTIF('کدهای پیام‌داروساز'!$A$2:$A$2442,A2515)&gt;0,"بله","خیر")</f>
        <v/>
      </c>
    </row>
    <row r="2516" ht="15" customHeight="1" s="14">
      <c r="A2516" s="24" t="n">
        <v>51656</v>
      </c>
      <c r="B2516" s="24" t="inlineStr">
        <is>
          <t>METRONIDAZOLE TABLET ORAL 500 mg</t>
        </is>
      </c>
      <c r="C2516" s="25">
        <f>IF(COUNTIF('کدهای پیام‌داروساز'!$A$2:$A$2442,A2516)&gt;0,"بله","خیر")</f>
        <v/>
      </c>
    </row>
    <row r="2517" ht="15" customHeight="1" s="14">
      <c r="A2517" s="24" t="n">
        <v>51673</v>
      </c>
      <c r="B2517" s="24" t="inlineStr">
        <is>
          <t>SILVER SULFADIAZINE / EGF CREAM TOPICAL 1 %/0.001 % 15 g</t>
        </is>
      </c>
      <c r="C2517" s="25">
        <f>IF(COUNTIF('کدهای پیام‌داروساز'!$A$2:$A$2442,A2517)&gt;0,"بله","خیر")</f>
        <v/>
      </c>
    </row>
    <row r="2518" ht="15" customHeight="1" s="14">
      <c r="A2518" s="24" t="n">
        <v>51681</v>
      </c>
      <c r="B2518" s="24" t="inlineStr">
        <is>
          <t>TADALAFIL TABLET ORAL 5 mg</t>
        </is>
      </c>
      <c r="C2518" s="25">
        <f>IF(COUNTIF('کدهای پیام‌داروساز'!$A$2:$A$2442,A2518)&gt;0,"بله","خیر")</f>
        <v/>
      </c>
    </row>
    <row r="2519" ht="15" customHeight="1" s="14">
      <c r="A2519" s="24" t="n">
        <v>51682</v>
      </c>
      <c r="B2519" s="24" t="inlineStr">
        <is>
          <t>TENECTEPLASE INJECTION, POWDER, FOR SOLUTION PARENTERAL 50 mg</t>
        </is>
      </c>
      <c r="C2519" s="25">
        <f>IF(COUNTIF('کدهای پیام‌داروساز'!$A$2:$A$2442,A2519)&gt;0,"بله","خیر")</f>
        <v/>
      </c>
    </row>
    <row r="2520" ht="15" customHeight="1" s="14">
      <c r="A2520" s="24" t="n">
        <v>51691</v>
      </c>
      <c r="B2520" s="24" t="inlineStr">
        <is>
          <t>THIETHYLPERAZINE TABLET ORAL 6.5 mg</t>
        </is>
      </c>
      <c r="C2520" s="25">
        <f>IF(COUNTIF('کدهای پیام‌داروساز'!$A$2:$A$2442,A2520)&gt;0,"بله","خیر")</f>
        <v/>
      </c>
    </row>
    <row r="2521" ht="15" customHeight="1" s="14">
      <c r="A2521" s="24" t="n">
        <v>51698</v>
      </c>
      <c r="B2521" s="24" t="inlineStr">
        <is>
          <t>TOBRAMYCIN SOLUTION RESPIRATORY 60 mg/1mL 5 mL</t>
        </is>
      </c>
      <c r="C2521" s="25">
        <f>IF(COUNTIF('کدهای پیام‌داروساز'!$A$2:$A$2442,A2521)&gt;0,"بله","خیر")</f>
        <v/>
      </c>
    </row>
    <row r="2522" ht="15" customHeight="1" s="14">
      <c r="A2522" s="24" t="n">
        <v>51703</v>
      </c>
      <c r="B2522" s="24" t="inlineStr">
        <is>
          <t>ARTIFICIAL TEARS (HYALURONATE SODIUM) SOLUTION, DROPS OPHTHALMIC 0.2 %</t>
        </is>
      </c>
      <c r="C2522" s="25">
        <f>IF(COUNTIF('کدهای پیام‌داروساز'!$A$2:$A$2442,A2522)&gt;0,"بله","خیر")</f>
        <v/>
      </c>
    </row>
    <row r="2523" ht="15" customHeight="1" s="14">
      <c r="A2523" s="24" t="n">
        <v>51709</v>
      </c>
      <c r="B2523" s="24" t="inlineStr">
        <is>
          <t>TRIAMCINOLONE ACETONIDE SPRAY NASAL 55 ug/1{dose}</t>
        </is>
      </c>
      <c r="C2523" s="25">
        <f>IF(COUNTIF('کدهای پیام‌داروساز'!$A$2:$A$2442,A2523)&gt;0,"بله","خیر")</f>
        <v/>
      </c>
    </row>
    <row r="2524" ht="15" customHeight="1" s="14">
      <c r="A2524" s="24" t="n">
        <v>51718</v>
      </c>
      <c r="B2524" s="24" t="inlineStr">
        <is>
          <t>TRICLOCARBAN SOAP TOPICAL 1 % 100 g</t>
        </is>
      </c>
      <c r="C2524" s="25">
        <f>IF(COUNTIF('کدهای پیام‌داروساز'!$A$2:$A$2442,A2524)&gt;0,"بله","خیر")</f>
        <v/>
      </c>
    </row>
    <row r="2525" ht="15" customHeight="1" s="14">
      <c r="A2525" s="24" t="n">
        <v>51720</v>
      </c>
      <c r="B2525" s="24" t="inlineStr">
        <is>
          <t>SUPERPARAMAGNETIC DEXTRAN NANOPARTICLES INJECTION, SUSPENSION PARENTERAL 13 %/87 % 10 mL</t>
        </is>
      </c>
      <c r="C2525" s="25">
        <f>IF(COUNTIF('کدهای پیام‌داروساز'!$A$2:$A$2442,A2525)&gt;0,"بله","خیر")</f>
        <v/>
      </c>
    </row>
    <row r="2526" ht="15" customHeight="1" s="14">
      <c r="A2526" s="24" t="n">
        <v>51722</v>
      </c>
      <c r="B2526" s="24" t="inlineStr">
        <is>
          <t>VINFLUNINE DITARTRATE INJECTION PARENTERAL 25 mg/1mL 10 mL</t>
        </is>
      </c>
      <c r="C2526" s="25">
        <f>IF(COUNTIF('کدهای پیام‌داروساز'!$A$2:$A$2442,A2526)&gt;0,"بله","خیر")</f>
        <v/>
      </c>
    </row>
    <row r="2527" ht="15" customHeight="1" s="14">
      <c r="A2527" s="24" t="n">
        <v>51725</v>
      </c>
      <c r="B2527" s="24" t="inlineStr">
        <is>
          <t>NEOMYCIN SULFATE / POLYMYXIN B SULFATE / DEXAMETHASONE SUSPENSION, DROPS OPHTHALMIC 3500 [iU]/6000 [iU]/1 mg/1mL 5 mL</t>
        </is>
      </c>
      <c r="C2527" s="25">
        <f>IF(COUNTIF('کدهای پیام‌داروساز'!$A$2:$A$2442,A2527)&gt;0,"بله","خیر")</f>
        <v/>
      </c>
    </row>
    <row r="2528" ht="15" customHeight="1" s="14">
      <c r="A2528" s="24" t="n">
        <v>51747</v>
      </c>
      <c r="B2528" s="24" t="inlineStr">
        <is>
          <t>ZIDOVUDINE INJECTION, SOLUTION, CONCENTRATE PARENTERAL 10 mg/1mL</t>
        </is>
      </c>
      <c r="C2528" s="25">
        <f>IF(COUNTIF('کدهای پیام‌داروساز'!$A$2:$A$2442,A2528)&gt;0,"بله","خیر")</f>
        <v/>
      </c>
    </row>
    <row r="2529" ht="15" customHeight="1" s="14">
      <c r="A2529" s="24" t="n">
        <v>51777</v>
      </c>
      <c r="B2529" s="24" t="inlineStr">
        <is>
          <t>NALTREXONE INJECTION, POWDER, FOR SUSPENSION, EXTENDED RELEASE PARENTERAL 380 mg</t>
        </is>
      </c>
      <c r="C2529" s="25">
        <f>IF(COUNTIF('کدهای پیام‌داروساز'!$A$2:$A$2442,A2529)&gt;0,"بله","خیر")</f>
        <v/>
      </c>
    </row>
    <row r="2530" ht="15" customHeight="1" s="14">
      <c r="A2530" s="24" t="n">
        <v>51790</v>
      </c>
      <c r="B2530" s="24" t="inlineStr">
        <is>
          <t>NICOTINE (AS POLACRILEX) LOZENGE ORAL 2 mg</t>
        </is>
      </c>
      <c r="C2530" s="25">
        <f>IF(COUNTIF('کدهای پیام‌داروساز'!$A$2:$A$2442,A2530)&gt;0,"بله","خیر")</f>
        <v/>
      </c>
    </row>
    <row r="2531" ht="15" customHeight="1" s="14">
      <c r="A2531" s="24" t="n">
        <v>51793</v>
      </c>
      <c r="B2531" s="24" t="inlineStr">
        <is>
          <t>NICOTINE (AS POLACRILEX) LOZENGE ORAL 4 mg</t>
        </is>
      </c>
      <c r="C2531" s="25">
        <f>IF(COUNTIF('کدهای پیام‌داروساز'!$A$2:$A$2442,A2531)&gt;0,"بله","خیر")</f>
        <v/>
      </c>
    </row>
    <row r="2532" ht="15" customHeight="1" s="14">
      <c r="A2532" s="24" t="n">
        <v>51798</v>
      </c>
      <c r="B2532" s="24" t="inlineStr">
        <is>
          <t>NILOTINIB CAPSULE ORAL 150 mg</t>
        </is>
      </c>
      <c r="C2532" s="25">
        <f>IF(COUNTIF('کدهای پیام‌داروساز'!$A$2:$A$2442,A2532)&gt;0,"بله","خیر")</f>
        <v/>
      </c>
    </row>
    <row r="2533" ht="15" customHeight="1" s="14">
      <c r="A2533" s="24" t="n">
        <v>51809</v>
      </c>
      <c r="B2533" s="24" t="inlineStr">
        <is>
          <t>NITROUS OXIDE / OXYGEN GAS RESPIRATORY 50 %/50 % 7 kg</t>
        </is>
      </c>
      <c r="C2533" s="25">
        <f>IF(COUNTIF('کدهای پیام‌داروساز'!$A$2:$A$2442,A2533)&gt;0,"بله","خیر")</f>
        <v/>
      </c>
    </row>
    <row r="2534" ht="15" customHeight="1" s="14">
      <c r="A2534" s="24" t="n">
        <v>51815</v>
      </c>
      <c r="B2534" s="24" t="inlineStr">
        <is>
          <t>SODIUM CHLORIDE INJECTION, SOLUTION PARENTERAL 0.9 % 5 mL</t>
        </is>
      </c>
      <c r="C2534" s="25">
        <f>IF(COUNTIF('کدهای پیام‌داروساز'!$A$2:$A$2442,A2534)&gt;0,"بله","خیر")</f>
        <v/>
      </c>
    </row>
    <row r="2535" ht="15" customHeight="1" s="14">
      <c r="A2535" s="24" t="n">
        <v>51816</v>
      </c>
      <c r="B2535" s="24" t="inlineStr">
        <is>
          <t>SODIUM TETRADECYL SULFATE INJECTION PARENTERAL 0.5 % 2 mL</t>
        </is>
      </c>
      <c r="C2535" s="25">
        <f>IF(COUNTIF('کدهای پیام‌داروساز'!$A$2:$A$2442,A2535)&gt;0,"بله","خیر")</f>
        <v/>
      </c>
    </row>
    <row r="2536" ht="15" customHeight="1" s="14">
      <c r="A2536" s="24" t="n">
        <v>51822</v>
      </c>
      <c r="B2536" s="24" t="inlineStr">
        <is>
          <t>THALIDOMIDE CAPSULE ORAL 50 mg</t>
        </is>
      </c>
      <c r="C2536" s="25">
        <f>IF(COUNTIF('کدهای پیام‌داروساز'!$A$2:$A$2442,A2536)&gt;0,"بله","خیر")</f>
        <v/>
      </c>
    </row>
    <row r="2537" ht="15" customHeight="1" s="14">
      <c r="A2537" s="24" t="n">
        <v>51828</v>
      </c>
      <c r="B2537" s="24" t="inlineStr">
        <is>
          <t>HEPATITIS B VIRUS INJECTION PARENTERAL 1 {dose} 1 mL</t>
        </is>
      </c>
      <c r="C2537" s="25">
        <f>IF(COUNTIF('کدهای پیام‌داروساز'!$A$2:$A$2442,A2537)&gt;0,"بله","خیر")</f>
        <v/>
      </c>
    </row>
    <row r="2538" ht="15" customHeight="1" s="14">
      <c r="A2538" s="24" t="n">
        <v>51831</v>
      </c>
      <c r="B2538" s="24" t="inlineStr">
        <is>
          <t>PEMBROLIZUMAB INJECTION, POWDER, LYOPHILIZED, FOR SOLUTION PARENTERAL 50 mg</t>
        </is>
      </c>
      <c r="C2538" s="25">
        <f>IF(COUNTIF('کدهای پیام‌داروساز'!$A$2:$A$2442,A2538)&gt;0,"بله","خیر")</f>
        <v/>
      </c>
    </row>
    <row r="2539" ht="15" customHeight="1" s="14">
      <c r="A2539" s="24" t="n">
        <v>51840</v>
      </c>
      <c r="B2539" s="24" t="inlineStr">
        <is>
          <t>POSACONAZOLE TABLET, DELAYED RELEASE ORAL 100 mg</t>
        </is>
      </c>
      <c r="C2539" s="25">
        <f>IF(COUNTIF('کدهای پیام‌داروساز'!$A$2:$A$2442,A2539)&gt;0,"بله","خیر")</f>
        <v/>
      </c>
    </row>
    <row r="2540" ht="15" customHeight="1" s="14">
      <c r="A2540" s="24" t="n">
        <v>51847</v>
      </c>
      <c r="B2540" s="24" t="inlineStr">
        <is>
          <t>BUPIVACAINE HYDROCHLORIDE INJECTION PARENTERAL 0.5 % 10 mL</t>
        </is>
      </c>
      <c r="C2540" s="25">
        <f>IF(COUNTIF('کدهای پیام‌داروساز'!$A$2:$A$2442,A2540)&gt;0,"بله","خیر")</f>
        <v/>
      </c>
    </row>
    <row r="2541" ht="15" customHeight="1" s="14">
      <c r="A2541" s="24" t="n">
        <v>51850</v>
      </c>
      <c r="B2541" s="24" t="inlineStr">
        <is>
          <t>DEXTROSE / SODIUM CHLORIDE INJECTION, SOLUTION INTRAVENOUS 5 %/0.45 % 1000 mL</t>
        </is>
      </c>
      <c r="C2541" s="25">
        <f>IF(COUNTIF('کدهای پیام‌داروساز'!$A$2:$A$2442,A2541)&gt;0,"بله","خیر")</f>
        <v/>
      </c>
    </row>
    <row r="2542" ht="15" customHeight="1" s="14">
      <c r="A2542" s="24" t="n">
        <v>51851</v>
      </c>
      <c r="B2542" s="24" t="inlineStr">
        <is>
          <t>HEPARIN SODIUM INJECTION PARENTERAL 5000 [iU]/1mL 5 mL</t>
        </is>
      </c>
      <c r="C2542" s="25">
        <f>IF(COUNTIF('کدهای پیام‌داروساز'!$A$2:$A$2442,A2542)&gt;0,"بله","خیر")</f>
        <v/>
      </c>
    </row>
    <row r="2543" ht="15" customHeight="1" s="14">
      <c r="A2543" s="24" t="n">
        <v>51854</v>
      </c>
      <c r="B2543" s="24" t="inlineStr">
        <is>
          <t>MAGNESIUM SULFATE INJECTION PARENTERAL 10 % 50 mL</t>
        </is>
      </c>
      <c r="C2543" s="25">
        <f>IF(COUNTIF('کدهای پیام‌داروساز'!$A$2:$A$2442,A2543)&gt;0,"بله","خیر")</f>
        <v/>
      </c>
    </row>
    <row r="2544" ht="15" customHeight="1" s="14">
      <c r="A2544" s="24" t="n">
        <v>51858</v>
      </c>
      <c r="B2544" s="24" t="inlineStr">
        <is>
          <t>MOMETASONE FUROATE CREAM TOPICAL 0.1 % 15 g</t>
        </is>
      </c>
      <c r="C2544" s="25">
        <f>IF(COUNTIF('کدهای پیام‌داروساز'!$A$2:$A$2442,A2544)&gt;0,"بله","خیر")</f>
        <v/>
      </c>
    </row>
    <row r="2545" ht="15" customHeight="1" s="14">
      <c r="A2545" s="24" t="n">
        <v>51859</v>
      </c>
      <c r="B2545" s="24" t="inlineStr">
        <is>
          <t>MOMETASONE FUROATE LOTION TOPICAL 0.1 % 20 mL</t>
        </is>
      </c>
      <c r="C2545" s="25">
        <f>IF(COUNTIF('کدهای پیام‌داروساز'!$A$2:$A$2442,A2545)&gt;0,"بله","خیر")</f>
        <v/>
      </c>
    </row>
    <row r="2546" ht="15" customHeight="1" s="14">
      <c r="A2546" s="24" t="n">
        <v>51860</v>
      </c>
      <c r="B2546" s="24" t="inlineStr">
        <is>
          <t>NITROGLYCERIN INJECTION PARENTERAL 1 mg/1mL 10 mL</t>
        </is>
      </c>
      <c r="C2546" s="25">
        <f>IF(COUNTIF('کدهای پیام‌داروساز'!$A$2:$A$2442,A2546)&gt;0,"بله","خیر")</f>
        <v/>
      </c>
    </row>
    <row r="2547" ht="15" customHeight="1" s="14">
      <c r="A2547" s="24" t="n">
        <v>51864</v>
      </c>
      <c r="B2547" s="24" t="inlineStr">
        <is>
          <t>CARBAMAZEPINE SUSPENSION ORAL 100 mg/5mL 120 mL</t>
        </is>
      </c>
      <c r="C2547" s="25">
        <f>IF(COUNTIF('کدهای پیام‌داروساز'!$A$2:$A$2442,A2547)&gt;0,"بله","خیر")</f>
        <v/>
      </c>
    </row>
    <row r="2548" ht="15" customHeight="1" s="14">
      <c r="A2548" s="24" t="n">
        <v>51865</v>
      </c>
      <c r="B2548" s="24" t="inlineStr">
        <is>
          <t>PALIPERIDONE TABLET, EXTENDED RELEASE ORAL 3 mg</t>
        </is>
      </c>
      <c r="C2548" s="25">
        <f>IF(COUNTIF('کدهای پیام‌داروساز'!$A$2:$A$2442,A2548)&gt;0,"بله","خیر")</f>
        <v/>
      </c>
    </row>
    <row r="2549" ht="15" customHeight="1" s="14">
      <c r="A2549" s="24" t="n">
        <v>51866</v>
      </c>
      <c r="B2549" s="24" t="inlineStr">
        <is>
          <t>CLOTRIMAZOLE CREAM VAGINAL 2 % 50 g</t>
        </is>
      </c>
      <c r="C2549" s="25">
        <f>IF(COUNTIF('کدهای پیام‌داروساز'!$A$2:$A$2442,A2549)&gt;0,"بله","خیر")</f>
        <v/>
      </c>
    </row>
    <row r="2550" ht="15" customHeight="1" s="14">
      <c r="A2550" s="24" t="n">
        <v>51868</v>
      </c>
      <c r="B2550" s="24" t="inlineStr">
        <is>
          <t>IBUPROFEN INJECTION PARENTERAL 100 mg/1mL 8 mL</t>
        </is>
      </c>
      <c r="C2550" s="25">
        <f>IF(COUNTIF('کدهای پیام‌داروساز'!$A$2:$A$2442,A2550)&gt;0,"بله","خیر")</f>
        <v/>
      </c>
    </row>
    <row r="2551" ht="15" customHeight="1" s="14">
      <c r="A2551" s="24" t="n">
        <v>51869</v>
      </c>
      <c r="B2551" s="24" t="inlineStr">
        <is>
          <t>LIDOCAINE / PRILOCAINE CREAM TOPICAL 2.5 %/2.5 % 15 g</t>
        </is>
      </c>
      <c r="C2551" s="25">
        <f>IF(COUNTIF('کدهای پیام‌داروساز'!$A$2:$A$2442,A2551)&gt;0,"بله","خیر")</f>
        <v/>
      </c>
    </row>
    <row r="2552" ht="15" customHeight="1" s="14">
      <c r="A2552" s="24" t="n">
        <v>51870</v>
      </c>
      <c r="B2552" s="24" t="inlineStr">
        <is>
          <t>METHADONE HYDROCHLORIDE TABLET, FOR SUSPENSION ORAL 20 mg</t>
        </is>
      </c>
      <c r="C2552" s="25">
        <f>IF(COUNTIF('کدهای پیام‌داروساز'!$A$2:$A$2442,A2552)&gt;0,"بله","خیر")</f>
        <v/>
      </c>
    </row>
    <row r="2553" ht="15" customHeight="1" s="14">
      <c r="A2553" s="24" t="n">
        <v>51871</v>
      </c>
      <c r="B2553" s="24" t="inlineStr">
        <is>
          <t>METHADONE HYDROCHLORIDE TABLET, FOR SUSPENSION ORAL 40 mg</t>
        </is>
      </c>
      <c r="C2553" s="25">
        <f>IF(COUNTIF('کدهای پیام‌داروساز'!$A$2:$A$2442,A2553)&gt;0,"بله","خیر")</f>
        <v/>
      </c>
    </row>
    <row r="2554" ht="15" customHeight="1" s="14">
      <c r="A2554" s="24" t="n">
        <v>51877</v>
      </c>
      <c r="B2554" s="24" t="inlineStr">
        <is>
          <t>PHENYLEPHRINE HYDROCHLORIDE SPRAY NASAL 0.25 % 15 mL</t>
        </is>
      </c>
      <c r="C2554" s="25">
        <f>IF(COUNTIF('کدهای پیام‌داروساز'!$A$2:$A$2442,A2554)&gt;0,"بله","خیر")</f>
        <v/>
      </c>
    </row>
    <row r="2555" ht="15" customHeight="1" s="14">
      <c r="A2555" s="24" t="n">
        <v>51878</v>
      </c>
      <c r="B2555" s="24" t="inlineStr">
        <is>
          <t>PHENYLEPHRINE HYDROCHLORIDE SPRAY NASAL 0.5 % 15 mL</t>
        </is>
      </c>
      <c r="C2555" s="25">
        <f>IF(COUNTIF('کدهای پیام‌داروساز'!$A$2:$A$2442,A2555)&gt;0,"بله","خیر")</f>
        <v/>
      </c>
    </row>
    <row r="2556" ht="15" customHeight="1" s="14">
      <c r="A2556" s="24" t="n">
        <v>51880</v>
      </c>
      <c r="B2556" s="24" t="inlineStr">
        <is>
          <t>ALUMINIUM HYDROXIDE / MAGNESIUM HYDROXIDE / SIMETHICONE SUSPENSION ORAL 225 mg/200 mg/25 mg/5mL 10 mL</t>
        </is>
      </c>
      <c r="C2556" s="25">
        <f>IF(COUNTIF('کدهای پیام‌داروساز'!$A$2:$A$2442,A2556)&gt;0,"بله","خیر")</f>
        <v/>
      </c>
    </row>
    <row r="2557" ht="15" customHeight="1" s="14">
      <c r="A2557" s="24" t="n">
        <v>51881</v>
      </c>
      <c r="B2557" s="24" t="inlineStr">
        <is>
          <t>CLOTRIMAZOLE / BETAMETHASONE (AS DIPROPIONATE) CREAM TOPICAL 1 %/0.05 % 30 g</t>
        </is>
      </c>
      <c r="C2557" s="25">
        <f>IF(COUNTIF('کدهای پیام‌داروساز'!$A$2:$A$2442,A2557)&gt;0,"بله","خیر")</f>
        <v/>
      </c>
    </row>
    <row r="2558" ht="15" customHeight="1" s="14">
      <c r="A2558" s="24" t="n">
        <v>51882</v>
      </c>
      <c r="B2558" s="24" t="inlineStr">
        <is>
          <t>NITROFURANTOIN SUSPENSION ORAL 25 mg/5mL 100 mL</t>
        </is>
      </c>
      <c r="C2558" s="25">
        <f>IF(COUNTIF('کدهای پیام‌داروساز'!$A$2:$A$2442,A2558)&gt;0,"بله","خیر")</f>
        <v/>
      </c>
    </row>
    <row r="2559" ht="15" customHeight="1" s="14">
      <c r="A2559" s="24" t="n">
        <v>51883</v>
      </c>
      <c r="B2559" s="24" t="inlineStr">
        <is>
          <t>LINAGLIPTIN TABLET ORAL 5 mg</t>
        </is>
      </c>
      <c r="C2559" s="25">
        <f>IF(COUNTIF('کدهای پیام‌داروساز'!$A$2:$A$2442,A2559)&gt;0,"بله","خیر")</f>
        <v/>
      </c>
    </row>
    <row r="2560" ht="15" customHeight="1" s="14">
      <c r="A2560" s="24" t="n">
        <v>51884</v>
      </c>
      <c r="B2560" s="24" t="inlineStr">
        <is>
          <t>DIPHENHYDRAMINE / AMMONIUM CHLORIDE SYRUP ORAL 12.5 mg/125 mg/5mL 120 mL</t>
        </is>
      </c>
      <c r="C2560" s="25">
        <f>IF(COUNTIF('کدهای پیام‌داروساز'!$A$2:$A$2442,A2560)&gt;0,"بله","خیر")</f>
        <v/>
      </c>
    </row>
    <row r="2561" ht="15" customHeight="1" s="14">
      <c r="A2561" s="24" t="n">
        <v>51885</v>
      </c>
      <c r="B2561" s="24" t="inlineStr">
        <is>
          <t>DIPHENHYDRAMINE HYDROCHLORIDE SOLUTION ORAL 12.5 mg/5mL 120 mL</t>
        </is>
      </c>
      <c r="C2561" s="25">
        <f>IF(COUNTIF('کدهای پیام‌داروساز'!$A$2:$A$2442,A2561)&gt;0,"بله","خیر")</f>
        <v/>
      </c>
    </row>
    <row r="2562" ht="15" customHeight="1" s="14">
      <c r="A2562" s="24" t="n">
        <v>51886</v>
      </c>
      <c r="B2562" s="24" t="inlineStr">
        <is>
          <t>DEXTROMETHORPHAN HYDROBROMIDE SYRUP ORAL 15 mg/5mL 120 mL</t>
        </is>
      </c>
      <c r="C2562" s="25">
        <f>IF(COUNTIF('کدهای پیام‌داروساز'!$A$2:$A$2442,A2562)&gt;0,"بله","خیر")</f>
        <v/>
      </c>
    </row>
    <row r="2563" ht="15" customHeight="1" s="14">
      <c r="A2563" s="24" t="n">
        <v>51887</v>
      </c>
      <c r="B2563" s="24" t="inlineStr">
        <is>
          <t>NAPHAZOLINE HYDROCHLORIDE SPRAY NASAL 0.05 % 15 mL</t>
        </is>
      </c>
      <c r="C2563" s="25">
        <f>IF(COUNTIF('کدهای پیام‌داروساز'!$A$2:$A$2442,A2563)&gt;0,"بله","خیر")</f>
        <v/>
      </c>
    </row>
    <row r="2564" ht="15" customHeight="1" s="14">
      <c r="A2564" s="24" t="n">
        <v>51888</v>
      </c>
      <c r="B2564" s="24" t="inlineStr">
        <is>
          <t>TEMOZOLOMIDE CAPSULE ORAL 180 mg</t>
        </is>
      </c>
      <c r="C2564" s="25">
        <f>IF(COUNTIF('کدهای پیام‌داروساز'!$A$2:$A$2442,A2564)&gt;0,"بله","خیر")</f>
        <v/>
      </c>
    </row>
    <row r="2565" ht="15" customHeight="1" s="14">
      <c r="A2565" s="24" t="n">
        <v>51889</v>
      </c>
      <c r="B2565" s="24" t="inlineStr">
        <is>
          <t>CEFIXIME POWDER, FOR SUSPENSION ORAL 100 mg/5 mL 50 mL</t>
        </is>
      </c>
      <c r="C2565" s="25">
        <f>IF(COUNTIF('کدهای پیام‌داروساز'!$A$2:$A$2442,A2565)&gt;0,"بله","خیر")</f>
        <v/>
      </c>
    </row>
    <row r="2566" ht="15" customHeight="1" s="14">
      <c r="A2566" s="24" t="n">
        <v>51890</v>
      </c>
      <c r="B2566" s="24" t="inlineStr">
        <is>
          <t>FORMOTEROL FUMARATE AEROSOL, METERED RESPIRATORY 12 ug/1{dose} 60 {Puff}</t>
        </is>
      </c>
      <c r="C2566" s="25">
        <f>IF(COUNTIF('کدهای پیام‌داروساز'!$A$2:$A$2442,A2566)&gt;0,"بله","خیر")</f>
        <v/>
      </c>
    </row>
    <row r="2567" ht="15" customHeight="1" s="14">
      <c r="A2567" s="24" t="n">
        <v>51891</v>
      </c>
      <c r="B2567" s="24" t="inlineStr">
        <is>
          <t>ARTIFICIAL TEARS SOLUTION, DROPS OPHTHALMIC 0.3 % 10 mL</t>
        </is>
      </c>
      <c r="C2567" s="25">
        <f>IF(COUNTIF('کدهای پیام‌داروساز'!$A$2:$A$2442,A2567)&gt;0,"بله","خیر")</f>
        <v/>
      </c>
    </row>
    <row r="2568" ht="15" customHeight="1" s="14">
      <c r="A2568" s="24" t="n">
        <v>51892</v>
      </c>
      <c r="B2568" s="24" t="inlineStr">
        <is>
          <t>ARTIFICIAL TEARS SOLUTION, DROPS OPHTHALMIC 0.3 % 0.5 mL</t>
        </is>
      </c>
      <c r="C2568" s="25">
        <f>IF(COUNTIF('کدهای پیام‌داروساز'!$A$2:$A$2442,A2568)&gt;0,"بله","خیر")</f>
        <v/>
      </c>
    </row>
    <row r="2569" ht="15" customHeight="1" s="14">
      <c r="A2569" s="24" t="n">
        <v>51893</v>
      </c>
      <c r="B2569" s="24" t="inlineStr">
        <is>
          <t>MIGLUSTAT CAPSULE ORAL 100 mg</t>
        </is>
      </c>
      <c r="C2569" s="25">
        <f>IF(COUNTIF('کدهای پیام‌داروساز'!$A$2:$A$2442,A2569)&gt;0,"بله","خیر")</f>
        <v/>
      </c>
    </row>
    <row r="2570" ht="15" customHeight="1" s="14">
      <c r="A2570" s="24" t="n">
        <v>51894</v>
      </c>
      <c r="B2570" s="24" t="inlineStr">
        <is>
          <t>GUAIFENESIN / CHLORPHENIRAMINE / PHENYLEPHRINE SYRUP ORAL 100 mg/2 mg/5 mg/5mL 60 mL</t>
        </is>
      </c>
      <c r="C2570" s="25">
        <f>IF(COUNTIF('کدهای پیام‌داروساز'!$A$2:$A$2442,A2570)&gt;0,"بله","خیر")</f>
        <v/>
      </c>
    </row>
    <row r="2571" ht="15" customHeight="1" s="14">
      <c r="A2571" s="24" t="n">
        <v>51895</v>
      </c>
      <c r="B2571" s="24" t="inlineStr">
        <is>
          <t>L-CARNITINE SOLUTION ORAL 100 mg/1mL 10 mL</t>
        </is>
      </c>
      <c r="C2571" s="25">
        <f>IF(COUNTIF('کدهای پیام‌داروساز'!$A$2:$A$2442,A2571)&gt;0,"بله","خیر")</f>
        <v/>
      </c>
    </row>
    <row r="2572" ht="15" customHeight="1" s="14">
      <c r="A2572" s="24" t="n">
        <v>51896</v>
      </c>
      <c r="B2572" s="24" t="inlineStr">
        <is>
          <t>FUROSEMIDE INJECTION INTRAVENOUS 10 mg/1mL 2 mL</t>
        </is>
      </c>
      <c r="C2572" s="25">
        <f>IF(COUNTIF('کدهای پیام‌داروساز'!$A$2:$A$2442,A2572)&gt;0,"بله","خیر")</f>
        <v/>
      </c>
    </row>
    <row r="2573" ht="15" customHeight="1" s="14">
      <c r="A2573" s="24" t="n">
        <v>51897</v>
      </c>
      <c r="B2573" s="24" t="inlineStr">
        <is>
          <t>POTASSIUM CHLORIDE CAPSULE, EXTENDED RELEASE ORAL 600 mg</t>
        </is>
      </c>
      <c r="C2573" s="25">
        <f>IF(COUNTIF('کدهای پیام‌داروساز'!$A$2:$A$2442,A2573)&gt;0,"بله","خیر")</f>
        <v/>
      </c>
    </row>
    <row r="2574" ht="15" customHeight="1" s="14">
      <c r="A2574" s="24" t="n">
        <v>51899</v>
      </c>
      <c r="B2574" s="24" t="inlineStr">
        <is>
          <t>HYDROXOCOBALAMIN INJECTION PARENTERAL 5 mg/1mL 2 mL</t>
        </is>
      </c>
      <c r="C2574" s="25">
        <f>IF(COUNTIF('کدهای پیام‌داروساز'!$A$2:$A$2442,A2574)&gt;0,"بله","خیر")</f>
        <v/>
      </c>
    </row>
    <row r="2575" ht="15" customHeight="1" s="14">
      <c r="A2575" s="24" t="n">
        <v>51900</v>
      </c>
      <c r="B2575" s="24" t="inlineStr">
        <is>
          <t>ARTIFICIAL TEARS (HYALURONATE SODIUM) SOLUTION, DROPS OPHTHALMIC 0.15 % 0.35 mL</t>
        </is>
      </c>
      <c r="C2575" s="25">
        <f>IF(COUNTIF('کدهای پیام‌داروساز'!$A$2:$A$2442,A2575)&gt;0,"بله","خیر")</f>
        <v/>
      </c>
    </row>
    <row r="2576" ht="15" customHeight="1" s="14">
      <c r="A2576" s="24" t="n">
        <v>51901</v>
      </c>
      <c r="B2576" s="24" t="inlineStr">
        <is>
          <t>POTASSIUM CITRATE TABLET ORAL 5 meq</t>
        </is>
      </c>
      <c r="C2576" s="25">
        <f>IF(COUNTIF('کدهای پیام‌داروساز'!$A$2:$A$2442,A2576)&gt;0,"بله","خیر")</f>
        <v/>
      </c>
    </row>
    <row r="2577" ht="15" customHeight="1" s="14">
      <c r="A2577" s="24" t="n">
        <v>51903</v>
      </c>
      <c r="B2577" s="24" t="inlineStr">
        <is>
          <t>CLARITHROMYCIN POWDER, FOR SUSPENSION ORAL 125 mg/5 mL 60 mL</t>
        </is>
      </c>
      <c r="C2577" s="25">
        <f>IF(COUNTIF('کدهای پیام‌داروساز'!$A$2:$A$2442,A2577)&gt;0,"بله","خیر")</f>
        <v/>
      </c>
    </row>
    <row r="2578" ht="15" customHeight="1" s="14">
      <c r="A2578" s="24" t="n">
        <v>51904</v>
      </c>
      <c r="B2578" s="24" t="inlineStr">
        <is>
          <t>ARTIFICIAL TEARS (HYALURONATE SODIUM) SOLUTION, DROPS OPHTHALMIC 0.4 % 0.5 mL</t>
        </is>
      </c>
      <c r="C2578" s="25">
        <f>IF(COUNTIF('کدهای پیام‌داروساز'!$A$2:$A$2442,A2578)&gt;0,"بله","خیر")</f>
        <v/>
      </c>
    </row>
    <row r="2579" ht="15" customHeight="1" s="14">
      <c r="A2579" s="24" t="n">
        <v>51905</v>
      </c>
      <c r="B2579" s="24" t="inlineStr">
        <is>
          <t>ARTIFICIAL TEARS (HYALURONATE SODIUM / TS-POLYSACCARIDE) SOLUTION, DROPS OPHTHALMIC 0.2 %/0.2 % 0.5 mL</t>
        </is>
      </c>
      <c r="C2579" s="25">
        <f>IF(COUNTIF('کدهای پیام‌داروساز'!$A$2:$A$2442,A2579)&gt;0,"بله","خیر")</f>
        <v/>
      </c>
    </row>
    <row r="2580" ht="15" customHeight="1" s="14">
      <c r="A2580" s="24" t="n">
        <v>51906</v>
      </c>
      <c r="B2580" s="24" t="inlineStr">
        <is>
          <t>ARTIFICIAL TEARS (HYALURONATE SODIUM / TS-POLYSACCARIDE) SOLUTION, DROPS OPHTHALMIC 0.2 %/0.2 % 10 mL</t>
        </is>
      </c>
      <c r="C2580" s="25">
        <f>IF(COUNTIF('کدهای پیام‌داروساز'!$A$2:$A$2442,A2580)&gt;0,"بله","خیر")</f>
        <v/>
      </c>
    </row>
    <row r="2581" ht="15" customHeight="1" s="14">
      <c r="A2581" s="24" t="n">
        <v>51907</v>
      </c>
      <c r="B2581" s="24" t="inlineStr">
        <is>
          <t>ARTIFICIAL TEARS (HYALURONATE SODIUM) SOLUTION, DROPS OPHTHALMIC 0.4 % 10 mL</t>
        </is>
      </c>
      <c r="C2581" s="25">
        <f>IF(COUNTIF('کدهای پیام‌داروساز'!$A$2:$A$2442,A2581)&gt;0,"بله","خیر")</f>
        <v/>
      </c>
    </row>
    <row r="2582" ht="15" customHeight="1" s="14">
      <c r="A2582" s="24" t="n">
        <v>51908</v>
      </c>
      <c r="B2582" s="24" t="inlineStr">
        <is>
          <t>DICLOFENAC EPOLAMINE PATCH TOPICAL 1.3 %</t>
        </is>
      </c>
      <c r="C2582" s="25">
        <f>IF(COUNTIF('کدهای پیام‌داروساز'!$A$2:$A$2442,A2582)&gt;0,"بله","خیر")</f>
        <v/>
      </c>
    </row>
    <row r="2583" ht="15" customHeight="1" s="14">
      <c r="A2583" s="24" t="n">
        <v>51909</v>
      </c>
      <c r="B2583" s="24" t="inlineStr">
        <is>
          <t>OXYMETAZOLINE HYDROCHLORIDE SPRAY NASAL 0.1 % 15 mL</t>
        </is>
      </c>
      <c r="C2583" s="25">
        <f>IF(COUNTIF('کدهای پیام‌داروساز'!$A$2:$A$2442,A2583)&gt;0,"بله","خیر")</f>
        <v/>
      </c>
    </row>
    <row r="2584" ht="15" customHeight="1" s="14">
      <c r="A2584" s="24" t="n">
        <v>51911</v>
      </c>
      <c r="B2584" s="24" t="inlineStr">
        <is>
          <t>SODIUM CHLORIDE SPRAY NASAL 0.65 % 25 mL</t>
        </is>
      </c>
      <c r="C2584" s="25">
        <f>IF(COUNTIF('کدهای پیام‌داروساز'!$A$2:$A$2442,A2584)&gt;0,"بله","خیر")</f>
        <v/>
      </c>
    </row>
    <row r="2585" ht="15" customHeight="1" s="14">
      <c r="A2585" s="24" t="n">
        <v>51912</v>
      </c>
      <c r="B2585" s="24" t="inlineStr">
        <is>
          <t>CLOBETASOL PROPIONATE OINTMENT TOPICAL 0.05 % 100 g</t>
        </is>
      </c>
      <c r="C2585" s="25">
        <f>IF(COUNTIF('کدهای پیام‌داروساز'!$A$2:$A$2442,A2585)&gt;0,"بله","خیر")</f>
        <v/>
      </c>
    </row>
    <row r="2586" ht="15" customHeight="1" s="14">
      <c r="A2586" s="24" t="n">
        <v>51913</v>
      </c>
      <c r="B2586" s="24" t="inlineStr">
        <is>
          <t>BETAMETHASONE (AS VALERATE) OINTMENT TOPICAL 0.1 % 500 g</t>
        </is>
      </c>
      <c r="C2586" s="25">
        <f>IF(COUNTIF('کدهای پیام‌داروساز'!$A$2:$A$2442,A2586)&gt;0,"بله","خیر")</f>
        <v/>
      </c>
    </row>
    <row r="2587" ht="15" customHeight="1" s="14">
      <c r="A2587" s="24" t="n">
        <v>51914</v>
      </c>
      <c r="B2587" s="24" t="inlineStr">
        <is>
          <t>ACETYLCYSTEINE INJECTION PARENTERAL 200 mg/1mL 10 mL</t>
        </is>
      </c>
      <c r="C2587" s="25">
        <f>IF(COUNTIF('کدهای پیام‌داروساز'!$A$2:$A$2442,A2587)&gt;0,"بله","خیر")</f>
        <v/>
      </c>
    </row>
    <row r="2588" ht="15" customHeight="1" s="14">
      <c r="A2588" s="24" t="n">
        <v>51915</v>
      </c>
      <c r="B2588" s="24" t="inlineStr">
        <is>
          <t>ACETAMINOPHEN / CHLORPHENIRAMINE / DEXTROMETHORPHAN / PHENYLEPHRINE SYRUP ORAL 160 mg/1 mg/5 mg/2.5 mg/5mL 60 mL</t>
        </is>
      </c>
      <c r="C2588" s="25">
        <f>IF(COUNTIF('کدهای پیام‌داروساز'!$A$2:$A$2442,A2588)&gt;0,"بله","خیر")</f>
        <v/>
      </c>
    </row>
    <row r="2589" ht="15" customHeight="1" s="14">
      <c r="A2589" s="24" t="n">
        <v>51916</v>
      </c>
      <c r="B2589" s="24" t="inlineStr">
        <is>
          <t>PANCREATIN CAPSULE, DELAYED RELEASE PELLETS ORAL 40000 [iU]</t>
        </is>
      </c>
      <c r="C2589" s="25">
        <f>IF(COUNTIF('کدهای پیام‌داروساز'!$A$2:$A$2442,A2589)&gt;0,"بله","خیر")</f>
        <v/>
      </c>
    </row>
    <row r="2590" ht="15" customHeight="1" s="14">
      <c r="A2590" s="24" t="n">
        <v>51917</v>
      </c>
      <c r="B2590" s="24" t="inlineStr">
        <is>
          <t>LATANOPROST SOLUTION, DROPS OPHTHALMIC 50 ug/1mL 5 mL</t>
        </is>
      </c>
      <c r="C2590" s="25">
        <f>IF(COUNTIF('کدهای پیام‌داروساز'!$A$2:$A$2442,A2590)&gt;0,"بله","خیر")</f>
        <v/>
      </c>
    </row>
    <row r="2591" ht="15" customHeight="1" s="14">
      <c r="A2591" s="24" t="n">
        <v>51918</v>
      </c>
      <c r="B2591" s="24" t="inlineStr">
        <is>
          <t>TESTOSTERONE UNDECANOATE INJECTION, SOLUTION PARENTERAL 250 mg/1mL 4 mL</t>
        </is>
      </c>
      <c r="C2591" s="25">
        <f>IF(COUNTIF('کدهای پیام‌داروساز'!$A$2:$A$2442,A2591)&gt;0,"بله","خیر")</f>
        <v/>
      </c>
    </row>
    <row r="2592" ht="15" customHeight="1" s="14">
      <c r="A2592" s="24" t="n">
        <v>51919</v>
      </c>
      <c r="B2592" s="24" t="inlineStr">
        <is>
          <t>FUSIDATE SODIUM OINTMENT TOPICAL 2 % 30 g</t>
        </is>
      </c>
      <c r="C2592" s="25">
        <f>IF(COUNTIF('کدهای پیام‌داروساز'!$A$2:$A$2442,A2592)&gt;0,"بله","خیر")</f>
        <v/>
      </c>
    </row>
    <row r="2593" ht="15" customHeight="1" s="14">
      <c r="A2593" s="24" t="n">
        <v>51920</v>
      </c>
      <c r="B2593" s="24" t="inlineStr">
        <is>
          <t>METHYLENE BLUE INJECTION PARENTERAL 10 mg/1mL 1 mL</t>
        </is>
      </c>
      <c r="C2593" s="25">
        <f>IF(COUNTIF('کدهای پیام‌داروساز'!$A$2:$A$2442,A2593)&gt;0,"بله","خیر")</f>
        <v/>
      </c>
    </row>
    <row r="2594" ht="15" customHeight="1" s="14">
      <c r="A2594" s="24" t="n">
        <v>51922</v>
      </c>
      <c r="B2594" s="24" t="inlineStr">
        <is>
          <t>VISMODEGIB CAPSULE ORAL 150 mg</t>
        </is>
      </c>
      <c r="C2594" s="25">
        <f>IF(COUNTIF('کدهای پیام‌داروساز'!$A$2:$A$2442,A2594)&gt;0,"بله","خیر")</f>
        <v/>
      </c>
    </row>
    <row r="2595" ht="15" customHeight="1" s="14">
      <c r="A2595" s="24" t="n">
        <v>51923</v>
      </c>
      <c r="B2595" s="24" t="inlineStr">
        <is>
          <t>DEXAMETHASONE TABLET ORAL 4 mg</t>
        </is>
      </c>
      <c r="C2595" s="25">
        <f>IF(COUNTIF('کدهای پیام‌داروساز'!$A$2:$A$2442,A2595)&gt;0,"بله","خیر")</f>
        <v/>
      </c>
    </row>
    <row r="2596" ht="15" customHeight="1" s="14">
      <c r="A2596" s="24" t="n">
        <v>51924</v>
      </c>
      <c r="B2596" s="24" t="inlineStr">
        <is>
          <t>CETIRIZINE HYDROCHLORIDE SYRUP ORAL 1 mg/1mL 120 mL</t>
        </is>
      </c>
      <c r="C2596" s="25">
        <f>IF(COUNTIF('کدهای پیام‌داروساز'!$A$2:$A$2442,A2596)&gt;0,"بله","خیر")</f>
        <v/>
      </c>
    </row>
    <row r="2597" ht="15" customHeight="1" s="14">
      <c r="A2597" s="24" t="n">
        <v>51925</v>
      </c>
      <c r="B2597" s="24" t="inlineStr">
        <is>
          <t>FUSIDIC ACID CREAM TOPICAL 2 % 15 g</t>
        </is>
      </c>
      <c r="C2597" s="25">
        <f>IF(COUNTIF('کدهای پیام‌داروساز'!$A$2:$A$2442,A2597)&gt;0,"بله","خیر")</f>
        <v/>
      </c>
    </row>
    <row r="2598" ht="15" customHeight="1" s="14">
      <c r="A2598" s="24" t="n">
        <v>51926</v>
      </c>
      <c r="B2598" s="24" t="inlineStr">
        <is>
          <t>FUSIDIC ACID CREAM TOPICAL 2 % 30 g</t>
        </is>
      </c>
      <c r="C2598" s="25">
        <f>IF(COUNTIF('کدهای پیام‌داروساز'!$A$2:$A$2442,A2598)&gt;0,"بله","خیر")</f>
        <v/>
      </c>
    </row>
    <row r="2599" ht="15" customHeight="1" s="14">
      <c r="A2599" s="24" t="n">
        <v>51928</v>
      </c>
      <c r="B2599" s="24" t="inlineStr">
        <is>
          <t>SODIUM CHLORIDE INJECTION, SOLUTION INTRAVENOUS 5 % 5 mL</t>
        </is>
      </c>
      <c r="C2599" s="25">
        <f>IF(COUNTIF('کدهای پیام‌داروساز'!$A$2:$A$2442,A2599)&gt;0,"بله","خیر")</f>
        <v/>
      </c>
    </row>
    <row r="2600" ht="15" customHeight="1" s="14">
      <c r="A2600" s="24" t="n">
        <v>51934</v>
      </c>
      <c r="B2600" s="24" t="inlineStr">
        <is>
          <t>LIDOCAINE PATCH TOPICAL 5 %</t>
        </is>
      </c>
      <c r="C2600" s="25">
        <f>IF(COUNTIF('کدهای پیام‌داروساز'!$A$2:$A$2442,A2600)&gt;0,"بله","خیر")</f>
        <v/>
      </c>
    </row>
    <row r="2601" ht="15" customHeight="1" s="14">
      <c r="A2601" s="24" t="n">
        <v>51935</v>
      </c>
      <c r="B2601" s="24" t="inlineStr">
        <is>
          <t>LACTULOSE SYRUP ORAL 10 g/15mL 15 mL</t>
        </is>
      </c>
      <c r="C2601" s="25">
        <f>IF(COUNTIF('کدهای پیام‌داروساز'!$A$2:$A$2442,A2601)&gt;0,"بله","خیر")</f>
        <v/>
      </c>
    </row>
    <row r="2602" ht="15" customHeight="1" s="14">
      <c r="A2602" s="24" t="n">
        <v>51936</v>
      </c>
      <c r="B2602" s="24" t="inlineStr">
        <is>
          <t>PEGFILGRASTIM INJECTION, SOLUTION PARENTERAL 10 mg/1mL 0.3 mL</t>
        </is>
      </c>
      <c r="C2602" s="25">
        <f>IF(COUNTIF('کدهای پیام‌داروساز'!$A$2:$A$2442,A2602)&gt;0,"بله","خیر")</f>
        <v/>
      </c>
    </row>
    <row r="2603" ht="15" customHeight="1" s="14">
      <c r="A2603" s="24" t="n">
        <v>51937</v>
      </c>
      <c r="B2603" s="24" t="inlineStr">
        <is>
          <t>TRIPTORELIN (AS ACETATE) INJECTION, POWDER, LYOPHILIZED, FOR SUSPENSION, EXTENDED RELEASE PARENTERAL 11.25 mg</t>
        </is>
      </c>
      <c r="C2603" s="25">
        <f>IF(COUNTIF('کدهای پیام‌داروساز'!$A$2:$A$2442,A2603)&gt;0,"بله","خیر")</f>
        <v/>
      </c>
    </row>
    <row r="2604" ht="15" customHeight="1" s="14">
      <c r="A2604" s="24" t="n">
        <v>51939</v>
      </c>
      <c r="B2604" s="24" t="inlineStr">
        <is>
          <t>SODIUM BICARBONATE INJECTION PARENTERAL 8.4 % 10 mL</t>
        </is>
      </c>
      <c r="C2604" s="25">
        <f>IF(COUNTIF('کدهای پیام‌داروساز'!$A$2:$A$2442,A2604)&gt;0,"بله","خیر")</f>
        <v/>
      </c>
    </row>
    <row r="2605" ht="15" customHeight="1" s="14">
      <c r="A2605" s="24" t="n">
        <v>51940</v>
      </c>
      <c r="B2605" s="24" t="inlineStr">
        <is>
          <t>CODEINE PHOSPHATE / GUAIFENESIN / PHENYLEPHRINE SYRUP ORAL 10 mg/100 mg/5 mg/5mL 60 mL</t>
        </is>
      </c>
      <c r="C2605" s="25">
        <f>IF(COUNTIF('کدهای پیام‌داروساز'!$A$2:$A$2442,A2605)&gt;0,"بله","خیر")</f>
        <v/>
      </c>
    </row>
    <row r="2606" ht="15" customHeight="1" s="14">
      <c r="A2606" s="24" t="n">
        <v>51941</v>
      </c>
      <c r="B2606" s="24" t="inlineStr">
        <is>
          <t>FLUTICASONE PROPIONATE SPRAY NASAL 50 ug/1{Puff} 60 {Puff}</t>
        </is>
      </c>
      <c r="C2606" s="25">
        <f>IF(COUNTIF('کدهای پیام‌داروساز'!$A$2:$A$2442,A2606)&gt;0,"بله","خیر")</f>
        <v/>
      </c>
    </row>
    <row r="2607" ht="15" customHeight="1" s="14">
      <c r="A2607" s="24" t="n">
        <v>51942</v>
      </c>
      <c r="B2607" s="24" t="inlineStr">
        <is>
          <t>SILDENAFIL CITRATE GEL TOPICAL 1 % 15 g</t>
        </is>
      </c>
      <c r="C2607" s="25">
        <f>IF(COUNTIF('کدهای پیام‌داروساز'!$A$2:$A$2442,A2607)&gt;0,"بله","خیر")</f>
        <v/>
      </c>
    </row>
    <row r="2608" ht="15" customHeight="1" s="14">
      <c r="A2608" s="24" t="n">
        <v>51943</v>
      </c>
      <c r="B2608" s="24" t="inlineStr">
        <is>
          <t>SIMPLE EYE OINTMENT OPHTHALMIC  3.5 g</t>
        </is>
      </c>
      <c r="C2608" s="25">
        <f>IF(COUNTIF('کدهای پیام‌داروساز'!$A$2:$A$2442,A2608)&gt;0,"بله","خیر")</f>
        <v/>
      </c>
    </row>
    <row r="2609" ht="15" customHeight="1" s="14">
      <c r="A2609" s="24" t="n">
        <v>51945</v>
      </c>
      <c r="B2609" s="24" t="inlineStr">
        <is>
          <t>BEDAQUILINE TABLET ORAL 100 mg</t>
        </is>
      </c>
      <c r="C2609" s="25">
        <f>IF(COUNTIF('کدهای پیام‌داروساز'!$A$2:$A$2442,A2609)&gt;0,"بله","خیر")</f>
        <v/>
      </c>
    </row>
    <row r="2610" ht="15" customHeight="1" s="14">
      <c r="A2610" s="24" t="n">
        <v>51946</v>
      </c>
      <c r="B2610" s="24" t="inlineStr">
        <is>
          <t>ATAZANAVIR / RITONAVIR TABLET ORAL 300 mg/100 mg</t>
        </is>
      </c>
      <c r="C2610" s="25">
        <f>IF(COUNTIF('کدهای پیام‌داروساز'!$A$2:$A$2442,A2610)&gt;0,"بله","خیر")</f>
        <v/>
      </c>
    </row>
    <row r="2611" ht="15" customHeight="1" s="14">
      <c r="A2611" s="24" t="n">
        <v>51947</v>
      </c>
      <c r="B2611" s="24" t="n"/>
      <c r="C2611" s="25">
        <f>IF(COUNTIF('کدهای پیام‌داروساز'!$A$2:$A$2442,A2611)&gt;0,"بله","خیر")</f>
        <v/>
      </c>
    </row>
    <row r="2612" ht="15" customHeight="1" s="14">
      <c r="A2612" s="24" t="n">
        <v>51948</v>
      </c>
      <c r="B2612" s="24" t="inlineStr">
        <is>
          <t>DOLUTEGRAVIR TABLET ORAL 50 mg</t>
        </is>
      </c>
      <c r="C2612" s="25">
        <f>IF(COUNTIF('کدهای پیام‌داروساز'!$A$2:$A$2442,A2612)&gt;0,"بله","خیر")</f>
        <v/>
      </c>
    </row>
    <row r="2613" ht="15" customHeight="1" s="14">
      <c r="A2613" s="24" t="n">
        <v>51949</v>
      </c>
      <c r="B2613" s="24" t="inlineStr">
        <is>
          <t>QUININE SULFATE TABLET ORAL 300 mg</t>
        </is>
      </c>
      <c r="C2613" s="25">
        <f>IF(COUNTIF('کدهای پیام‌داروساز'!$A$2:$A$2442,A2613)&gt;0,"بله","خیر")</f>
        <v/>
      </c>
    </row>
    <row r="2614" ht="15" customHeight="1" s="14">
      <c r="A2614" s="24" t="n">
        <v>51950</v>
      </c>
      <c r="B2614" s="24" t="inlineStr">
        <is>
          <t>CHLOROQUINE PHOSPHATE SOLUTION ORAL 80 mg/5mL 60 mL</t>
        </is>
      </c>
      <c r="C2614" s="25">
        <f>IF(COUNTIF('کدهای پیام‌داروساز'!$A$2:$A$2442,A2614)&gt;0,"بله","خیر")</f>
        <v/>
      </c>
    </row>
    <row r="2615" ht="15" customHeight="1" s="14">
      <c r="A2615" s="24" t="n">
        <v>51951</v>
      </c>
      <c r="B2615" s="24" t="inlineStr">
        <is>
          <t>FACTOR IX INJECTION, POWDER, LYOPHILIZED, FOR SOLUTION PARENTERAL 600 [iU]</t>
        </is>
      </c>
      <c r="C2615" s="25">
        <f>IF(COUNTIF('کدهای پیام‌داروساز'!$A$2:$A$2442,A2615)&gt;0,"بله","خیر")</f>
        <v/>
      </c>
    </row>
    <row r="2616" ht="15" customHeight="1" s="14">
      <c r="A2616" s="24" t="n">
        <v>51952</v>
      </c>
      <c r="B2616" s="24" t="inlineStr">
        <is>
          <t>ADULT COLD PREPARATIONS (7-23) TABLET ORAL 15 mg/2 mg/5 mg/500 mg</t>
        </is>
      </c>
      <c r="C2616" s="25">
        <f>IF(COUNTIF('کدهای پیام‌داروساز'!$A$2:$A$2442,A2616)&gt;0,"بله","خیر")</f>
        <v/>
      </c>
    </row>
    <row r="2617" ht="15" customHeight="1" s="14">
      <c r="A2617" s="24" t="n">
        <v>51953</v>
      </c>
      <c r="B2617" s="24" t="inlineStr">
        <is>
          <t>DEFERASIROX TABLET ORAL 90 mg</t>
        </is>
      </c>
      <c r="C2617" s="25">
        <f>IF(COUNTIF('کدهای پیام‌داروساز'!$A$2:$A$2442,A2617)&gt;0,"بله","خیر")</f>
        <v/>
      </c>
    </row>
    <row r="2618" ht="15" customHeight="1" s="14">
      <c r="A2618" s="24" t="n">
        <v>51954</v>
      </c>
      <c r="B2618" s="24" t="inlineStr">
        <is>
          <t>DEFERASIROX TABLET ORAL 180 mg</t>
        </is>
      </c>
      <c r="C2618" s="25">
        <f>IF(COUNTIF('کدهای پیام‌داروساز'!$A$2:$A$2442,A2618)&gt;0,"بله","خیر")</f>
        <v/>
      </c>
    </row>
    <row r="2619" ht="15" customHeight="1" s="14">
      <c r="A2619" s="24" t="n">
        <v>51955</v>
      </c>
      <c r="B2619" s="24" t="inlineStr">
        <is>
          <t>DEFERASIROX TABLET ORAL 360 mg</t>
        </is>
      </c>
      <c r="C2619" s="25">
        <f>IF(COUNTIF('کدهای پیام‌داروساز'!$A$2:$A$2442,A2619)&gt;0,"بله","خیر")</f>
        <v/>
      </c>
    </row>
    <row r="2620" ht="15" customHeight="1" s="14">
      <c r="A2620" s="24" t="n">
        <v>51956</v>
      </c>
      <c r="B2620" s="24" t="inlineStr">
        <is>
          <t>MOMETASONE FUROATE SPRAY, SUSPENSION NASAL 0.05 % 14 mL</t>
        </is>
      </c>
      <c r="C2620" s="25">
        <f>IF(COUNTIF('کدهای پیام‌داروساز'!$A$2:$A$2442,A2620)&gt;0,"بله","خیر")</f>
        <v/>
      </c>
    </row>
    <row r="2621" ht="15" customHeight="1" s="14">
      <c r="A2621" s="24" t="n">
        <v>51957</v>
      </c>
      <c r="B2621" s="24" t="inlineStr">
        <is>
          <t>EPOETIN INJECTION PARENTERAL 10000 [iU]/1mL 0.4 mL</t>
        </is>
      </c>
      <c r="C2621" s="25">
        <f>IF(COUNTIF('کدهای پیام‌داروساز'!$A$2:$A$2442,A2621)&gt;0,"بله","خیر")</f>
        <v/>
      </c>
    </row>
    <row r="2622" ht="15" customHeight="1" s="14">
      <c r="A2622" s="24" t="n">
        <v>51958</v>
      </c>
      <c r="B2622" s="24" t="inlineStr">
        <is>
          <t>POLYETHYLENE GLYCOL - ELECTROLYTE 1 POWDER, FOR SOLUTION ORAL 13.125 g/0.3507 g/0.1785 g/0.0466 g 13.87 g</t>
        </is>
      </c>
      <c r="C2622" s="25">
        <f>IF(COUNTIF('کدهای پیام‌داروساز'!$A$2:$A$2442,A2622)&gt;0,"بله","خیر")</f>
        <v/>
      </c>
    </row>
    <row r="2623" ht="15" customHeight="1" s="14">
      <c r="A2623" s="24" t="n">
        <v>51960</v>
      </c>
      <c r="B2623" s="24" t="inlineStr">
        <is>
          <t>AZITHROMYCIN POWDER, FOR SUSPENSION ORAL 100 mg/5mL 30 mL</t>
        </is>
      </c>
      <c r="C2623" s="25">
        <f>IF(COUNTIF('کدهای پیام‌داروساز'!$A$2:$A$2442,A2623)&gt;0,"بله","خیر")</f>
        <v/>
      </c>
    </row>
    <row r="2624" ht="15" customHeight="1" s="14">
      <c r="A2624" s="24" t="n">
        <v>51961</v>
      </c>
      <c r="B2624" s="24" t="inlineStr">
        <is>
          <t>SUGAMMADEX (AS SODIUM) INJECTION, SOLUTION PARENTERAL 100 mg/1mL 2 mL</t>
        </is>
      </c>
      <c r="C2624" s="25">
        <f>IF(COUNTIF('کدهای پیام‌داروساز'!$A$2:$A$2442,A2624)&gt;0,"بله","خیر")</f>
        <v/>
      </c>
    </row>
    <row r="2625" ht="15" customHeight="1" s="14">
      <c r="A2625" s="24" t="n">
        <v>51962</v>
      </c>
      <c r="B2625" s="24" t="inlineStr">
        <is>
          <t>LEVODOPA / CARBIDOPA / ENTACAPONE TABLET ORAL 200 mg/50 mg/200 mg</t>
        </is>
      </c>
      <c r="C2625" s="25">
        <f>IF(COUNTIF('کدهای پیام‌داروساز'!$A$2:$A$2442,A2625)&gt;0,"بله","خیر")</f>
        <v/>
      </c>
    </row>
    <row r="2626" ht="15" customHeight="1" s="14">
      <c r="A2626" s="24" t="n">
        <v>51964</v>
      </c>
      <c r="B2626" s="24" t="inlineStr">
        <is>
          <t>PIMOZIDE TABLET ORAL 1 mg</t>
        </is>
      </c>
      <c r="C2626" s="25">
        <f>IF(COUNTIF('کدهای پیام‌داروساز'!$A$2:$A$2442,A2626)&gt;0,"بله","خیر")</f>
        <v/>
      </c>
    </row>
    <row r="2627" ht="15" customHeight="1" s="14">
      <c r="A2627" s="24" t="n">
        <v>51965</v>
      </c>
      <c r="B2627" s="24" t="inlineStr">
        <is>
          <t>ADULT COLD PREPARATIONS (4-4) TABLET ORAL 325 mg/10 mg/25 mg</t>
        </is>
      </c>
      <c r="C2627" s="25">
        <f>IF(COUNTIF('کدهای پیام‌داروساز'!$A$2:$A$2442,A2627)&gt;0,"بله","خیر")</f>
        <v/>
      </c>
    </row>
    <row r="2628" ht="15" customHeight="1" s="14">
      <c r="A2628" s="24" t="n">
        <v>51966</v>
      </c>
      <c r="B2628" s="24" t="inlineStr">
        <is>
          <t>ROPIVACAINE HYDROCHLORIDE INJECTION, SOLUTION PARENTERAL 7.5 mg/1mL 10 mL</t>
        </is>
      </c>
      <c r="C2628" s="25">
        <f>IF(COUNTIF('کدهای پیام‌داروساز'!$A$2:$A$2442,A2628)&gt;0,"بله","خیر")</f>
        <v/>
      </c>
    </row>
    <row r="2629" ht="15" customHeight="1" s="14">
      <c r="A2629" s="24" t="n">
        <v>51967</v>
      </c>
      <c r="B2629" s="24" t="inlineStr">
        <is>
          <t>ROPIVACAINE HYDROCHLORIDE INJECTION, SOLUTION PARENTERAL 7.5 mg/1mL 20 mL</t>
        </is>
      </c>
      <c r="C2629" s="25">
        <f>IF(COUNTIF('کدهای پیام‌داروساز'!$A$2:$A$2442,A2629)&gt;0,"بله","خیر")</f>
        <v/>
      </c>
    </row>
    <row r="2630" ht="15" customHeight="1" s="14">
      <c r="A2630" s="24" t="n">
        <v>51968</v>
      </c>
      <c r="B2630" s="24" t="inlineStr">
        <is>
          <t>ROPIVACAINE HYDROCHLORIDE INJECTION, SOLUTION PARENTERAL 10 mg/1mL 10 mL</t>
        </is>
      </c>
      <c r="C2630" s="25">
        <f>IF(COUNTIF('کدهای پیام‌داروساز'!$A$2:$A$2442,A2630)&gt;0,"بله","خیر")</f>
        <v/>
      </c>
    </row>
    <row r="2631" ht="15" customHeight="1" s="14">
      <c r="A2631" s="24" t="n">
        <v>51969</v>
      </c>
      <c r="B2631" s="24" t="inlineStr">
        <is>
          <t>ROPIVACAINE HYDROCHLORIDE INJECTION, SOLUTION PARENTERAL 10 mg/1mL 20 mL</t>
        </is>
      </c>
      <c r="C2631" s="25">
        <f>IF(COUNTIF('کدهای پیام‌داروساز'!$A$2:$A$2442,A2631)&gt;0,"بله","خیر")</f>
        <v/>
      </c>
    </row>
    <row r="2632" ht="15" customHeight="1" s="14">
      <c r="A2632" s="24" t="n">
        <v>51970</v>
      </c>
      <c r="B2632" s="24" t="inlineStr">
        <is>
          <t>DAPOXETINE (AS HYDROCHLORIDE) TABLET ORAL 60 mg</t>
        </is>
      </c>
      <c r="C2632" s="25">
        <f>IF(COUNTIF('کدهای پیام‌داروساز'!$A$2:$A$2442,A2632)&gt;0,"بله","خیر")</f>
        <v/>
      </c>
    </row>
    <row r="2633" ht="15" customHeight="1" s="14">
      <c r="A2633" s="24" t="n">
        <v>51971</v>
      </c>
      <c r="B2633" s="24" t="inlineStr">
        <is>
          <t>CEFIXIME POWDER, FOR SUSPENSION ORAL 200 mg/5 mL 50 mL</t>
        </is>
      </c>
      <c r="C2633" s="25">
        <f>IF(COUNTIF('کدهای پیام‌داروساز'!$A$2:$A$2442,A2633)&gt;0,"بله","خیر")</f>
        <v/>
      </c>
    </row>
    <row r="2634" ht="15" customHeight="1" s="14">
      <c r="A2634" s="24" t="n">
        <v>51973</v>
      </c>
      <c r="B2634" s="24" t="inlineStr">
        <is>
          <t>APOMORPHINE HYDROCHLORIDE INJECTION PARENTERAL 5 mg/1mL 20 mL</t>
        </is>
      </c>
      <c r="C2634" s="25">
        <f>IF(COUNTIF('کدهای پیام‌داروساز'!$A$2:$A$2442,A2634)&gt;0,"بله","خیر")</f>
        <v/>
      </c>
    </row>
    <row r="2635" ht="15" customHeight="1" s="14">
      <c r="A2635" s="24" t="n">
        <v>51974</v>
      </c>
      <c r="B2635" s="24" t="inlineStr">
        <is>
          <t>HEPATITIS A, INACTIVATED, WHOLE VIRUS INJECTION, SUSPENSION PARENTERAL 50 [iU]/1mL</t>
        </is>
      </c>
      <c r="C2635" s="25">
        <f>IF(COUNTIF('کدهای پیام‌داروساز'!$A$2:$A$2442,A2635)&gt;0,"بله","خیر")</f>
        <v/>
      </c>
    </row>
    <row r="2636" ht="15" customHeight="1" s="14">
      <c r="A2636" s="24" t="n">
        <v>51975</v>
      </c>
      <c r="B2636" s="24" t="inlineStr">
        <is>
          <t>KETAMINE (AS HYDROCHLORIDE) INJECTION PARENTERAL 50 mg/1mL 2 mL</t>
        </is>
      </c>
      <c r="C2636" s="25">
        <f>IF(COUNTIF('کدهای پیام‌داروساز'!$A$2:$A$2442,A2636)&gt;0,"بله","خیر")</f>
        <v/>
      </c>
    </row>
    <row r="2637" ht="15" customHeight="1" s="14">
      <c r="A2637" s="24" t="n">
        <v>51976</v>
      </c>
      <c r="B2637" s="24" t="inlineStr">
        <is>
          <t>TENOFOVIR ALAFENAMIDE (AS FUMARATE) TABLET ORAL 25 mg</t>
        </is>
      </c>
      <c r="C2637" s="25">
        <f>IF(COUNTIF('کدهای پیام‌داروساز'!$A$2:$A$2442,A2637)&gt;0,"بله","خیر")</f>
        <v/>
      </c>
    </row>
    <row r="2638" ht="15" customHeight="1" s="14">
      <c r="A2638" s="24" t="n">
        <v>51977</v>
      </c>
      <c r="B2638" s="24" t="inlineStr">
        <is>
          <t>EMTRICITABINE / TENOFOVIR ALAFENAMIDE (AS FUMARATE) TABLET ORAL 200 mg/25 mg</t>
        </is>
      </c>
      <c r="C2638" s="25">
        <f>IF(COUNTIF('کدهای پیام‌داروساز'!$A$2:$A$2442,A2638)&gt;0,"بله","خیر")</f>
        <v/>
      </c>
    </row>
    <row r="2639" ht="15" customHeight="1" s="14">
      <c r="A2639" s="24" t="n">
        <v>51978</v>
      </c>
      <c r="B2639" s="24" t="inlineStr">
        <is>
          <t>METHADONE HYDROCHLORIDE SOLUTION ORAL 5 mg/5 mL 240 mL</t>
        </is>
      </c>
      <c r="C2639" s="25">
        <f>IF(COUNTIF('کدهای پیام‌داروساز'!$A$2:$A$2442,A2639)&gt;0,"بله","خیر")</f>
        <v/>
      </c>
    </row>
    <row r="2640" ht="15" customHeight="1" s="14">
      <c r="A2640" s="24" t="n">
        <v>51979</v>
      </c>
      <c r="B2640" s="24" t="inlineStr">
        <is>
          <t>IMATINIB (AS MESYLATE) CAPSULE ORAL 400 mg</t>
        </is>
      </c>
      <c r="C2640" s="25">
        <f>IF(COUNTIF('کدهای پیام‌داروساز'!$A$2:$A$2442,A2640)&gt;0,"بله","خیر")</f>
        <v/>
      </c>
    </row>
    <row r="2641" ht="15" customHeight="1" s="14">
      <c r="A2641" s="24" t="n">
        <v>51981</v>
      </c>
      <c r="B2641" s="24" t="inlineStr">
        <is>
          <t>PIRACETAM SOLUTION ORAL 20 % 200 mL</t>
        </is>
      </c>
      <c r="C2641" s="25">
        <f>IF(COUNTIF('کدهای پیام‌داروساز'!$A$2:$A$2442,A2641)&gt;0,"بله","خیر")</f>
        <v/>
      </c>
    </row>
    <row r="2642" ht="15" customHeight="1" s="14">
      <c r="A2642" s="24" t="n">
        <v>51982</v>
      </c>
      <c r="B2642" s="24" t="inlineStr">
        <is>
          <t>GADOPENTETATE DIMEGLUMINE INJECTION PARENTERAL 469 mg/1mL 20 mL</t>
        </is>
      </c>
      <c r="C2642" s="25">
        <f>IF(COUNTIF('کدهای پیام‌داروساز'!$A$2:$A$2442,A2642)&gt;0,"بله","خیر")</f>
        <v/>
      </c>
    </row>
    <row r="2643" ht="15" customHeight="1" s="14">
      <c r="A2643" s="24" t="n">
        <v>51983</v>
      </c>
      <c r="B2643" s="24" t="inlineStr">
        <is>
          <t>IDARUBICIN HYDROCHLORIDE INJECTION, SOLUTION PARENTERAL 1 mg/1mL 5 mL</t>
        </is>
      </c>
      <c r="C2643" s="25">
        <f>IF(COUNTIF('کدهای پیام‌داروساز'!$A$2:$A$2442,A2643)&gt;0,"بله","خیر")</f>
        <v/>
      </c>
    </row>
    <row r="2644" ht="15" customHeight="1" s="14">
      <c r="A2644" s="24" t="n">
        <v>51984</v>
      </c>
      <c r="B2644" s="24" t="inlineStr">
        <is>
          <t>IDARUBICIN HYDROCHLORIDE INJECTION, SOLUTION PARENTERAL 1 mg/1mL 10 mL</t>
        </is>
      </c>
      <c r="C2644" s="25">
        <f>IF(COUNTIF('کدهای پیام‌داروساز'!$A$2:$A$2442,A2644)&gt;0,"بله","خیر")</f>
        <v/>
      </c>
    </row>
    <row r="2645" ht="15" customHeight="1" s="14">
      <c r="A2645" s="24" t="n">
        <v>51985</v>
      </c>
      <c r="B2645" s="24" t="inlineStr">
        <is>
          <t>IDARUBICIN HYDROCHLORIDE INJECTION, SOLUTION PARENTERAL 1 mg/1mL 20 mL</t>
        </is>
      </c>
      <c r="C2645" s="25">
        <f>IF(COUNTIF('کدهای پیام‌داروساز'!$A$2:$A$2442,A2645)&gt;0,"بله","خیر")</f>
        <v/>
      </c>
    </row>
    <row r="2646" ht="15" customHeight="1" s="14">
      <c r="A2646" s="24" t="n">
        <v>51986</v>
      </c>
      <c r="B2646" s="24" t="inlineStr">
        <is>
          <t>IRBESARTAN TABLET ORAL 300 mg</t>
        </is>
      </c>
      <c r="C2646" s="25">
        <f>IF(COUNTIF('کدهای پیام‌داروساز'!$A$2:$A$2442,A2646)&gt;0,"بله","خیر")</f>
        <v/>
      </c>
    </row>
    <row r="2647" ht="15" customHeight="1" s="14">
      <c r="A2647" s="24" t="n">
        <v>51988</v>
      </c>
      <c r="B2647" s="24" t="inlineStr">
        <is>
          <t>INTERFERON BETA-1A INJECTION PARENTERAL 12000000 [iU]/1mL 0.5 mL</t>
        </is>
      </c>
      <c r="C2647" s="25">
        <f>IF(COUNTIF('کدهای پیام‌داروساز'!$A$2:$A$2442,A2647)&gt;0,"بله","خیر")</f>
        <v/>
      </c>
    </row>
    <row r="2648" ht="15" customHeight="1" s="14">
      <c r="A2648" s="24" t="n">
        <v>51990</v>
      </c>
      <c r="B2648" s="24" t="inlineStr">
        <is>
          <t>ARTIFICIAL TEARS (HYALURONATE SODIUM) SOLUTION, DROPS OPHTHALMIC 0.3 % 0.35 mL</t>
        </is>
      </c>
      <c r="C2648" s="25">
        <f>IF(COUNTIF('کدهای پیام‌داروساز'!$A$2:$A$2442,A2648)&gt;0,"بله","خیر")</f>
        <v/>
      </c>
    </row>
    <row r="2649" ht="15" customHeight="1" s="14">
      <c r="A2649" s="24" t="n">
        <v>51991</v>
      </c>
      <c r="B2649" s="24" t="inlineStr">
        <is>
          <t>LIDOCAINE / CHLORHEXIDINE GEL TOPICAL 2 %/0.05 % 12.5 g</t>
        </is>
      </c>
      <c r="C2649" s="25">
        <f>IF(COUNTIF('کدهای پیام‌داروساز'!$A$2:$A$2442,A2649)&gt;0,"بله","خیر")</f>
        <v/>
      </c>
    </row>
    <row r="2650" ht="15" customHeight="1" s="14">
      <c r="A2650" s="24" t="n">
        <v>51992</v>
      </c>
      <c r="B2650" s="24" t="inlineStr">
        <is>
          <t>CREAM BASE CREAM TOPICAL 200 % 2 kg</t>
        </is>
      </c>
      <c r="C2650" s="25">
        <f>IF(COUNTIF('کدهای پیام‌داروساز'!$A$2:$A$2442,A2650)&gt;0,"بله","خیر")</f>
        <v/>
      </c>
    </row>
    <row r="2651" ht="15" customHeight="1" s="14">
      <c r="A2651" s="24" t="n">
        <v>51993</v>
      </c>
      <c r="B2651" s="24" t="inlineStr">
        <is>
          <t>CREAM BASE CREAM TOPICAL 400 % 2 kg</t>
        </is>
      </c>
      <c r="C2651" s="25">
        <f>IF(COUNTIF('کدهای پیام‌داروساز'!$A$2:$A$2442,A2651)&gt;0,"بله","خیر")</f>
        <v/>
      </c>
    </row>
    <row r="2652" ht="15" customHeight="1" s="14">
      <c r="A2652" s="24" t="n">
        <v>51994</v>
      </c>
      <c r="B2652" s="24" t="inlineStr">
        <is>
          <t>SOFOSBUVIR / VELPATASVIR TABLET ORAL 400 mg/100 mg</t>
        </is>
      </c>
      <c r="C2652" s="25">
        <f>IF(COUNTIF('کدهای پیام‌داروساز'!$A$2:$A$2442,A2652)&gt;0,"بله","خیر")</f>
        <v/>
      </c>
    </row>
    <row r="2653" ht="15" customHeight="1" s="14">
      <c r="A2653" s="24" t="n">
        <v>51995</v>
      </c>
      <c r="B2653" s="24" t="inlineStr">
        <is>
          <t>CLINDAMYCIN PHOSPHATE / TRETINOIN GEL TOPICAL 1.2 %/0.025 % 30 g</t>
        </is>
      </c>
      <c r="C2653" s="25">
        <f>IF(COUNTIF('کدهای پیام‌داروساز'!$A$2:$A$2442,A2653)&gt;0,"بله","خیر")</f>
        <v/>
      </c>
    </row>
    <row r="2654" ht="15" customHeight="1" s="14">
      <c r="A2654" s="24" t="n">
        <v>51996</v>
      </c>
      <c r="B2654" s="24" t="inlineStr">
        <is>
          <t>MICONAZOLE NITRATE CREAM TOPICAL 2 % 40 g</t>
        </is>
      </c>
      <c r="C2654" s="25">
        <f>IF(COUNTIF('کدهای پیام‌داروساز'!$A$2:$A$2442,A2654)&gt;0,"بله","خیر")</f>
        <v/>
      </c>
    </row>
    <row r="2655" ht="15" customHeight="1" s="14">
      <c r="A2655" s="24" t="n">
        <v>51997</v>
      </c>
      <c r="B2655" s="24" t="inlineStr">
        <is>
          <t>IGM-ENRICHED HUMAN (IMMUNE GLOBULIN) INJECTION PARENTERAL 50 mg/1mL 50 mL</t>
        </is>
      </c>
      <c r="C2655" s="25">
        <f>IF(COUNTIF('کدهای پیام‌داروساز'!$A$2:$A$2442,A2655)&gt;0,"بله","خیر")</f>
        <v/>
      </c>
    </row>
    <row r="2656" ht="15" customHeight="1" s="14">
      <c r="A2656" s="24" t="n">
        <v>51999</v>
      </c>
      <c r="B2656" s="24" t="inlineStr">
        <is>
          <t>TEMOCILLIN SODIUM INJECTION, POWDER, FOR SOLUTION PARENTERAL 1 g</t>
        </is>
      </c>
      <c r="C2656" s="25">
        <f>IF(COUNTIF('کدهای پیام‌داروساز'!$A$2:$A$2442,A2656)&gt;0,"بله","خیر")</f>
        <v/>
      </c>
    </row>
    <row r="2657" ht="15" customHeight="1" s="14">
      <c r="A2657" s="24" t="n">
        <v>52000</v>
      </c>
      <c r="B2657" s="24" t="inlineStr">
        <is>
          <t>ATROPINE SULFATE INJECTION PARENTERAL 10 mg/1mL 2 mL</t>
        </is>
      </c>
      <c r="C2657" s="25">
        <f>IF(COUNTIF('کدهای پیام‌داروساز'!$A$2:$A$2442,A2657)&gt;0,"بله","خیر")</f>
        <v/>
      </c>
    </row>
    <row r="2658" ht="15" customHeight="1" s="14">
      <c r="A2658" s="24" t="n">
        <v>52001</v>
      </c>
      <c r="B2658" s="24" t="inlineStr">
        <is>
          <t>CLOTRIMAZOLE / BETAMETHASONE (AS DIPROPIONATE) CREAM TOPICAL 1 %/0.05 % 15 g</t>
        </is>
      </c>
      <c r="C2658" s="25">
        <f>IF(COUNTIF('کدهای پیام‌داروساز'!$A$2:$A$2442,A2658)&gt;0,"بله","خیر")</f>
        <v/>
      </c>
    </row>
    <row r="2659" ht="15" customHeight="1" s="14">
      <c r="A2659" s="24" t="n">
        <v>52002</v>
      </c>
      <c r="B2659" s="24" t="inlineStr">
        <is>
          <t>CLARITHROMYCIN POWDER, FOR SUSPENSION ORAL 250 mg/5 mL 100 mL</t>
        </is>
      </c>
      <c r="C2659" s="25">
        <f>IF(COUNTIF('کدهای پیام‌داروساز'!$A$2:$A$2442,A2659)&gt;0,"بله","خیر")</f>
        <v/>
      </c>
    </row>
    <row r="2660" ht="15" customHeight="1" s="14">
      <c r="A2660" s="24" t="n">
        <v>52003</v>
      </c>
      <c r="B2660" s="24" t="inlineStr">
        <is>
          <t>SUCCINYLCHOLINE CHLORIDE INJECTION PARENTERAL 20 mg/1mL 5 mL</t>
        </is>
      </c>
      <c r="C2660" s="25">
        <f>IF(COUNTIF('کدهای پیام‌داروساز'!$A$2:$A$2442,A2660)&gt;0,"بله","خیر")</f>
        <v/>
      </c>
    </row>
    <row r="2661" ht="15" customHeight="1" s="14">
      <c r="A2661" s="24" t="n">
        <v>52004</v>
      </c>
      <c r="B2661" s="24" t="inlineStr">
        <is>
          <t>ARTIFICIAL TEARS (HYPROMELLOSE) SOLUTION, DROPS OPHTHALMIC 0.5 % 15 mL</t>
        </is>
      </c>
      <c r="C2661" s="25">
        <f>IF(COUNTIF('کدهای پیام‌داروساز'!$A$2:$A$2442,A2661)&gt;0,"بله","خیر")</f>
        <v/>
      </c>
    </row>
    <row r="2662" ht="15" customHeight="1" s="14">
      <c r="A2662" s="24" t="n">
        <v>52005</v>
      </c>
      <c r="B2662" s="24" t="inlineStr">
        <is>
          <t>SALICYLIC ACID PLASTER TOPICAL 40 %</t>
        </is>
      </c>
      <c r="C2662" s="25">
        <f>IF(COUNTIF('کدهای پیام‌داروساز'!$A$2:$A$2442,A2662)&gt;0,"بله","خیر")</f>
        <v/>
      </c>
    </row>
    <row r="2663" ht="15" customHeight="1" s="14">
      <c r="A2663" s="24" t="n">
        <v>52006</v>
      </c>
      <c r="B2663" s="24" t="inlineStr">
        <is>
          <t>LABETALOL HYDROCHLORIDE INJECTION PARENTERAL 5 mg/1mL 4 mL</t>
        </is>
      </c>
      <c r="C2663" s="25">
        <f>IF(COUNTIF('کدهای پیام‌داروساز'!$A$2:$A$2442,A2663)&gt;0,"بله","خیر")</f>
        <v/>
      </c>
    </row>
    <row r="2664" ht="15" customHeight="1" s="14">
      <c r="A2664" s="24" t="n">
        <v>52008</v>
      </c>
      <c r="B2664" s="24" t="inlineStr">
        <is>
          <t>TROPICAMIDE SOLUTION, DROPS OPHTHALMIC 0.5 % 0.5 mL</t>
        </is>
      </c>
      <c r="C2664" s="25">
        <f>IF(COUNTIF('کدهای پیام‌داروساز'!$A$2:$A$2442,A2664)&gt;0,"بله","خیر")</f>
        <v/>
      </c>
    </row>
    <row r="2665" ht="15" customHeight="1" s="14">
      <c r="A2665" s="24" t="n">
        <v>52009</v>
      </c>
      <c r="B2665" s="24" t="inlineStr">
        <is>
          <t>TROPICAMIDE SOLUTION, DROPS OPHTHALMIC 1 % 0.5 mL</t>
        </is>
      </c>
      <c r="C2665" s="25">
        <f>IF(COUNTIF('کدهای پیام‌داروساز'!$A$2:$A$2442,A2665)&gt;0,"بله","خیر")</f>
        <v/>
      </c>
    </row>
    <row r="2666" ht="15" customHeight="1" s="14">
      <c r="A2666" s="24" t="n">
        <v>52013</v>
      </c>
      <c r="B2666" s="24" t="inlineStr">
        <is>
          <t>TEGAFUR / GIMERACIL / OTERACIL CAPSULE ORAL 20 mg/5.8 mg/15.8 mg</t>
        </is>
      </c>
      <c r="C2666" s="25">
        <f>IF(COUNTIF('کدهای پیام‌داروساز'!$A$2:$A$2442,A2666)&gt;0,"بله","خیر")</f>
        <v/>
      </c>
    </row>
    <row r="2667" ht="15" customHeight="1" s="14">
      <c r="A2667" s="24" t="n">
        <v>52014</v>
      </c>
      <c r="B2667" s="24" t="inlineStr">
        <is>
          <t>FLUOCINOLONE / HYDROQUINONE / TRETINOIN CREAM TOPICAL 0.01 %/4 %/0.05 % 15 g</t>
        </is>
      </c>
      <c r="C2667" s="25">
        <f>IF(COUNTIF('کدهای پیام‌داروساز'!$A$2:$A$2442,A2667)&gt;0,"بله","خیر")</f>
        <v/>
      </c>
    </row>
    <row r="2668" ht="15" customHeight="1" s="14">
      <c r="A2668" s="24" t="n">
        <v>52020</v>
      </c>
      <c r="B2668" s="24" t="inlineStr">
        <is>
          <t>THIOTEPA INJECTION, POWDER, FOR SOLUTION PARENTERAL 100 mg</t>
        </is>
      </c>
      <c r="C2668" s="25">
        <f>IF(COUNTIF('کدهای پیام‌داروساز'!$A$2:$A$2442,A2668)&gt;0,"بله","خیر")</f>
        <v/>
      </c>
    </row>
    <row r="2669" ht="15" customHeight="1" s="14">
      <c r="A2669" s="24" t="n">
        <v>52022</v>
      </c>
      <c r="B2669" s="24" t="inlineStr">
        <is>
          <t>AMINO ACID 10% PAEDIATRIC (2) INJECTION, SOLUTION INTRAVENOUS 5.1 mg/7.6 mg/8.8 mg/2 mg/3.1 mg/5.1 mg/4 mg/6.1 mg/9.1 mg/4.6 mg/15.9 mg/2 mg/6.6 mg/9.3 mg/6.1 mg/2 mg/1.3 mg/0.7 mg/0.3 mg/1 mL 100 mL</t>
        </is>
      </c>
      <c r="C2669" s="25">
        <f>IF(COUNTIF('کدهای پیام‌داروساز'!$A$2:$A$2442,A2669)&gt;0,"بله","خیر")</f>
        <v/>
      </c>
    </row>
    <row r="2670" ht="15" customHeight="1" s="14">
      <c r="A2670" s="24" t="n">
        <v>52023</v>
      </c>
      <c r="B2670" s="24" t="inlineStr">
        <is>
          <t>AMINO ACID 10% PAEDIATRIC (2) INJECTION, SOLUTION INTRAVENOUS 5.1 mg/7.6 mg/8.8 mg/2 mg/3.1 mg/5.1 mg/4 mg/6.1 mg/9.1 mg/4.6 mg/15.9 mg/2 mg/6.6 mg/9.3 mg/6.1 mg/2 mg/1.3 mg/0.7 mg/0.3 mg/1 mL 250 mL</t>
        </is>
      </c>
      <c r="C2670" s="25">
        <f>IF(COUNTIF('کدهای پیام‌داروساز'!$A$2:$A$2442,A2670)&gt;0,"بله","خیر")</f>
        <v/>
      </c>
    </row>
    <row r="2671" ht="15" customHeight="1" s="14">
      <c r="A2671" s="24" t="n">
        <v>52024</v>
      </c>
      <c r="B2671" s="24" t="inlineStr">
        <is>
          <t>ONDANSETRON TABLET, ORALLY DISINTEGRATING ORAL 4 mg</t>
        </is>
      </c>
      <c r="C2671" s="25">
        <f>IF(COUNTIF('کدهای پیام‌داروساز'!$A$2:$A$2442,A2671)&gt;0,"بله","خیر")</f>
        <v/>
      </c>
    </row>
    <row r="2672" ht="15" customHeight="1" s="14">
      <c r="A2672" s="24" t="n">
        <v>52025</v>
      </c>
      <c r="B2672" s="24" t="inlineStr">
        <is>
          <t>ONDANSETRON TABLET, ORALLY DISINTEGRATING ORAL 8 mg</t>
        </is>
      </c>
      <c r="C2672" s="25">
        <f>IF(COUNTIF('کدهای پیام‌داروساز'!$A$2:$A$2442,A2672)&gt;0,"بله","خیر")</f>
        <v/>
      </c>
    </row>
    <row r="2673" ht="15" customHeight="1" s="14">
      <c r="A2673" s="24" t="n">
        <v>52027</v>
      </c>
      <c r="B2673" s="24" t="inlineStr">
        <is>
          <t>AZITHROMYCIN DIHYDRATE SOLUTION, DROPS OPHTHALMIC 1.5 % 0.25 g</t>
        </is>
      </c>
      <c r="C2673" s="25">
        <f>IF(COUNTIF('کدهای پیام‌داروساز'!$A$2:$A$2442,A2673)&gt;0,"بله","خیر")</f>
        <v/>
      </c>
    </row>
    <row r="2674" ht="15" customHeight="1" s="14">
      <c r="A2674" s="24" t="n">
        <v>52028</v>
      </c>
      <c r="B2674" s="24" t="inlineStr">
        <is>
          <t>LEVETIRACETAM INJECTION, SOLUTION PARENTERAL 15 mg/1mL 100 mL</t>
        </is>
      </c>
      <c r="C2674" s="25">
        <f>IF(COUNTIF('کدهای پیام‌داروساز'!$A$2:$A$2442,A2674)&gt;0,"بله","خیر")</f>
        <v/>
      </c>
    </row>
    <row r="2675" ht="15" customHeight="1" s="14">
      <c r="A2675" s="24" t="n">
        <v>52029</v>
      </c>
      <c r="B2675" s="24" t="inlineStr">
        <is>
          <t>POVIDONE IODINE SOLUTION TOPICAL 10 % 30 mL</t>
        </is>
      </c>
      <c r="C2675" s="25">
        <f>IF(COUNTIF('کدهای پیام‌داروساز'!$A$2:$A$2442,A2675)&gt;0,"بله","خیر")</f>
        <v/>
      </c>
    </row>
    <row r="2676" ht="15" customHeight="1" s="14">
      <c r="A2676" s="24" t="n">
        <v>52030</v>
      </c>
      <c r="B2676" s="24" t="inlineStr">
        <is>
          <t>POVIDONE IODINE SOLUTION TOPICAL 10 % 110 mL</t>
        </is>
      </c>
      <c r="C2676" s="25">
        <f>IF(COUNTIF('کدهای پیام‌داروساز'!$A$2:$A$2442,A2676)&gt;0,"بله","خیر")</f>
        <v/>
      </c>
    </row>
    <row r="2677" ht="15" customHeight="1" s="14">
      <c r="A2677" s="24" t="n">
        <v>52031</v>
      </c>
      <c r="B2677" s="24" t="inlineStr">
        <is>
          <t>INDAPAMIDE TABLET ORAL 2.5 mg</t>
        </is>
      </c>
      <c r="C2677" s="25">
        <f>IF(COUNTIF('کدهای پیام‌داروساز'!$A$2:$A$2442,A2677)&gt;0,"بله","خیر")</f>
        <v/>
      </c>
    </row>
    <row r="2678" ht="15" customHeight="1" s="14">
      <c r="A2678" s="24" t="n">
        <v>52032</v>
      </c>
      <c r="B2678" s="24" t="inlineStr">
        <is>
          <t>IPRATROPIUM BROMIDE SPRAY, METERED NASAL 21 ug/1{Puff} 15 mL</t>
        </is>
      </c>
      <c r="C2678" s="25">
        <f>IF(COUNTIF('کدهای پیام‌داروساز'!$A$2:$A$2442,A2678)&gt;0,"بله","خیر")</f>
        <v/>
      </c>
    </row>
    <row r="2679" ht="15" customHeight="1" s="14">
      <c r="A2679" s="24" t="n">
        <v>52033</v>
      </c>
      <c r="B2679" s="24" t="inlineStr">
        <is>
          <t>IPRATROPIUM BROMIDE SPRAY, METERED NASAL 42 ug/1{Puff}</t>
        </is>
      </c>
      <c r="C2679" s="25">
        <f>IF(COUNTIF('کدهای پیام‌داروساز'!$A$2:$A$2442,A2679)&gt;0,"بله","خیر")</f>
        <v/>
      </c>
    </row>
    <row r="2680" ht="15" customHeight="1" s="14">
      <c r="A2680" s="24" t="n">
        <v>52034</v>
      </c>
      <c r="B2680" s="24" t="inlineStr">
        <is>
          <t>INTERFERON BETA-1A INJECTION PARENTERAL 12000000 [iU] 1.5 mL</t>
        </is>
      </c>
      <c r="C2680" s="25">
        <f>IF(COUNTIF('کدهای پیام‌داروساز'!$A$2:$A$2442,A2680)&gt;0,"بله","خیر")</f>
        <v/>
      </c>
    </row>
    <row r="2681" ht="15" customHeight="1" s="14">
      <c r="A2681" s="24" t="n">
        <v>52035</v>
      </c>
      <c r="B2681" s="24" t="inlineStr">
        <is>
          <t>ADALIMUMAB INJECTION, SOLUTION PARENTERAL 50 mg/1mL 0.4 mL</t>
        </is>
      </c>
      <c r="C2681" s="25">
        <f>IF(COUNTIF('کدهای پیام‌داروساز'!$A$2:$A$2442,A2681)&gt;0,"بله","خیر")</f>
        <v/>
      </c>
    </row>
    <row r="2682" ht="15" customHeight="1" s="14">
      <c r="A2682" s="24" t="n">
        <v>52038</v>
      </c>
      <c r="B2682" s="24" t="inlineStr">
        <is>
          <t>DOMPERIDONE SUSPENSION ORAL 1 mg/1 mL 200 mL</t>
        </is>
      </c>
      <c r="C2682" s="25">
        <f>IF(COUNTIF('کدهای پیام‌داروساز'!$A$2:$A$2442,A2682)&gt;0,"بله","خیر")</f>
        <v/>
      </c>
    </row>
    <row r="2683" ht="15" customHeight="1" s="14">
      <c r="A2683" s="24" t="n">
        <v>52039</v>
      </c>
      <c r="B2683" s="24" t="inlineStr">
        <is>
          <t>DOMPERIDONE SUSPENSION ORAL 1 mg/1 mL 100 mL</t>
        </is>
      </c>
      <c r="C2683" s="25">
        <f>IF(COUNTIF('کدهای پیام‌داروساز'!$A$2:$A$2442,A2683)&gt;0,"بله","خیر")</f>
        <v/>
      </c>
    </row>
    <row r="2684" ht="15" customHeight="1" s="14">
      <c r="A2684" s="24" t="n">
        <v>52040</v>
      </c>
      <c r="B2684" s="24" t="inlineStr">
        <is>
          <t>CALFACTANT SUSPENSION ENDOTRACHEAL 35 mg/1mL 3 mL</t>
        </is>
      </c>
      <c r="C2684" s="25">
        <f>IF(COUNTIF('کدهای پیام‌داروساز'!$A$2:$A$2442,A2684)&gt;0,"بله","خیر")</f>
        <v/>
      </c>
    </row>
    <row r="2685" ht="15" customHeight="1" s="14">
      <c r="A2685" s="24" t="n">
        <v>52041</v>
      </c>
      <c r="B2685" s="24" t="inlineStr">
        <is>
          <t>CALFACTANT SUSPENSION ENDOTRACHEAL 35 mg/1mL 6 mL</t>
        </is>
      </c>
      <c r="C2685" s="25">
        <f>IF(COUNTIF('کدهای پیام‌داروساز'!$A$2:$A$2442,A2685)&gt;0,"بله","خیر")</f>
        <v/>
      </c>
    </row>
    <row r="2686" ht="15" customHeight="1" s="14">
      <c r="A2686" s="24" t="n">
        <v>52042</v>
      </c>
      <c r="B2686" s="24" t="inlineStr">
        <is>
          <t>CYTISINE TABLET ORAL 1.5 mg</t>
        </is>
      </c>
      <c r="C2686" s="25">
        <f>IF(COUNTIF('کدهای پیام‌داروساز'!$A$2:$A$2442,A2686)&gt;0,"بله","خیر")</f>
        <v/>
      </c>
    </row>
    <row r="2687" ht="15" customHeight="1" s="14">
      <c r="A2687" s="24" t="n">
        <v>52043</v>
      </c>
      <c r="B2687" s="24" t="inlineStr">
        <is>
          <t>DEXMEDETOMIDINE (AS HYDROCHLORIDE) INJECTION PARENTERAL 4 ug/1mL 50 mL</t>
        </is>
      </c>
      <c r="C2687" s="25">
        <f>IF(COUNTIF('کدهای پیام‌داروساز'!$A$2:$A$2442,A2687)&gt;0,"بله","خیر")</f>
        <v/>
      </c>
    </row>
    <row r="2688" ht="15" customHeight="1" s="14">
      <c r="A2688" s="24" t="n">
        <v>52044</v>
      </c>
      <c r="B2688" s="24" t="inlineStr">
        <is>
          <t>DEXMEDETOMIDINE (AS HYDROCHLORIDE) INJECTION PARENTERAL 4 ug/1mL 100 mL</t>
        </is>
      </c>
      <c r="C2688" s="25">
        <f>IF(COUNTIF('کدهای پیام‌داروساز'!$A$2:$A$2442,A2688)&gt;0,"بله","خیر")</f>
        <v/>
      </c>
    </row>
    <row r="2689" ht="15" customHeight="1" s="14">
      <c r="A2689" s="24" t="n">
        <v>52045</v>
      </c>
      <c r="B2689" s="24" t="inlineStr">
        <is>
          <t>DIHYDROTACHYSTEROL SOLUTION ORAL 1 mg/1mL 15 mL</t>
        </is>
      </c>
      <c r="C2689" s="25">
        <f>IF(COUNTIF('کدهای پیام‌داروساز'!$A$2:$A$2442,A2689)&gt;0,"بله","خیر")</f>
        <v/>
      </c>
    </row>
    <row r="2690" ht="15" customHeight="1" s="14">
      <c r="A2690" s="24" t="n">
        <v>52046</v>
      </c>
      <c r="B2690" s="24" t="inlineStr">
        <is>
          <t>NITROFURANTOIN SUSPENSION ORAL 10 mg/1mL 80 mL</t>
        </is>
      </c>
      <c r="C2690" s="25">
        <f>IF(COUNTIF('کدهای پیام‌داروساز'!$A$2:$A$2442,A2690)&gt;0,"بله","خیر")</f>
        <v/>
      </c>
    </row>
    <row r="2691" ht="15" customHeight="1" s="14">
      <c r="A2691" s="24" t="n">
        <v>52047</v>
      </c>
      <c r="B2691" s="24" t="inlineStr">
        <is>
          <t>DIGOXIN INJECTION PARENTERAL 0.25 mg/1mL 1 mL</t>
        </is>
      </c>
      <c r="C2691" s="25">
        <f>IF(COUNTIF('کدهای پیام‌داروساز'!$A$2:$A$2442,A2691)&gt;0,"بله","خیر")</f>
        <v/>
      </c>
    </row>
    <row r="2692" ht="15" customHeight="1" s="14">
      <c r="A2692" s="24" t="n">
        <v>52048</v>
      </c>
      <c r="B2692" s="24" t="inlineStr">
        <is>
          <t>RITUXIMAB INJECTION PARENTERAL 120 mg/1mL 11.7 mL</t>
        </is>
      </c>
      <c r="C2692" s="25">
        <f>IF(COUNTIF('کدهای پیام‌داروساز'!$A$2:$A$2442,A2692)&gt;0,"بله","خیر")</f>
        <v/>
      </c>
    </row>
    <row r="2693" ht="15" customHeight="1" s="14">
      <c r="A2693" s="24" t="n">
        <v>52049</v>
      </c>
      <c r="B2693" s="24" t="inlineStr">
        <is>
          <t>RITUXIMAB INJECTION PARENTERAL 120 mg/1mL 13.4 mL</t>
        </is>
      </c>
      <c r="C2693" s="25">
        <f>IF(COUNTIF('کدهای پیام‌داروساز'!$A$2:$A$2442,A2693)&gt;0,"بله","خیر")</f>
        <v/>
      </c>
    </row>
    <row r="2694" ht="15" customHeight="1" s="14">
      <c r="A2694" s="24" t="n">
        <v>52050</v>
      </c>
      <c r="B2694" s="24" t="inlineStr">
        <is>
          <t>SAPROPTERIN DIHYDROCHLORIDE POWDER ORAL 100 mg</t>
        </is>
      </c>
      <c r="C2694" s="25">
        <f>IF(COUNTIF('کدهای پیام‌داروساز'!$A$2:$A$2442,A2694)&gt;0,"بله","خیر")</f>
        <v/>
      </c>
    </row>
    <row r="2695" ht="15" customHeight="1" s="14">
      <c r="A2695" s="24" t="n">
        <v>52051</v>
      </c>
      <c r="B2695" s="24" t="inlineStr">
        <is>
          <t>SAPROPTERIN DIHYDROCHLORIDE POWDER ORAL 500 mg</t>
        </is>
      </c>
      <c r="C2695" s="25">
        <f>IF(COUNTIF('کدهای پیام‌داروساز'!$A$2:$A$2442,A2695)&gt;0,"بله","خیر")</f>
        <v/>
      </c>
    </row>
    <row r="2696" ht="15" customHeight="1" s="14">
      <c r="A2696" s="24" t="n">
        <v>52052</v>
      </c>
      <c r="B2696" s="24" t="inlineStr">
        <is>
          <t>MIRTAZAPINE TABLET ORAL 15 mg</t>
        </is>
      </c>
      <c r="C2696" s="25">
        <f>IF(COUNTIF('کدهای پیام‌داروساز'!$A$2:$A$2442,A2696)&gt;0,"بله","خیر")</f>
        <v/>
      </c>
    </row>
    <row r="2697" ht="15" customHeight="1" s="14">
      <c r="A2697" s="24" t="n">
        <v>52053</v>
      </c>
      <c r="B2697" s="24" t="inlineStr">
        <is>
          <t>MIRTAZAPINE TABLET ORAL 45 mg</t>
        </is>
      </c>
      <c r="C2697" s="25">
        <f>IF(COUNTIF('کدهای پیام‌داروساز'!$A$2:$A$2442,A2697)&gt;0,"بله","خیر")</f>
        <v/>
      </c>
    </row>
    <row r="2698" ht="15" customHeight="1" s="14">
      <c r="A2698" s="24" t="n">
        <v>52054</v>
      </c>
      <c r="B2698" s="24" t="inlineStr">
        <is>
          <t>MIRTAZAPINE TABLET ORAL 7.5 mg</t>
        </is>
      </c>
      <c r="C2698" s="25">
        <f>IF(COUNTIF('کدهای پیام‌داروساز'!$A$2:$A$2442,A2698)&gt;0,"بله","خیر")</f>
        <v/>
      </c>
    </row>
    <row r="2699" ht="15" customHeight="1" s="14">
      <c r="A2699" s="24" t="n">
        <v>52055</v>
      </c>
      <c r="B2699" s="24" t="inlineStr">
        <is>
          <t>ADULT COLD PREPARATIONS (4-5) TABLET ORAL 325 mg/30 mg/25 mg</t>
        </is>
      </c>
      <c r="C2699" s="25">
        <f>IF(COUNTIF('کدهای پیام‌داروساز'!$A$2:$A$2442,A2699)&gt;0,"بله","خیر")</f>
        <v/>
      </c>
    </row>
    <row r="2700" ht="15" customHeight="1" s="14">
      <c r="A2700" s="24" t="n">
        <v>52057</v>
      </c>
      <c r="B2700" s="24" t="inlineStr">
        <is>
          <t>FACTOR VIII / VON WILLEBRAND FACTOR INJECTION, POWDER, LYOPHILIZED, FOR SOLUTION PARENTERAL 1000 [iU]/750 [iU]</t>
        </is>
      </c>
      <c r="C2700" s="25">
        <f>IF(COUNTIF('کدهای پیام‌داروساز'!$A$2:$A$2442,A2700)&gt;0,"بله","خیر")</f>
        <v/>
      </c>
    </row>
    <row r="2701" ht="15" customHeight="1" s="14">
      <c r="A2701" s="24" t="n">
        <v>52058</v>
      </c>
      <c r="B2701" s="24" t="inlineStr">
        <is>
          <t>PORACTANT ALFA INJECTION ENDOTRACHEAL 80 mg/1mL 1.5 mL</t>
        </is>
      </c>
      <c r="C2701" s="25">
        <f>IF(COUNTIF('کدهای پیام‌داروساز'!$A$2:$A$2442,A2701)&gt;0,"بله","خیر")</f>
        <v/>
      </c>
    </row>
    <row r="2702" ht="15" customHeight="1" s="14">
      <c r="A2702" s="24" t="n">
        <v>52059</v>
      </c>
      <c r="B2702" s="24" t="inlineStr">
        <is>
          <t>HEPATITIS B IMMUNE GLOBULIN INJECTION PARENTERAL 180 [iU]/1mL 1 mL</t>
        </is>
      </c>
      <c r="C2702" s="25">
        <f>IF(COUNTIF('کدهای پیام‌داروساز'!$A$2:$A$2442,A2702)&gt;0,"بله","خیر")</f>
        <v/>
      </c>
    </row>
    <row r="2703" ht="15" customHeight="1" s="14">
      <c r="A2703" s="24" t="n">
        <v>52060</v>
      </c>
      <c r="B2703" s="24" t="inlineStr">
        <is>
          <t>HEPATITIS B IMMUNE GLOBULIN INJECTION PARENTERAL 180 [iU]/1mL 3 mL</t>
        </is>
      </c>
      <c r="C2703" s="25">
        <f>IF(COUNTIF('کدهای پیام‌داروساز'!$A$2:$A$2442,A2703)&gt;0,"بله","خیر")</f>
        <v/>
      </c>
    </row>
    <row r="2704" ht="15" customHeight="1" s="14">
      <c r="A2704" s="24" t="n">
        <v>52061</v>
      </c>
      <c r="B2704" s="24" t="inlineStr">
        <is>
          <t>HEPATITIS B IMMUNE GLOBULIN INJECTION PARENTERAL 334 [iU]/1mL 3 mL</t>
        </is>
      </c>
      <c r="C2704" s="25">
        <f>IF(COUNTIF('کدهای پیام‌داروساز'!$A$2:$A$2442,A2704)&gt;0,"بله","خیر")</f>
        <v/>
      </c>
    </row>
    <row r="2705" ht="15" customHeight="1" s="14">
      <c r="A2705" s="24" t="n">
        <v>52062</v>
      </c>
      <c r="B2705" s="24" t="inlineStr">
        <is>
          <t>CORIFOLLITROPIN ALFA INJECTION, SOLUTION PARENTERAL 200 ug/1mL 0.5 mL</t>
        </is>
      </c>
      <c r="C2705" s="25">
        <f>IF(COUNTIF('کدهای پیام‌داروساز'!$A$2:$A$2442,A2705)&gt;0,"بله","خیر")</f>
        <v/>
      </c>
    </row>
    <row r="2706" ht="15" customHeight="1" s="14">
      <c r="A2706" s="24" t="n">
        <v>52063</v>
      </c>
      <c r="B2706" s="24" t="inlineStr">
        <is>
          <t>ABIRATERONE ACETATE TABLET ORAL 500 mg</t>
        </is>
      </c>
      <c r="C2706" s="25">
        <f>IF(COUNTIF('کدهای پیام‌داروساز'!$A$2:$A$2442,A2706)&gt;0,"بله","خیر")</f>
        <v/>
      </c>
    </row>
    <row r="2707" ht="15" customHeight="1" s="14">
      <c r="A2707" s="24" t="n">
        <v>52064</v>
      </c>
      <c r="B2707" s="24" t="inlineStr">
        <is>
          <t>VALPROATE SODIUM SYRUP ORAL 200 mg/5mL 250 mL</t>
        </is>
      </c>
      <c r="C2707" s="25">
        <f>IF(COUNTIF('کدهای پیام‌داروساز'!$A$2:$A$2442,A2707)&gt;0,"بله","خیر")</f>
        <v/>
      </c>
    </row>
    <row r="2708" ht="15" customHeight="1" s="14">
      <c r="A2708" s="24" t="n">
        <v>52065</v>
      </c>
      <c r="B2708" s="24" t="inlineStr">
        <is>
          <t>DESMOPRESSIN ACETATE SPRAY NASAL 100 ug/1mL 2.5 mL</t>
        </is>
      </c>
      <c r="C2708" s="25">
        <f>IF(COUNTIF('کدهای پیام‌داروساز'!$A$2:$A$2442,A2708)&gt;0,"بله","خیر")</f>
        <v/>
      </c>
    </row>
    <row r="2709" ht="15" customHeight="1" s="14">
      <c r="A2709" s="24" t="n">
        <v>52071</v>
      </c>
      <c r="B2709" s="24" t="inlineStr">
        <is>
          <t>ADULT COLD PREPARATIONS (4-7) TABLET ORAL 500 mg/10 mg/25 mg</t>
        </is>
      </c>
      <c r="C2709" s="25">
        <f>IF(COUNTIF('کدهای پیام‌داروساز'!$A$2:$A$2442,A2709)&gt;0,"بله","خیر")</f>
        <v/>
      </c>
    </row>
    <row r="2710" ht="15" customHeight="1" s="14">
      <c r="A2710" s="24" t="n">
        <v>52072</v>
      </c>
      <c r="B2710" s="24" t="inlineStr">
        <is>
          <t>LACTULOSE SYRUP ORAL 10 g/15mL 100 mL</t>
        </is>
      </c>
      <c r="C2710" s="25">
        <f>IF(COUNTIF('کدهای پیام‌داروساز'!$A$2:$A$2442,A2710)&gt;0,"بله","خیر")</f>
        <v/>
      </c>
    </row>
    <row r="2711" ht="15" customHeight="1" s="14">
      <c r="A2711" s="24" t="n">
        <v>52073</v>
      </c>
      <c r="B2711" s="24" t="inlineStr">
        <is>
          <t>ROCURONIUM BROMIDE INJECTION, SOLUTION PARENTERAL 10 mg/1mL 10 mL</t>
        </is>
      </c>
      <c r="C2711" s="25">
        <f>IF(COUNTIF('کدهای پیام‌داروساز'!$A$2:$A$2442,A2711)&gt;0,"بله","خیر")</f>
        <v/>
      </c>
    </row>
    <row r="2712" ht="15" customHeight="1" s="14">
      <c r="A2712" s="24" t="n">
        <v>52075</v>
      </c>
      <c r="B2712" s="24" t="inlineStr">
        <is>
          <t>LACTULOSE SYRUP ORAL 10 g/15mL 250 mL</t>
        </is>
      </c>
      <c r="C2712" s="25">
        <f>IF(COUNTIF('کدهای پیام‌داروساز'!$A$2:$A$2442,A2712)&gt;0,"بله","خیر")</f>
        <v/>
      </c>
    </row>
    <row r="2713" ht="15" customHeight="1" s="14">
      <c r="A2713" s="24" t="n">
        <v>52076</v>
      </c>
      <c r="B2713" s="24" t="inlineStr">
        <is>
          <t>CIPROFLOXACIN (AS LACTATE) INJECTION, SOLUTION INTRAVENOUS 10 mg/1mL 40 mL</t>
        </is>
      </c>
      <c r="C2713" s="25">
        <f>IF(COUNTIF('کدهای پیام‌داروساز'!$A$2:$A$2442,A2713)&gt;0,"بله","خیر")</f>
        <v/>
      </c>
    </row>
    <row r="2714" ht="15" customHeight="1" s="14">
      <c r="A2714" s="24" t="n">
        <v>52077</v>
      </c>
      <c r="B2714" s="24" t="inlineStr">
        <is>
          <t>GLYCERIN SOLUTION ORAL 100 % 60 g</t>
        </is>
      </c>
      <c r="C2714" s="25">
        <f>IF(COUNTIF('کدهای پیام‌داروساز'!$A$2:$A$2442,A2714)&gt;0,"بله","خیر")</f>
        <v/>
      </c>
    </row>
    <row r="2715" ht="15" customHeight="1" s="14">
      <c r="A2715" s="24" t="n">
        <v>52078</v>
      </c>
      <c r="B2715" s="24" t="inlineStr">
        <is>
          <t>ARTIFICIAL TEARS (HYALURONATE SODIUM / TREHALOSE) SOLUTION, DROPS OPHTHALMIC 0.15 %/3 % 10 mL</t>
        </is>
      </c>
      <c r="C2715" s="25">
        <f>IF(COUNTIF('کدهای پیام‌داروساز'!$A$2:$A$2442,A2715)&gt;0,"بله","خیر")</f>
        <v/>
      </c>
    </row>
    <row r="2716" ht="15" customHeight="1" s="14">
      <c r="A2716" s="24" t="n">
        <v>52079</v>
      </c>
      <c r="B2716" s="24" t="inlineStr">
        <is>
          <t>BALANCED SALT SOLUTION (2) SOLUTION OPHTHALMIC 0.64 mg/0.075 mg/0.03 mg/0.048 mg/0.17 mg/0.39 mg/1mL 1000 mL</t>
        </is>
      </c>
      <c r="C2716" s="25">
        <f>IF(COUNTIF('کدهای پیام‌داروساز'!$A$2:$A$2442,A2716)&gt;0,"بله","خیر")</f>
        <v/>
      </c>
    </row>
    <row r="2717" ht="15" customHeight="1" s="14">
      <c r="A2717" s="24" t="n">
        <v>52080</v>
      </c>
      <c r="B2717" s="24" t="inlineStr">
        <is>
          <t>FLUORESCEIN SODIUM INJECTION PARENTERAL 200 mg/1mL 5 mL</t>
        </is>
      </c>
      <c r="C2717" s="25">
        <f>IF(COUNTIF('کدهای پیام‌داروساز'!$A$2:$A$2442,A2717)&gt;0,"بله","خیر")</f>
        <v/>
      </c>
    </row>
    <row r="2718" ht="15" customHeight="1" s="14">
      <c r="A2718" s="24" t="n">
        <v>52081</v>
      </c>
      <c r="B2718" s="24" t="inlineStr">
        <is>
          <t>LACTULOSE SYRUP ORAL 10 g/15mL 200 mL</t>
        </is>
      </c>
      <c r="C2718" s="25">
        <f>IF(COUNTIF('کدهای پیام‌داروساز'!$A$2:$A$2442,A2718)&gt;0,"بله","خیر")</f>
        <v/>
      </c>
    </row>
    <row r="2719" ht="15" customHeight="1" s="14">
      <c r="A2719" s="24" t="n">
        <v>52082</v>
      </c>
      <c r="B2719" s="24" t="inlineStr">
        <is>
          <t>BIMATOPROST SOLUTION, DROPS OPHTHALMIC 0.03 % 3 mL</t>
        </is>
      </c>
      <c r="C2719" s="25">
        <f>IF(COUNTIF('کدهای پیام‌داروساز'!$A$2:$A$2442,A2719)&gt;0,"بله","خیر")</f>
        <v/>
      </c>
    </row>
    <row r="2720" ht="15" customHeight="1" s="14">
      <c r="A2720" s="24" t="n">
        <v>52083</v>
      </c>
      <c r="B2720" s="24" t="inlineStr">
        <is>
          <t>POLIOMYELITIS VACCINE INJECTION PARENTERAL 10 {dose}</t>
        </is>
      </c>
      <c r="C2720" s="25">
        <f>IF(COUNTIF('کدهای پیام‌داروساز'!$A$2:$A$2442,A2720)&gt;0,"بله","خیر")</f>
        <v/>
      </c>
    </row>
    <row r="2721" ht="15" customHeight="1" s="14">
      <c r="A2721" s="24" t="n">
        <v>52084</v>
      </c>
      <c r="B2721" s="24" t="inlineStr">
        <is>
          <t>NOREPINEPHRINE (AS BITARTRATE) INJECTION, SOLUTION, CONCENTRATE PARENTERAL 1 mg/1mL 1 mL</t>
        </is>
      </c>
      <c r="C2721" s="25">
        <f>IF(COUNTIF('کدهای پیام‌داروساز'!$A$2:$A$2442,A2721)&gt;0,"بله","خیر")</f>
        <v/>
      </c>
    </row>
    <row r="2722" ht="15" customHeight="1" s="14">
      <c r="A2722" s="24" t="n">
        <v>52085</v>
      </c>
      <c r="B2722" s="24" t="inlineStr">
        <is>
          <t>ESOMEPRAZOLE (AS MAGNESIUM) GRANULE, DELAYED RELEASE ORAL 10 mg</t>
        </is>
      </c>
      <c r="C2722" s="25">
        <f>IF(COUNTIF('کدهای پیام‌داروساز'!$A$2:$A$2442,A2722)&gt;0,"بله","خیر")</f>
        <v/>
      </c>
    </row>
    <row r="2723" ht="15" customHeight="1" s="14">
      <c r="A2723" s="24" t="n">
        <v>52086</v>
      </c>
      <c r="B2723" s="24" t="inlineStr">
        <is>
          <t>ONDANSETRON (AS HYDROCHLORIDE) TABLET ORAL 8 mg</t>
        </is>
      </c>
      <c r="C2723" s="25">
        <f>IF(COUNTIF('کدهای پیام‌داروساز'!$A$2:$A$2442,A2723)&gt;0,"بله","خیر")</f>
        <v/>
      </c>
    </row>
    <row r="2724" ht="15" customHeight="1" s="14">
      <c r="A2724" s="24" t="n">
        <v>52087</v>
      </c>
      <c r="B2724" s="24" t="inlineStr">
        <is>
          <t>TICAGRELOR TABLET ORAL 60 mg</t>
        </is>
      </c>
      <c r="C2724" s="25">
        <f>IF(COUNTIF('کدهای پیام‌داروساز'!$A$2:$A$2442,A2724)&gt;0,"بله","خیر")</f>
        <v/>
      </c>
    </row>
    <row r="2725" ht="15" customHeight="1" s="14">
      <c r="A2725" s="24" t="n">
        <v>52088</v>
      </c>
      <c r="B2725" s="24" t="inlineStr">
        <is>
          <t>CLINDAMYCIN (AS PALMITATE HYDROCHLORIDE) SUSPENSION ORAL 75 mg/5mL 100 mL</t>
        </is>
      </c>
      <c r="C2725" s="25">
        <f>IF(COUNTIF('کدهای پیام‌داروساز'!$A$2:$A$2442,A2725)&gt;0,"بله","خیر")</f>
        <v/>
      </c>
    </row>
    <row r="2726" ht="15" customHeight="1" s="14">
      <c r="A2726" s="24" t="n">
        <v>52089</v>
      </c>
      <c r="B2726" s="24" t="inlineStr">
        <is>
          <t>NITROFURANTOIN SUSPENSION ORAL 25 mg/5mL 80 mL</t>
        </is>
      </c>
      <c r="C2726" s="25">
        <f>IF(COUNTIF('کدهای پیام‌داروساز'!$A$2:$A$2442,A2726)&gt;0,"بله","خیر")</f>
        <v/>
      </c>
    </row>
    <row r="2727" ht="15" customHeight="1" s="14">
      <c r="A2727" s="24" t="n">
        <v>52091</v>
      </c>
      <c r="B2727" s="24" t="inlineStr">
        <is>
          <t>NOREPINEPHRINE (AS BITARTRATE) INJECTION, SOLUTION, CONCENTRATE PARENTERAL 1 mg/1mL 20 mL</t>
        </is>
      </c>
      <c r="C2727" s="25">
        <f>IF(COUNTIF('کدهای پیام‌داروساز'!$A$2:$A$2442,A2727)&gt;0,"بله","خیر")</f>
        <v/>
      </c>
    </row>
    <row r="2728" ht="15" customHeight="1" s="14">
      <c r="A2728" s="24" t="n">
        <v>52092</v>
      </c>
      <c r="B2728" s="24" t="inlineStr">
        <is>
          <t>IGM-ENRICHED HUMAN (IMMUNE GLOBULIN) INJECTION PARENTERAL 50 mg/1mL 100 mL</t>
        </is>
      </c>
      <c r="C2728" s="25">
        <f>IF(COUNTIF('کدهای پیام‌داروساز'!$A$2:$A$2442,A2728)&gt;0,"بله","خیر")</f>
        <v/>
      </c>
    </row>
    <row r="2729" ht="15" customHeight="1" s="14">
      <c r="A2729" s="24" t="n">
        <v>52093</v>
      </c>
      <c r="B2729" s="24" t="inlineStr">
        <is>
          <t>LOTEPREDNOL ETABONATE OINTMENT OPHTHALMIC 0.5 % 3.5 g</t>
        </is>
      </c>
      <c r="C2729" s="25">
        <f>IF(COUNTIF('کدهای پیام‌داروساز'!$A$2:$A$2442,A2729)&gt;0,"بله","خیر")</f>
        <v/>
      </c>
    </row>
    <row r="2730" ht="15" customHeight="1" s="14">
      <c r="A2730" s="24" t="n">
        <v>52095</v>
      </c>
      <c r="B2730" s="24" t="inlineStr">
        <is>
          <t>AMINO ACID 10% WITH ELECTROLYTE INJECTION, SOLUTION INTRAVENOUS 5 mg/8.9 mg/8.56 mg/4.4 mg/4.7 mg/4.2 mg/1.6 mg/6.2 mg/11.5 mg/3 mg/10.5 mg/12 mg/5.6 mg/7.2 mg/5.5 mg/2.3 mg/0.4 mg/2.858 mg/0.36 mg/2.453 mg/0.508 mg/3.581 mg/1mL 500 mL</t>
        </is>
      </c>
      <c r="C2730" s="25">
        <f>IF(COUNTIF('کدهای پیام‌داروساز'!$A$2:$A$2442,A2730)&gt;0,"بله","خیر")</f>
        <v/>
      </c>
    </row>
    <row r="2731" ht="15" customHeight="1" s="14">
      <c r="A2731" s="24" t="n">
        <v>52096</v>
      </c>
      <c r="B2731" s="24" t="inlineStr">
        <is>
          <t>IVERMECTIN LOTION TOPICAL 0.5 % 120 g</t>
        </is>
      </c>
      <c r="C2731" s="25">
        <f>IF(COUNTIF('کدهای پیام‌داروساز'!$A$2:$A$2442,A2731)&gt;0,"بله","خیر")</f>
        <v/>
      </c>
    </row>
    <row r="2732" ht="15" customHeight="1" s="14">
      <c r="A2732" s="24" t="n">
        <v>52097</v>
      </c>
      <c r="B2732" s="24" t="inlineStr">
        <is>
          <t>METHOTREXATE INJECTION, SOLUTION PARENTERAL 25 mg/1mL 0.3 mL</t>
        </is>
      </c>
      <c r="C2732" s="25">
        <f>IF(COUNTIF('کدهای پیام‌داروساز'!$A$2:$A$2442,A2732)&gt;0,"بله","خیر")</f>
        <v/>
      </c>
    </row>
    <row r="2733" ht="15" customHeight="1" s="14">
      <c r="A2733" s="24" t="n">
        <v>52098</v>
      </c>
      <c r="B2733" s="24" t="inlineStr">
        <is>
          <t>METHOTREXATE INJECTION, SOLUTION PARENTERAL 25 mg/1mL 0.4 mL</t>
        </is>
      </c>
      <c r="C2733" s="25">
        <f>IF(COUNTIF('کدهای پیام‌داروساز'!$A$2:$A$2442,A2733)&gt;0,"بله","خیر")</f>
        <v/>
      </c>
    </row>
    <row r="2734" ht="15" customHeight="1" s="14">
      <c r="A2734" s="24" t="n">
        <v>52099</v>
      </c>
      <c r="B2734" s="24" t="inlineStr">
        <is>
          <t>METHOTREXATE INJECTION, SOLUTION PARENTERAL 25 mg/1mL 0.6 mL</t>
        </is>
      </c>
      <c r="C2734" s="25">
        <f>IF(COUNTIF('کدهای پیام‌داروساز'!$A$2:$A$2442,A2734)&gt;0,"بله","خیر")</f>
        <v/>
      </c>
    </row>
    <row r="2735" ht="15" customHeight="1" s="14">
      <c r="A2735" s="24" t="n">
        <v>52100</v>
      </c>
      <c r="B2735" s="24" t="inlineStr">
        <is>
          <t>METHOTREXATE INJECTION, SOLUTION PARENTERAL 25 mg/1mL 0.8 mL</t>
        </is>
      </c>
      <c r="C2735" s="25">
        <f>IF(COUNTIF('کدهای پیام‌داروساز'!$A$2:$A$2442,A2735)&gt;0,"بله","خیر")</f>
        <v/>
      </c>
    </row>
    <row r="2736" ht="15" customHeight="1" s="14">
      <c r="A2736" s="24" t="n">
        <v>52101</v>
      </c>
      <c r="B2736" s="24" t="inlineStr">
        <is>
          <t>IVABRADINE (AS HYDROCHLORIDE) TABLET ORAL 7.5 mg</t>
        </is>
      </c>
      <c r="C2736" s="25">
        <f>IF(COUNTIF('کدهای پیام‌داروساز'!$A$2:$A$2442,A2736)&gt;0,"بله","خیر")</f>
        <v/>
      </c>
    </row>
    <row r="2737" ht="15" customHeight="1" s="14">
      <c r="A2737" s="24" t="n">
        <v>52102</v>
      </c>
      <c r="B2737" s="24" t="inlineStr">
        <is>
          <t>POTASSIUM CHLORIDE INJECTION INTRAVENOUS 0.15 % 500 mL</t>
        </is>
      </c>
      <c r="C2737" s="25">
        <f>IF(COUNTIF('کدهای پیام‌داروساز'!$A$2:$A$2442,A2737)&gt;0,"بله","خیر")</f>
        <v/>
      </c>
    </row>
    <row r="2738" ht="15" customHeight="1" s="14">
      <c r="A2738" s="24" t="n">
        <v>52103</v>
      </c>
      <c r="B2738" s="24" t="inlineStr">
        <is>
          <t>POTASSIUM CHLORIDE INJECTION INTRAVENOUS 0.15 % 1000 mL</t>
        </is>
      </c>
      <c r="C2738" s="25">
        <f>IF(COUNTIF('کدهای پیام‌داروساز'!$A$2:$A$2442,A2738)&gt;0,"بله","خیر")</f>
        <v/>
      </c>
    </row>
    <row r="2739" ht="15" customHeight="1" s="14">
      <c r="A2739" s="24" t="n">
        <v>52105</v>
      </c>
      <c r="B2739" s="24" t="inlineStr">
        <is>
          <t>MOLYBDENUM-99 / TECHNETIUM-99m INJECTION INTRAVENOUS 1000 mCi</t>
        </is>
      </c>
      <c r="C2739" s="25">
        <f>IF(COUNTIF('کدهای پیام‌داروساز'!$A$2:$A$2442,A2739)&gt;0,"بله","خیر")</f>
        <v/>
      </c>
    </row>
    <row r="2740" ht="15" customHeight="1" s="14">
      <c r="A2740" s="24" t="n">
        <v>52106</v>
      </c>
      <c r="B2740" s="24" t="inlineStr">
        <is>
          <t>HAEMOPHILUS INFLUENZAE TYPE B INJECTION, POWDER, FOR SOLUTION PARENTERAL 1 {dose} 0.5 mL</t>
        </is>
      </c>
      <c r="C2740" s="25">
        <f>IF(COUNTIF('کدهای پیام‌داروساز'!$A$2:$A$2442,A2740)&gt;0,"بله","خیر")</f>
        <v/>
      </c>
    </row>
    <row r="2741" ht="15" customHeight="1" s="14">
      <c r="A2741" s="24" t="n">
        <v>52107</v>
      </c>
      <c r="B2741" s="24" t="inlineStr">
        <is>
          <t>RABIES VACCINE INJECTION, POWDER, FOR SUSPENSION PARENTERAL 2.5 [iU] 1 mL</t>
        </is>
      </c>
      <c r="C2741" s="25">
        <f>IF(COUNTIF('کدهای پیام‌داروساز'!$A$2:$A$2442,A2741)&gt;0,"بله","خیر")</f>
        <v/>
      </c>
    </row>
    <row r="2742" ht="15" customHeight="1" s="14">
      <c r="A2742" s="24" t="n">
        <v>52109</v>
      </c>
      <c r="B2742" s="24" t="inlineStr">
        <is>
          <t>LIDOCAINE SPRAY TOPICAL 10 mg/1{dose} 20 mL</t>
        </is>
      </c>
      <c r="C2742" s="25">
        <f>IF(COUNTIF('کدهای پیام‌داروساز'!$A$2:$A$2442,A2742)&gt;0,"بله","خیر")</f>
        <v/>
      </c>
    </row>
    <row r="2743" ht="15" customHeight="1" s="14">
      <c r="A2743" s="24" t="n">
        <v>52110</v>
      </c>
      <c r="B2743" s="24" t="inlineStr">
        <is>
          <t>ATAZANAVIR (AS SULFATE) CAPSULE ORAL 200 mg</t>
        </is>
      </c>
      <c r="C2743" s="25">
        <f>IF(COUNTIF('کدهای پیام‌داروساز'!$A$2:$A$2442,A2743)&gt;0,"بله","خیر")</f>
        <v/>
      </c>
    </row>
    <row r="2744" ht="15" customHeight="1" s="14">
      <c r="A2744" s="24" t="n">
        <v>52111</v>
      </c>
      <c r="B2744" s="24" t="inlineStr">
        <is>
          <t>METFORMIN HYDROCHLORIDE / LINAGLIPTIN TABLET ORAL 1000 mg/2.5 mg</t>
        </is>
      </c>
      <c r="C2744" s="25">
        <f>IF(COUNTIF('کدهای پیام‌داروساز'!$A$2:$A$2442,A2744)&gt;0,"بله","خیر")</f>
        <v/>
      </c>
    </row>
    <row r="2745" ht="15" customHeight="1" s="14">
      <c r="A2745" s="24" t="n">
        <v>52112</v>
      </c>
      <c r="B2745" s="24" t="inlineStr">
        <is>
          <t>METFORMIN HYDROCHLORIDE / LINAGLIPTIN TABLET ORAL 500 mg/2.5 mg</t>
        </is>
      </c>
      <c r="C2745" s="25">
        <f>IF(COUNTIF('کدهای پیام‌داروساز'!$A$2:$A$2442,A2745)&gt;0,"بله","خیر")</f>
        <v/>
      </c>
    </row>
    <row r="2746" ht="15" customHeight="1" s="14">
      <c r="A2746" s="24" t="n">
        <v>52113</v>
      </c>
      <c r="B2746" s="24" t="inlineStr">
        <is>
          <t>SODIUM IODIDE (SUP131/SUPI) CAPSULE ORAL 5 mCi</t>
        </is>
      </c>
      <c r="C2746" s="25">
        <f>IF(COUNTIF('کدهای پیام‌داروساز'!$A$2:$A$2442,A2746)&gt;0,"بله","خیر")</f>
        <v/>
      </c>
    </row>
    <row r="2747" ht="15" customHeight="1" s="14">
      <c r="A2747" s="24" t="n">
        <v>52114</v>
      </c>
      <c r="B2747" s="24" t="inlineStr">
        <is>
          <t>SODIUM IODIDE (SUP131/SUPI) CAPSULE ORAL 10 mCi</t>
        </is>
      </c>
      <c r="C2747" s="25">
        <f>IF(COUNTIF('کدهای پیام‌داروساز'!$A$2:$A$2442,A2747)&gt;0,"بله","خیر")</f>
        <v/>
      </c>
    </row>
    <row r="2748" ht="15" customHeight="1" s="14">
      <c r="A2748" s="24" t="n">
        <v>52115</v>
      </c>
      <c r="B2748" s="24" t="inlineStr">
        <is>
          <t>SODIUM IODIDE (SUP131/SUPI) CAPSULE ORAL 15 mCi</t>
        </is>
      </c>
      <c r="C2748" s="25">
        <f>IF(COUNTIF('کدهای پیام‌داروساز'!$A$2:$A$2442,A2748)&gt;0,"بله","خیر")</f>
        <v/>
      </c>
    </row>
    <row r="2749" ht="15" customHeight="1" s="14">
      <c r="A2749" s="24" t="n">
        <v>52116</v>
      </c>
      <c r="B2749" s="24" t="inlineStr">
        <is>
          <t>SODIUM IODIDE (SUP131/SUPI) CAPSULE ORAL 20 mCi</t>
        </is>
      </c>
      <c r="C2749" s="25">
        <f>IF(COUNTIF('کدهای پیام‌داروساز'!$A$2:$A$2442,A2749)&gt;0,"بله","خیر")</f>
        <v/>
      </c>
    </row>
    <row r="2750" ht="15" customHeight="1" s="14">
      <c r="A2750" s="24" t="n">
        <v>52117</v>
      </c>
      <c r="B2750" s="24" t="inlineStr">
        <is>
          <t>METHOTREXATE INJECTION, SOLUTION PARENTERAL 50 mg/1mL 0.15 mL</t>
        </is>
      </c>
      <c r="C2750" s="25">
        <f>IF(COUNTIF('کدهای پیام‌داروساز'!$A$2:$A$2442,A2750)&gt;0,"بله","خیر")</f>
        <v/>
      </c>
    </row>
    <row r="2751" ht="15" customHeight="1" s="14">
      <c r="A2751" s="24" t="n">
        <v>52118</v>
      </c>
      <c r="B2751" s="24" t="inlineStr">
        <is>
          <t>METHOTREXATE INJECTION, SOLUTION PARENTERAL 50 mg/1mL 0.2 mL</t>
        </is>
      </c>
      <c r="C2751" s="25">
        <f>IF(COUNTIF('کدهای پیام‌داروساز'!$A$2:$A$2442,A2751)&gt;0,"بله","خیر")</f>
        <v/>
      </c>
    </row>
    <row r="2752" ht="15" customHeight="1" s="14">
      <c r="A2752" s="24" t="n">
        <v>52119</v>
      </c>
      <c r="B2752" s="24" t="inlineStr">
        <is>
          <t>METHOTREXATE INJECTION, SOLUTION PARENTERAL 50 mg/1mL 0.3 mL</t>
        </is>
      </c>
      <c r="C2752" s="25">
        <f>IF(COUNTIF('کدهای پیام‌داروساز'!$A$2:$A$2442,A2752)&gt;0,"بله","خیر")</f>
        <v/>
      </c>
    </row>
    <row r="2753" ht="15" customHeight="1" s="14">
      <c r="A2753" s="24" t="n">
        <v>52120</v>
      </c>
      <c r="B2753" s="24" t="inlineStr">
        <is>
          <t>METHOTREXATE INJECTION, SOLUTION PARENTERAL 50 mg/1mL 0.4 mL</t>
        </is>
      </c>
      <c r="C2753" s="25">
        <f>IF(COUNTIF('کدهای پیام‌داروساز'!$A$2:$A$2442,A2753)&gt;0,"بله","خیر")</f>
        <v/>
      </c>
    </row>
    <row r="2754" ht="15" customHeight="1" s="14">
      <c r="A2754" s="24" t="n">
        <v>52121</v>
      </c>
      <c r="B2754" s="24" t="inlineStr">
        <is>
          <t>SODIUM IODIDE (SUP131/SUPI) CAPSULE ORAL 25 mCi</t>
        </is>
      </c>
      <c r="C2754" s="25">
        <f>IF(COUNTIF('کدهای پیام‌داروساز'!$A$2:$A$2442,A2754)&gt;0,"بله","خیر")</f>
        <v/>
      </c>
    </row>
    <row r="2755" ht="15" customHeight="1" s="14">
      <c r="A2755" s="24" t="n">
        <v>52122</v>
      </c>
      <c r="B2755" s="24" t="inlineStr">
        <is>
          <t>METHOTREXATE INJECTION, SOLUTION PARENTERAL 50 mg/1mL 0.5 mL</t>
        </is>
      </c>
      <c r="C2755" s="25">
        <f>IF(COUNTIF('کدهای پیام‌داروساز'!$A$2:$A$2442,A2755)&gt;0,"بله","خیر")</f>
        <v/>
      </c>
    </row>
    <row r="2756" ht="15" customHeight="1" s="14">
      <c r="A2756" s="24" t="n">
        <v>52123</v>
      </c>
      <c r="B2756" s="24" t="inlineStr">
        <is>
          <t>METHOTREXATE INJECTION, SOLUTION PARENTERAL 50 mg/1mL 0.6 mL</t>
        </is>
      </c>
      <c r="C2756" s="25">
        <f>IF(COUNTIF('کدهای پیام‌داروساز'!$A$2:$A$2442,A2756)&gt;0,"بله","خیر")</f>
        <v/>
      </c>
    </row>
    <row r="2757" ht="15" customHeight="1" s="14">
      <c r="A2757" s="24" t="n">
        <v>52124</v>
      </c>
      <c r="B2757" s="24" t="inlineStr">
        <is>
          <t>SODIUM IODIDE (SUP131/SUPI) CAPSULE ORAL 50 mCi</t>
        </is>
      </c>
      <c r="C2757" s="25">
        <f>IF(COUNTIF('کدهای پیام‌داروساز'!$A$2:$A$2442,A2757)&gt;0,"بله","خیر")</f>
        <v/>
      </c>
    </row>
    <row r="2758" ht="15" customHeight="1" s="14">
      <c r="A2758" s="24" t="n">
        <v>52125</v>
      </c>
      <c r="B2758" s="24" t="inlineStr">
        <is>
          <t>SODIUM IODIDE (SUP131/SUPI) CAPSULE ORAL 100 mCi</t>
        </is>
      </c>
      <c r="C2758" s="25">
        <f>IF(COUNTIF('کدهای پیام‌داروساز'!$A$2:$A$2442,A2758)&gt;0,"بله","خیر")</f>
        <v/>
      </c>
    </row>
    <row r="2759" ht="15" customHeight="1" s="14">
      <c r="A2759" s="24" t="n">
        <v>52126</v>
      </c>
      <c r="B2759" s="24" t="inlineStr">
        <is>
          <t>SODIUM IODIDE (SUP131/SUPI) CAPSULE ORAL 150 mCi</t>
        </is>
      </c>
      <c r="C2759" s="25">
        <f>IF(COUNTIF('کدهای پیام‌داروساز'!$A$2:$A$2442,A2759)&gt;0,"بله","خیر")</f>
        <v/>
      </c>
    </row>
    <row r="2760" ht="15" customHeight="1" s="14">
      <c r="A2760" s="24" t="n">
        <v>52127</v>
      </c>
      <c r="B2760" s="24" t="inlineStr">
        <is>
          <t>SODIUM IODIDE (SUP131/SUPI) CAPSULE ORAL 200 mCi</t>
        </is>
      </c>
      <c r="C2760" s="25">
        <f>IF(COUNTIF('کدهای پیام‌داروساز'!$A$2:$A$2442,A2760)&gt;0,"بله","خیر")</f>
        <v/>
      </c>
    </row>
    <row r="2761" ht="15" customHeight="1" s="14">
      <c r="A2761" s="24" t="n">
        <v>52128</v>
      </c>
      <c r="B2761" s="24" t="inlineStr">
        <is>
          <t>MOLYBDENUM-99 / TECHNETIUM-99m INJECTION INTRAVENOUS 600 mCi</t>
        </is>
      </c>
      <c r="C2761" s="25">
        <f>IF(COUNTIF('کدهای پیام‌داروساز'!$A$2:$A$2442,A2761)&gt;0,"بله","خیر")</f>
        <v/>
      </c>
    </row>
    <row r="2762" ht="15" customHeight="1" s="14">
      <c r="A2762" s="24" t="n">
        <v>52129</v>
      </c>
      <c r="B2762" s="24" t="inlineStr">
        <is>
          <t>MOLYBDENUM-99 / TECHNETIUM-99m INJECTION INTRAVENOUS 1200 mCi</t>
        </is>
      </c>
      <c r="C2762" s="25">
        <f>IF(COUNTIF('کدهای پیام‌داروساز'!$A$2:$A$2442,A2762)&gt;0,"بله","خیر")</f>
        <v/>
      </c>
    </row>
    <row r="2763" ht="15" customHeight="1" s="14">
      <c r="A2763" s="24" t="n">
        <v>52130</v>
      </c>
      <c r="B2763" s="24" t="inlineStr">
        <is>
          <t>MOLYBDENUM-99 / TECHNETIUM-99m INJECTION INTRAVENOUS 1600 mCi</t>
        </is>
      </c>
      <c r="C2763" s="25">
        <f>IF(COUNTIF('کدهای پیام‌داروساز'!$A$2:$A$2442,A2763)&gt;0,"بله","خیر")</f>
        <v/>
      </c>
    </row>
    <row r="2764" ht="15" customHeight="1" s="14">
      <c r="A2764" s="24" t="n">
        <v>52132</v>
      </c>
      <c r="B2764" s="24" t="inlineStr">
        <is>
          <t>MOLYBDENUM-99 / TECHNETIUM-99m INJECTION INTRAVENOUS 2000 mCi</t>
        </is>
      </c>
      <c r="C2764" s="25">
        <f>IF(COUNTIF('کدهای پیام‌داروساز'!$A$2:$A$2442,A2764)&gt;0,"بله","خیر")</f>
        <v/>
      </c>
    </row>
    <row r="2765" ht="15" customHeight="1" s="14">
      <c r="A2765" s="24" t="n">
        <v>52134</v>
      </c>
      <c r="B2765" s="24" t="inlineStr">
        <is>
          <t>TECHNETIUM-99M TRODAT INJECTION, POWDER, FOR SOLUTION INTRAVENOUS 33 mCi</t>
        </is>
      </c>
      <c r="C2765" s="25">
        <f>IF(COUNTIF('کدهای پیام‌داروساز'!$A$2:$A$2442,A2765)&gt;0,"بله","خیر")</f>
        <v/>
      </c>
    </row>
    <row r="2766" ht="15" customHeight="1" s="14">
      <c r="A2766" s="24" t="n">
        <v>52136</v>
      </c>
      <c r="B2766" s="24" t="inlineStr">
        <is>
          <t>DESLORATADINE TABLET ORAL 5 mg</t>
        </is>
      </c>
      <c r="C2766" s="25">
        <f>IF(COUNTIF('کدهای پیام‌داروساز'!$A$2:$A$2442,A2766)&gt;0,"بله","خیر")</f>
        <v/>
      </c>
    </row>
    <row r="2767" ht="15" customHeight="1" s="14">
      <c r="A2767" s="24" t="n">
        <v>52137</v>
      </c>
      <c r="B2767" s="24" t="inlineStr">
        <is>
          <t>EMPAGLIFLOZIN TABLET ORAL 25 mg</t>
        </is>
      </c>
      <c r="C2767" s="25">
        <f>IF(COUNTIF('کدهای پیام‌داروساز'!$A$2:$A$2442,A2767)&gt;0,"بله","خیر")</f>
        <v/>
      </c>
    </row>
    <row r="2768" ht="15" customHeight="1" s="14">
      <c r="A2768" s="24" t="n">
        <v>52138</v>
      </c>
      <c r="B2768" s="24" t="inlineStr">
        <is>
          <t>EMPAGLIFLOZIN TABLET ORAL 10 mg</t>
        </is>
      </c>
      <c r="C2768" s="25">
        <f>IF(COUNTIF('کدهای پیام‌داروساز'!$A$2:$A$2442,A2768)&gt;0,"بله","خیر")</f>
        <v/>
      </c>
    </row>
    <row r="2769" ht="15" customHeight="1" s="14">
      <c r="A2769" s="24" t="n">
        <v>52139</v>
      </c>
      <c r="B2769" s="24" t="inlineStr">
        <is>
          <t>DIPHTHERIA TOXOID / TETANUS TOXOID ADSORBED VACCINE (DT) (CHILDREN) INJECTION PARENTERAL 14 {dose} 7 mL</t>
        </is>
      </c>
      <c r="C2769" s="25">
        <f>IF(COUNTIF('کدهای پیام‌داروساز'!$A$2:$A$2442,A2769)&gt;0,"بله","خیر")</f>
        <v/>
      </c>
    </row>
    <row r="2770" ht="15" customHeight="1" s="14">
      <c r="A2770" s="24" t="n">
        <v>52140</v>
      </c>
      <c r="B2770" s="24" t="inlineStr">
        <is>
          <t>PERITONEAL DIALYSIS V-I SOLUTION INTRAPERITONEAL 11.57 g/0.5145 g/0.2033 g/33 g/5.88 g/1000mL 2 L</t>
        </is>
      </c>
      <c r="C2770" s="25">
        <f>IF(COUNTIF('کدهای پیام‌داروساز'!$A$2:$A$2442,A2770)&gt;0,"بله","خیر")</f>
        <v/>
      </c>
    </row>
    <row r="2771" ht="15" customHeight="1" s="14">
      <c r="A2771" s="24" t="n">
        <v>52141</v>
      </c>
      <c r="B2771" s="24" t="inlineStr">
        <is>
          <t>PERITONEAL DIALYSIS V-III SOLUTION INTRAPERITONEAL 11.57 g/0.5145 g/0.2033 g/93.5 g/5.88 g/1000mL 2 L</t>
        </is>
      </c>
      <c r="C2771" s="25">
        <f>IF(COUNTIF('کدهای پیام‌داروساز'!$A$2:$A$2442,A2771)&gt;0,"بله","خیر")</f>
        <v/>
      </c>
    </row>
    <row r="2772" ht="15" customHeight="1" s="14">
      <c r="A2772" s="24" t="n">
        <v>52142</v>
      </c>
      <c r="B2772" s="24" t="inlineStr">
        <is>
          <t>PERITONEAL DIALYSIS V-II SOLUTION INTRAPERITONEAL 11.57 g/0.5145 g/0.2033 g/50 g/5.88 g/1000mL 2 L</t>
        </is>
      </c>
      <c r="C2772" s="25">
        <f>IF(COUNTIF('کدهای پیام‌داروساز'!$A$2:$A$2442,A2772)&gt;0,"بله","خیر")</f>
        <v/>
      </c>
    </row>
    <row r="2773" ht="15" customHeight="1" s="14">
      <c r="A2773" s="24" t="n">
        <v>52143</v>
      </c>
      <c r="B2773" s="24" t="inlineStr">
        <is>
          <t>MOLYBDENUM-99 / TECHNETIUM-99m INJECTION INTRAVENOUS 800 mCi</t>
        </is>
      </c>
      <c r="C2773" s="25">
        <f>IF(COUNTIF('کدهای پیام‌داروساز'!$A$2:$A$2442,A2773)&gt;0,"بله","خیر")</f>
        <v/>
      </c>
    </row>
    <row r="2774" ht="15" customHeight="1" s="14">
      <c r="A2774" s="24" t="n">
        <v>52145</v>
      </c>
      <c r="B2774" s="24" t="inlineStr">
        <is>
          <t>PIPERAZINE SYRUP ORAL 750 mg/5 mL 60 mL</t>
        </is>
      </c>
      <c r="C2774" s="25">
        <f>IF(COUNTIF('کدهای پیام‌داروساز'!$A$2:$A$2442,A2774)&gt;0,"بله","خیر")</f>
        <v/>
      </c>
    </row>
    <row r="2775" ht="15" customHeight="1" s="14">
      <c r="A2775" s="24" t="n">
        <v>52146</v>
      </c>
      <c r="B2775" s="24" t="inlineStr">
        <is>
          <t>MESALAZINE ENEMA RECTAL 1 g/100mL</t>
        </is>
      </c>
      <c r="C2775" s="25">
        <f>IF(COUNTIF('کدهای پیام‌داروساز'!$A$2:$A$2442,A2775)&gt;0,"بله","خیر")</f>
        <v/>
      </c>
    </row>
    <row r="2776" ht="15" customHeight="1" s="14">
      <c r="A2776" s="24" t="n">
        <v>52147</v>
      </c>
      <c r="B2776" s="24" t="inlineStr">
        <is>
          <t>MESALAZINE AEROSOL, FOAM RECTAL 1 g/1{Puff} 80 g</t>
        </is>
      </c>
      <c r="C2776" s="25">
        <f>IF(COUNTIF('کدهای پیام‌داروساز'!$A$2:$A$2442,A2776)&gt;0,"بله","خیر")</f>
        <v/>
      </c>
    </row>
    <row r="2777" ht="15" customHeight="1" s="14">
      <c r="A2777" s="24" t="n">
        <v>52148</v>
      </c>
      <c r="B2777" s="24" t="inlineStr">
        <is>
          <t>DESLORATADINE SYRUP ORAL 2.5 mg/5 mL 120 mL</t>
        </is>
      </c>
      <c r="C2777" s="25">
        <f>IF(COUNTIF('کدهای پیام‌داروساز'!$A$2:$A$2442,A2777)&gt;0,"بله","خیر")</f>
        <v/>
      </c>
    </row>
    <row r="2778" ht="15" customHeight="1" s="14">
      <c r="A2778" s="24" t="n">
        <v>52149</v>
      </c>
      <c r="B2778" s="24" t="inlineStr">
        <is>
          <t>FLUTICASONE PROPIONATE SPRAY NASAL 50 ug/1{Puff} 120 {Puff}</t>
        </is>
      </c>
      <c r="C2778" s="25">
        <f>IF(COUNTIF('کدهای پیام‌داروساز'!$A$2:$A$2442,A2778)&gt;0,"بله","خیر")</f>
        <v/>
      </c>
    </row>
    <row r="2779" ht="15" customHeight="1" s="14">
      <c r="A2779" s="24" t="n">
        <v>52150</v>
      </c>
      <c r="B2779" s="24" t="inlineStr">
        <is>
          <t>LACTULOSE SYRUP ORAL 10 g/15mL 500 mL</t>
        </is>
      </c>
      <c r="C2779" s="25">
        <f>IF(COUNTIF('کدهای پیام‌داروساز'!$A$2:$A$2442,A2779)&gt;0,"بله","خیر")</f>
        <v/>
      </c>
    </row>
    <row r="2780" ht="15" customHeight="1" s="14">
      <c r="A2780" s="24" t="n">
        <v>52151</v>
      </c>
      <c r="B2780" s="24" t="inlineStr">
        <is>
          <t>BUDESONIDE / FORMOTEROL FUMARATE POWDER, METERED RESPIRATORY 80 ug/4.5 ug/1{dose} 60 {dose}</t>
        </is>
      </c>
      <c r="C2780" s="25">
        <f>IF(COUNTIF('کدهای پیام‌داروساز'!$A$2:$A$2442,A2780)&gt;0,"بله","خیر")</f>
        <v/>
      </c>
    </row>
    <row r="2781" ht="15" customHeight="1" s="14">
      <c r="A2781" s="24" t="n">
        <v>52153</v>
      </c>
      <c r="B2781" s="24" t="inlineStr">
        <is>
          <t>TENOFOVIR DISOPROXIL FUMARATE TABLET ORAL 200 mg</t>
        </is>
      </c>
      <c r="C2781" s="25">
        <f>IF(COUNTIF('کدهای پیام‌داروساز'!$A$2:$A$2442,A2781)&gt;0,"بله","خیر")</f>
        <v/>
      </c>
    </row>
    <row r="2782" ht="15" customHeight="1" s="14">
      <c r="A2782" s="24" t="n">
        <v>52154</v>
      </c>
      <c r="B2782" s="24" t="inlineStr">
        <is>
          <t>SALBUTAMOL / BECLOMETHASONE DIPROPIONATE AEROSOL, SPRAY RESPIRATORY 100 ug/50 ug/1{dose} 200 {Puff}</t>
        </is>
      </c>
      <c r="C2782" s="25">
        <f>IF(COUNTIF('کدهای پیام‌داروساز'!$A$2:$A$2442,A2782)&gt;0,"بله","خیر")</f>
        <v/>
      </c>
    </row>
    <row r="2783" ht="15" customHeight="1" s="14">
      <c r="A2783" s="24" t="n">
        <v>52157</v>
      </c>
      <c r="B2783" s="24" t="inlineStr">
        <is>
          <t>TESTOSTERONE GEL TOPICAL 1 % 5 g</t>
        </is>
      </c>
      <c r="C2783" s="25">
        <f>IF(COUNTIF('کدهای پیام‌داروساز'!$A$2:$A$2442,A2783)&gt;0,"بله","خیر")</f>
        <v/>
      </c>
    </row>
    <row r="2784" ht="15" customHeight="1" s="14">
      <c r="A2784" s="24" t="n">
        <v>52158</v>
      </c>
      <c r="B2784" s="24" t="inlineStr">
        <is>
          <t>FACTOR IX INJECTION, POWDER, LYOPHILIZED, FOR SOLUTION PARENTERAL 1200 [iU]</t>
        </is>
      </c>
      <c r="C2784" s="25">
        <f>IF(COUNTIF('کدهای پیام‌داروساز'!$A$2:$A$2442,A2784)&gt;0,"بله","خیر")</f>
        <v/>
      </c>
    </row>
    <row r="2785" ht="15" customHeight="1" s="14">
      <c r="A2785" s="24" t="n">
        <v>52159</v>
      </c>
      <c r="B2785" s="24" t="inlineStr">
        <is>
          <t>ACETAMINOPHEN / CAFFEINE / CODEINE PHOSPHATE TABLET ORAL 300 mg/15 mg/15 mg</t>
        </is>
      </c>
      <c r="C2785" s="25">
        <f>IF(COUNTIF('کدهای پیام‌داروساز'!$A$2:$A$2442,A2785)&gt;0,"بله","خیر")</f>
        <v/>
      </c>
    </row>
    <row r="2786" ht="15" customHeight="1" s="14">
      <c r="A2786" s="24" t="n">
        <v>52160</v>
      </c>
      <c r="B2786" s="24" t="inlineStr">
        <is>
          <t>L-CARNITINE SOLUTION ORAL 100 mg/1mL 60 mL</t>
        </is>
      </c>
      <c r="C2786" s="25">
        <f>IF(COUNTIF('کدهای پیام‌داروساز'!$A$2:$A$2442,A2786)&gt;0,"بله","خیر")</f>
        <v/>
      </c>
    </row>
    <row r="2787" ht="15" customHeight="1" s="14">
      <c r="A2787" s="24" t="n">
        <v>52162</v>
      </c>
      <c r="B2787" s="24" t="inlineStr">
        <is>
          <t>DIETHYLTOLUAMIDE SPRAY TOPICAL 20 % 100 mL</t>
        </is>
      </c>
      <c r="C2787" s="25">
        <f>IF(COUNTIF('کدهای پیام‌داروساز'!$A$2:$A$2442,A2787)&gt;0,"بله","خیر")</f>
        <v/>
      </c>
    </row>
    <row r="2788" ht="15" customHeight="1" s="14">
      <c r="A2788" s="24" t="n">
        <v>52163</v>
      </c>
      <c r="B2788" s="24" t="inlineStr">
        <is>
          <t>RIFAPENTINE TABLET ORAL 150 mg</t>
        </is>
      </c>
      <c r="C2788" s="25">
        <f>IF(COUNTIF('کدهای پیام‌داروساز'!$A$2:$A$2442,A2788)&gt;0,"بله","خیر")</f>
        <v/>
      </c>
    </row>
    <row r="2789" ht="15" customHeight="1" s="14">
      <c r="A2789" s="24" t="n">
        <v>52164</v>
      </c>
      <c r="B2789" s="24" t="inlineStr">
        <is>
          <t>HEPATITIS B IMMUNE GLOBULIN INJECTION PARENTERAL 50 [iU]/1mL 100 mL</t>
        </is>
      </c>
      <c r="C2789" s="25">
        <f>IF(COUNTIF('کدهای پیام‌داروساز'!$A$2:$A$2442,A2789)&gt;0,"بله","خیر")</f>
        <v/>
      </c>
    </row>
    <row r="2790" ht="15" customHeight="1" s="14">
      <c r="A2790" s="24" t="n">
        <v>52165</v>
      </c>
      <c r="B2790" s="24" t="inlineStr">
        <is>
          <t>EPOPROSTENOL (AS SODIUM) INJECTION, POWDER, LYOPHILIZED, FOR SOLUTION PARENTERAL 0.5 mg</t>
        </is>
      </c>
      <c r="C2790" s="25">
        <f>IF(COUNTIF('کدهای پیام‌داروساز'!$A$2:$A$2442,A2790)&gt;0,"بله","خیر")</f>
        <v/>
      </c>
    </row>
    <row r="2791" ht="15" customHeight="1" s="14">
      <c r="A2791" s="24" t="n">
        <v>52166</v>
      </c>
      <c r="B2791" s="24" t="inlineStr">
        <is>
          <t>EPOPROSTENOL (AS SODIUM) INJECTION, POWDER, LYOPHILIZED, FOR SOLUTION PARENTERAL 1.5 mg</t>
        </is>
      </c>
      <c r="C2791" s="25">
        <f>IF(COUNTIF('کدهای پیام‌داروساز'!$A$2:$A$2442,A2791)&gt;0,"بله","خیر")</f>
        <v/>
      </c>
    </row>
    <row r="2792" ht="15" customHeight="1" s="14">
      <c r="A2792" s="24" t="n">
        <v>52167</v>
      </c>
      <c r="B2792" s="24" t="inlineStr">
        <is>
          <t>DAPAGLIFLOZIN (AS PROPANEDIOL) TABLET ORAL 10 mg</t>
        </is>
      </c>
      <c r="C2792" s="25">
        <f>IF(COUNTIF('کدهای پیام‌داروساز'!$A$2:$A$2442,A2792)&gt;0,"بله","خیر")</f>
        <v/>
      </c>
    </row>
    <row r="2793" ht="15" customHeight="1" s="14">
      <c r="A2793" s="24" t="n">
        <v>52169</v>
      </c>
      <c r="B2793" s="24" t="inlineStr">
        <is>
          <t>MECASERMIN INJECTION, SOLUTION PARENTERAL 10 mg/1mL 4 mL</t>
        </is>
      </c>
      <c r="C2793" s="25">
        <f>IF(COUNTIF('کدهای پیام‌داروساز'!$A$2:$A$2442,A2793)&gt;0,"بله","خیر")</f>
        <v/>
      </c>
    </row>
    <row r="2794" ht="15" customHeight="1" s="14">
      <c r="A2794" s="24" t="n">
        <v>52170</v>
      </c>
      <c r="B2794" s="24" t="inlineStr">
        <is>
          <t>ZIPRASIDONE CAPSULE ORAL 80 mg</t>
        </is>
      </c>
      <c r="C2794" s="25">
        <f>IF(COUNTIF('کدهای پیام‌داروساز'!$A$2:$A$2442,A2794)&gt;0,"بله","خیر")</f>
        <v/>
      </c>
    </row>
    <row r="2795" ht="15" customHeight="1" s="14">
      <c r="A2795" s="24" t="n">
        <v>52171</v>
      </c>
      <c r="B2795" s="24" t="inlineStr">
        <is>
          <t>ROTAVIRUS VACCINE, PENTAVALENT, LIVE SOLUTION ORAL 1 {dose} 1 {dose}</t>
        </is>
      </c>
      <c r="C2795" s="25">
        <f>IF(COUNTIF('کدهای پیام‌داروساز'!$A$2:$A$2442,A2795)&gt;0,"بله","خیر")</f>
        <v/>
      </c>
    </row>
    <row r="2796" ht="15" customHeight="1" s="14">
      <c r="A2796" s="24" t="n">
        <v>52172</v>
      </c>
      <c r="B2796" s="24" t="inlineStr">
        <is>
          <t>OCRELIZUMAB INJECTION, SOLUTION, CONCENTRATE PARENTERAL 30 mg/1mL 10 mL</t>
        </is>
      </c>
      <c r="C2796" s="25">
        <f>IF(COUNTIF('کدهای پیام‌داروساز'!$A$2:$A$2442,A2796)&gt;0,"بله","خیر")</f>
        <v/>
      </c>
    </row>
    <row r="2797" ht="15" customHeight="1" s="14">
      <c r="A2797" s="24" t="n">
        <v>52173</v>
      </c>
      <c r="B2797" s="24" t="inlineStr">
        <is>
          <t>EMPAGLIFLOZIN / METFORMIN HYDROCHLORIDE TABLET ORAL 5 mg/500 mg</t>
        </is>
      </c>
      <c r="C2797" s="25">
        <f>IF(COUNTIF('کدهای پیام‌داروساز'!$A$2:$A$2442,A2797)&gt;0,"بله","خیر")</f>
        <v/>
      </c>
    </row>
    <row r="2798" ht="15" customHeight="1" s="14">
      <c r="A2798" s="24" t="n">
        <v>52174</v>
      </c>
      <c r="B2798" s="24" t="inlineStr">
        <is>
          <t>EMPAGLIFLOZIN / METFORMIN HYDROCHLORIDE TABLET ORAL 5 mg/1000 mg</t>
        </is>
      </c>
      <c r="C2798" s="25">
        <f>IF(COUNTIF('کدهای پیام‌داروساز'!$A$2:$A$2442,A2798)&gt;0,"بله","خیر")</f>
        <v/>
      </c>
    </row>
    <row r="2799" ht="15" customHeight="1" s="14">
      <c r="A2799" s="24" t="n">
        <v>52176</v>
      </c>
      <c r="B2799" s="24" t="inlineStr">
        <is>
          <t>EMPAGLIFLOZIN / METFORMIN HYDROCHLORIDE TABLET ORAL 12.5 mg/1000 mg</t>
        </is>
      </c>
      <c r="C2799" s="25">
        <f>IF(COUNTIF('کدهای پیام‌داروساز'!$A$2:$A$2442,A2799)&gt;0,"بله","خیر")</f>
        <v/>
      </c>
    </row>
    <row r="2800" ht="15" customHeight="1" s="14">
      <c r="A2800" s="24" t="n">
        <v>52177</v>
      </c>
      <c r="B2800" s="24" t="inlineStr">
        <is>
          <t>LACOSAMIDE TABLET ORAL 100 mg</t>
        </is>
      </c>
      <c r="C2800" s="25">
        <f>IF(COUNTIF('کدهای پیام‌داروساز'!$A$2:$A$2442,A2800)&gt;0,"بله","خیر")</f>
        <v/>
      </c>
    </row>
    <row r="2801" ht="15" customHeight="1" s="14">
      <c r="A2801" s="24" t="n">
        <v>52178</v>
      </c>
      <c r="B2801" s="24" t="inlineStr">
        <is>
          <t>LACOSAMIDE TABLET ORAL 50 mg</t>
        </is>
      </c>
      <c r="C2801" s="25">
        <f>IF(COUNTIF('کدهای پیام‌داروساز'!$A$2:$A$2442,A2801)&gt;0,"بله","خیر")</f>
        <v/>
      </c>
    </row>
    <row r="2802" ht="15" customHeight="1" s="14">
      <c r="A2802" s="24" t="n">
        <v>52179</v>
      </c>
      <c r="B2802" s="24" t="inlineStr">
        <is>
          <t>LACOSAMIDE TABLET ORAL 150 mg</t>
        </is>
      </c>
      <c r="C2802" s="25">
        <f>IF(COUNTIF('کدهای پیام‌داروساز'!$A$2:$A$2442,A2802)&gt;0,"بله","خیر")</f>
        <v/>
      </c>
    </row>
    <row r="2803" ht="15" customHeight="1" s="14">
      <c r="A2803" s="24" t="n">
        <v>52181</v>
      </c>
      <c r="B2803" s="24" t="inlineStr">
        <is>
          <t>HEMOFILTRATION / HEMODIAFILTRATION (4) SOLUTION PARENTERAL 5.48 g/5.145 g/2.033 g/6.45 g/3.09 g/22 g/0.314 g/1000mL 5000 mL</t>
        </is>
      </c>
      <c r="C2803" s="25">
        <f>IF(COUNTIF('کدهای پیام‌داروساز'!$A$2:$A$2442,A2803)&gt;0,"بله","خیر")</f>
        <v/>
      </c>
    </row>
    <row r="2804" ht="15" customHeight="1" s="14">
      <c r="A2804" s="24" t="n">
        <v>52182</v>
      </c>
      <c r="B2804" s="24" t="inlineStr">
        <is>
          <t>HEMOFILTRATION / HEMODIAFILTRATION (3) SOLUTION PARENTERAL 5.4 g/5.145 g/2.033 g/6.45 g/3.09 g/1000mL 5000 mL</t>
        </is>
      </c>
      <c r="C2804" s="25">
        <f>IF(COUNTIF('کدهای پیام‌داروساز'!$A$2:$A$2442,A2804)&gt;0,"بله","خیر")</f>
        <v/>
      </c>
    </row>
    <row r="2805" ht="15" customHeight="1" s="14">
      <c r="A2805" s="24" t="n">
        <v>52183</v>
      </c>
      <c r="B2805" s="24" t="inlineStr">
        <is>
          <t>HEMOFILTRATION / HEMODIAFILTRATION (1) SOLUTION PARENTERAL 3.68 g/2.44 g/6.44 g/2.92 g/0.225 g/0.314 g/1000mL 5000 mL</t>
        </is>
      </c>
      <c r="C2805" s="25">
        <f>IF(COUNTIF('کدهای پیام‌داروساز'!$A$2:$A$2442,A2805)&gt;0,"بله","خیر")</f>
        <v/>
      </c>
    </row>
    <row r="2806" ht="15" customHeight="1" s="14">
      <c r="A2806" s="24" t="n">
        <v>52184</v>
      </c>
      <c r="B2806" s="24" t="inlineStr">
        <is>
          <t>PAROXETINE (AS MESILATE) TABLET ORAL 20 mg</t>
        </is>
      </c>
      <c r="C2806" s="25">
        <f>IF(COUNTIF('کدهای پیام‌داروساز'!$A$2:$A$2442,A2806)&gt;0,"بله","خیر")</f>
        <v/>
      </c>
    </row>
    <row r="2807" ht="15" customHeight="1" s="14">
      <c r="A2807" s="24" t="n">
        <v>52185</v>
      </c>
      <c r="B2807" s="24" t="inlineStr">
        <is>
          <t>CODEINE PHOSPHATE / GUAIFENESIN SYRUP ORAL 10 mg/100 mg/5 mL 60 mL</t>
        </is>
      </c>
      <c r="C2807" s="25">
        <f>IF(COUNTIF('کدهای پیام‌داروساز'!$A$2:$A$2442,A2807)&gt;0,"بله","خیر")</f>
        <v/>
      </c>
    </row>
    <row r="2808" ht="15" customHeight="1" s="14">
      <c r="A2808" s="24" t="n">
        <v>52186</v>
      </c>
      <c r="B2808" s="24" t="inlineStr">
        <is>
          <t>VENETOCLAX TABLET ORAL 100 mg</t>
        </is>
      </c>
      <c r="C2808" s="25">
        <f>IF(COUNTIF('کدهای پیام‌داروساز'!$A$2:$A$2442,A2808)&gt;0,"بله","خیر")</f>
        <v/>
      </c>
    </row>
    <row r="2809" ht="15" customHeight="1" s="14">
      <c r="A2809" s="24" t="n">
        <v>52188</v>
      </c>
      <c r="B2809" s="24" t="inlineStr">
        <is>
          <t>ESOMEPRAZOLE (AS MAGNESIUM) GRANULE, DELAYED RELEASE ORAL 5 mg</t>
        </is>
      </c>
      <c r="C2809" s="25">
        <f>IF(COUNTIF('کدهای پیام‌داروساز'!$A$2:$A$2442,A2809)&gt;0,"بله","خیر")</f>
        <v/>
      </c>
    </row>
    <row r="2810" ht="15" customHeight="1" s="14">
      <c r="A2810" s="24" t="n">
        <v>52189</v>
      </c>
      <c r="B2810" s="24" t="inlineStr">
        <is>
          <t>BECLOMETHASONE DIPROPIONATE / FORMOTEROL FUMARATE AEROSOL, METERED RESPIRATORY 100 ug/6 ug/1{Puff} 120 {Puff}</t>
        </is>
      </c>
      <c r="C2810" s="25">
        <f>IF(COUNTIF('کدهای پیام‌داروساز'!$A$2:$A$2442,A2810)&gt;0,"بله","خیر")</f>
        <v/>
      </c>
    </row>
    <row r="2811" ht="15" customHeight="1" s="14">
      <c r="A2811" s="24" t="n">
        <v>52190</v>
      </c>
      <c r="B2811" s="24" t="inlineStr">
        <is>
          <t>ANTICOAGULANT SOLUTION PARENTERAL 2.63 g/0.299 g/3.19 g/0.222 g/0.0275 g/100 mL 63 mL</t>
        </is>
      </c>
      <c r="C2811" s="25">
        <f>IF(COUNTIF('کدهای پیام‌داروساز'!$A$2:$A$2442,A2811)&gt;0,"بله","خیر")</f>
        <v/>
      </c>
    </row>
    <row r="2812" ht="15" customHeight="1" s="14">
      <c r="A2812" s="24" t="n">
        <v>52191</v>
      </c>
      <c r="B2812" s="24" t="inlineStr">
        <is>
          <t>RISPERIDONE SOLUTION ORAL 1 mg/1mL 30 mL</t>
        </is>
      </c>
      <c r="C2812" s="25">
        <f>IF(COUNTIF('کدهای پیام‌داروساز'!$A$2:$A$2442,A2812)&gt;0,"بله","خیر")</f>
        <v/>
      </c>
    </row>
    <row r="2813" ht="15" customHeight="1" s="14">
      <c r="A2813" s="24" t="n">
        <v>52192</v>
      </c>
      <c r="B2813" s="24" t="inlineStr">
        <is>
          <t>BECLOMETHASONE DIPROPIONATE / FORMOTEROL FUMARATE AEROSOL, METERED RESPIRATORY 200 ug/6 ug/1{Puff} 120 {Puff}</t>
        </is>
      </c>
      <c r="C2813" s="25">
        <f>IF(COUNTIF('کدهای پیام‌داروساز'!$A$2:$A$2442,A2813)&gt;0,"بله","خیر")</f>
        <v/>
      </c>
    </row>
    <row r="2814" ht="15" customHeight="1" s="14">
      <c r="A2814" s="24" t="n">
        <v>52194</v>
      </c>
      <c r="B2814" s="24" t="inlineStr">
        <is>
          <t>IMMUNE GLOBULIN INJECTION INTRAVENOUS 50 mg/1mL 10 mL</t>
        </is>
      </c>
      <c r="C2814" s="25">
        <f>IF(COUNTIF('کدهای پیام‌داروساز'!$A$2:$A$2442,A2814)&gt;0,"بله","خیر")</f>
        <v/>
      </c>
    </row>
    <row r="2815" ht="15" customHeight="1" s="14">
      <c r="A2815" s="24" t="n">
        <v>52195</v>
      </c>
      <c r="B2815" s="24" t="inlineStr">
        <is>
          <t>DEXAMETHASONE (AS ACETATE) TABLET ORAL 40 mg</t>
        </is>
      </c>
      <c r="C2815" s="25">
        <f>IF(COUNTIF('کدهای پیام‌داروساز'!$A$2:$A$2442,A2815)&gt;0,"بله","خیر")</f>
        <v/>
      </c>
    </row>
    <row r="2816" ht="15" customHeight="1" s="14">
      <c r="A2816" s="24" t="n">
        <v>52196</v>
      </c>
      <c r="B2816" s="24" t="inlineStr">
        <is>
          <t>ACETAMINOPHEN SUPPOSITORY RECTAL 75 mg</t>
        </is>
      </c>
      <c r="C2816" s="25">
        <f>IF(COUNTIF('کدهای پیام‌داروساز'!$A$2:$A$2442,A2816)&gt;0,"بله","خیر")</f>
        <v/>
      </c>
    </row>
    <row r="2817" ht="15" customHeight="1" s="14">
      <c r="A2817" s="24" t="n">
        <v>52197</v>
      </c>
      <c r="B2817" s="24" t="inlineStr">
        <is>
          <t>ADULT COLD PREPARATIONS (4-8) TABLET ORAL 500 mg/5 mg/2 mg</t>
        </is>
      </c>
      <c r="C2817" s="25">
        <f>IF(COUNTIF('کدهای پیام‌داروساز'!$A$2:$A$2442,A2817)&gt;0,"بله","خیر")</f>
        <v/>
      </c>
    </row>
    <row r="2818" ht="15" customHeight="1" s="14">
      <c r="A2818" s="24" t="n">
        <v>52198</v>
      </c>
      <c r="B2818" s="24" t="inlineStr">
        <is>
          <t>ADAPALENE / BENZOYL PEROXIDE GEL TOPICAL 0.1 %/2.5 % 30 g</t>
        </is>
      </c>
      <c r="C2818" s="25">
        <f>IF(COUNTIF('کدهای پیام‌داروساز'!$A$2:$A$2442,A2818)&gt;0,"بله","خیر")</f>
        <v/>
      </c>
    </row>
    <row r="2819" ht="15" customHeight="1" s="14">
      <c r="A2819" s="24" t="n">
        <v>52199</v>
      </c>
      <c r="B2819" s="24" t="inlineStr">
        <is>
          <t>IPRATROPIUM BROMIDE SOLUTION RESPIRATORY 250 ug/1mL 20 mL</t>
        </is>
      </c>
      <c r="C2819" s="25">
        <f>IF(COUNTIF('کدهای پیام‌داروساز'!$A$2:$A$2442,A2819)&gt;0,"بله","خیر")</f>
        <v/>
      </c>
    </row>
    <row r="2820" ht="15" customHeight="1" s="14">
      <c r="A2820" s="24" t="n">
        <v>52200</v>
      </c>
      <c r="B2820" s="24" t="inlineStr">
        <is>
          <t>VANCOMYCIN (AS HYDROCHLORIDE) CAPSULE, LIQUID FILLED ORAL 125 mg</t>
        </is>
      </c>
      <c r="C2820" s="25">
        <f>IF(COUNTIF('کدهای پیام‌داروساز'!$A$2:$A$2442,A2820)&gt;0,"بله","خیر")</f>
        <v/>
      </c>
    </row>
    <row r="2821" ht="15" customHeight="1" s="14">
      <c r="A2821" s="24" t="n">
        <v>52201</v>
      </c>
      <c r="B2821" s="24" t="inlineStr">
        <is>
          <t>DAPAGLIFLOZIN (AS PROPANEDIOL) TABLET ORAL 5 mg</t>
        </is>
      </c>
      <c r="C2821" s="25">
        <f>IF(COUNTIF('کدهای پیام‌داروساز'!$A$2:$A$2442,A2821)&gt;0,"بله","خیر")</f>
        <v/>
      </c>
    </row>
    <row r="2822" ht="15" customHeight="1" s="14">
      <c r="A2822" s="24" t="n">
        <v>52202</v>
      </c>
      <c r="B2822" s="24" t="inlineStr">
        <is>
          <t>VASELIN OFFECINAL OINTMENT TOPICAL  100 g</t>
        </is>
      </c>
      <c r="C2822" s="25">
        <f>IF(COUNTIF('کدهای پیام‌داروساز'!$A$2:$A$2442,A2822)&gt;0,"بله","خیر")</f>
        <v/>
      </c>
    </row>
    <row r="2823" ht="15" customHeight="1" s="14">
      <c r="A2823" s="24" t="n">
        <v>52203</v>
      </c>
      <c r="B2823" s="24" t="inlineStr">
        <is>
          <t>LIDOCAINE / TETRACAINE CREAM TOPICAL 7 %/7 % 15 g</t>
        </is>
      </c>
      <c r="C2823" s="25">
        <f>IF(COUNTIF('کدهای پیام‌داروساز'!$A$2:$A$2442,A2823)&gt;0,"بله","خیر")</f>
        <v/>
      </c>
    </row>
    <row r="2824" ht="15" customHeight="1" s="14">
      <c r="A2824" s="24" t="n">
        <v>52204</v>
      </c>
      <c r="B2824" s="24" t="inlineStr">
        <is>
          <t>OMEPRAZOLE (AS SODIUM) INJECTION, POWDER, FOR SOLUTION PARENTERAL 40 mg</t>
        </is>
      </c>
      <c r="C2824" s="25">
        <f>IF(COUNTIF('کدهای پیام‌داروساز'!$A$2:$A$2442,A2824)&gt;0,"بله","خیر")</f>
        <v/>
      </c>
    </row>
    <row r="2825" ht="15" customHeight="1" s="14">
      <c r="A2825" s="24" t="n">
        <v>52205</v>
      </c>
      <c r="B2825" s="24" t="inlineStr">
        <is>
          <t>POTASSIUM CHLORIDE INJECTION INTRAVENOUS 0.3 % 1000 mL</t>
        </is>
      </c>
      <c r="C2825" s="25">
        <f>IF(COUNTIF('کدهای پیام‌داروساز'!$A$2:$A$2442,A2825)&gt;0,"بله","خیر")</f>
        <v/>
      </c>
    </row>
    <row r="2826" ht="15" customHeight="1" s="14">
      <c r="A2826" s="24" t="n">
        <v>52206</v>
      </c>
      <c r="B2826" s="24" t="inlineStr">
        <is>
          <t>INSULIN BIPHASIC LISPRO 25/75 INJECTION, SUSPENSION PARENTERAL 100 [iU]/1mL 3 mL</t>
        </is>
      </c>
      <c r="C2826" s="25">
        <f>IF(COUNTIF('کدهای پیام‌داروساز'!$A$2:$A$2442,A2826)&gt;0,"بله","خیر")</f>
        <v/>
      </c>
    </row>
    <row r="2827" ht="15" customHeight="1" s="14">
      <c r="A2827" s="24" t="n">
        <v>52207</v>
      </c>
      <c r="B2827" s="24" t="inlineStr">
        <is>
          <t>INSULIN BIPHASIC LISPRO 50/50 INJECTION, SUSPENSION PARENTERAL 100 [iU]/1mL 3 mL</t>
        </is>
      </c>
      <c r="C2827" s="25">
        <f>IF(COUNTIF('کدهای پیام‌داروساز'!$A$2:$A$2442,A2827)&gt;0,"بله","خیر")</f>
        <v/>
      </c>
    </row>
    <row r="2828" ht="15" customHeight="1" s="14">
      <c r="A2828" s="24" t="n">
        <v>52208</v>
      </c>
      <c r="B2828" s="24" t="inlineStr">
        <is>
          <t>HEPATITIS B IMMUNE GLOBULIN INJECTION PARENTERAL 500 [iU]/1mL 1 mL</t>
        </is>
      </c>
      <c r="C2828" s="25">
        <f>IF(COUNTIF('کدهای پیام‌داروساز'!$A$2:$A$2442,A2828)&gt;0,"بله","خیر")</f>
        <v/>
      </c>
    </row>
    <row r="2829" ht="15" customHeight="1" s="14">
      <c r="A2829" s="24" t="n">
        <v>52209</v>
      </c>
      <c r="B2829" s="24" t="inlineStr">
        <is>
          <t>AMINO ACID 15% INJECTION, SOLUTION INTRAVENOUS 5.85 mg/11.4 mg/7.95 mg/5.7 mg/5.7 mg/5.4 mg/2.1 mg/7.2 mg/16.05 mg/5.25 mg/22.35 mg/19.2 mg/7.95 mg/16.2 mg/7.35 mg/3 mg/0.5 mg/0.5 mg/1mL 500 mL</t>
        </is>
      </c>
      <c r="C2829" s="25">
        <f>IF(COUNTIF('کدهای پیام‌داروساز'!$A$2:$A$2442,A2829)&gt;0,"بله","خیر")</f>
        <v/>
      </c>
    </row>
    <row r="2830" ht="15" customHeight="1" s="14">
      <c r="A2830" s="24" t="n">
        <v>52210</v>
      </c>
      <c r="B2830" s="24" t="inlineStr">
        <is>
          <t>SOMATROPIN INJECTION, SOLUTION PARENTERAL 8 mg/1mL 1.5 mL</t>
        </is>
      </c>
      <c r="C2830" s="25">
        <f>IF(COUNTIF('کدهای پیام‌داروساز'!$A$2:$A$2442,A2830)&gt;0,"بله","خیر")</f>
        <v/>
      </c>
    </row>
    <row r="2831" ht="15" customHeight="1" s="14">
      <c r="A2831" s="24" t="n">
        <v>52211</v>
      </c>
      <c r="B2831" s="24" t="inlineStr">
        <is>
          <t>SOMATROPIN INJECTION, SOLUTION PARENTERAL 8 mg/1mL 2.5 mL</t>
        </is>
      </c>
      <c r="C2831" s="25">
        <f>IF(COUNTIF('کدهای پیام‌داروساز'!$A$2:$A$2442,A2831)&gt;0,"بله","خیر")</f>
        <v/>
      </c>
    </row>
    <row r="2832" ht="15" customHeight="1" s="14">
      <c r="A2832" s="24" t="n">
        <v>52212</v>
      </c>
      <c r="B2832" s="24" t="inlineStr">
        <is>
          <t>SOMATROPIN INJECTION, SOLUTION PARENTERAL 6 mg/1.03 mL</t>
        </is>
      </c>
      <c r="C2832" s="25">
        <f>IF(COUNTIF('کدهای پیام‌داروساز'!$A$2:$A$2442,A2832)&gt;0,"بله","خیر")</f>
        <v/>
      </c>
    </row>
    <row r="2833" ht="15" customHeight="1" s="14">
      <c r="A2833" s="24" t="n">
        <v>52213</v>
      </c>
      <c r="B2833" s="24" t="inlineStr">
        <is>
          <t>TRIFLURIDINE / TIPIRACIL TABLET ORAL 20 mg/8.19 mg</t>
        </is>
      </c>
      <c r="C2833" s="25">
        <f>IF(COUNTIF('کدهای پیام‌داروساز'!$A$2:$A$2442,A2833)&gt;0,"بله","خیر")</f>
        <v/>
      </c>
    </row>
    <row r="2834" ht="15" customHeight="1" s="14">
      <c r="A2834" s="24" t="n">
        <v>52214</v>
      </c>
      <c r="B2834" s="24" t="inlineStr">
        <is>
          <t>AVELUMAB INJECTION, SOLUTION, CONCENTRATE PARENTERAL 20 mg/1mL 10 mL</t>
        </is>
      </c>
      <c r="C2834" s="25">
        <f>IF(COUNTIF('کدهای پیام‌داروساز'!$A$2:$A$2442,A2834)&gt;0,"بله","خیر")</f>
        <v/>
      </c>
    </row>
    <row r="2835" ht="15" customHeight="1" s="14">
      <c r="A2835" s="24" t="n">
        <v>52215</v>
      </c>
      <c r="B2835" s="24" t="inlineStr">
        <is>
          <t>PNEUMOCOCCAL VACCINE 23-VALENT INJECTION PARENTERAL  0.5 mL</t>
        </is>
      </c>
      <c r="C2835" s="25">
        <f>IF(COUNTIF('کدهای پیام‌داروساز'!$A$2:$A$2442,A2835)&gt;0,"بله","خیر")</f>
        <v/>
      </c>
    </row>
    <row r="2836" ht="15" customHeight="1" s="14">
      <c r="A2836" s="24" t="n">
        <v>52216</v>
      </c>
      <c r="B2836" s="24" t="inlineStr">
        <is>
          <t>TOFACITINIB (AS CITRATE) TABLET ORAL 10 mg</t>
        </is>
      </c>
      <c r="C2836" s="25">
        <f>IF(COUNTIF('کدهای پیام‌داروساز'!$A$2:$A$2442,A2836)&gt;0,"بله","خیر")</f>
        <v/>
      </c>
    </row>
    <row r="2837" ht="15" customHeight="1" s="14">
      <c r="A2837" s="24" t="n">
        <v>52217</v>
      </c>
      <c r="B2837" s="24" t="inlineStr">
        <is>
          <t>LACTULOSE SYRUP ORAL 10 g/15mL 300 mL</t>
        </is>
      </c>
      <c r="C2837" s="25">
        <f>IF(COUNTIF('کدهای پیام‌داروساز'!$A$2:$A$2442,A2837)&gt;0,"بله","خیر")</f>
        <v/>
      </c>
    </row>
    <row r="2838" ht="15" customHeight="1" s="14">
      <c r="A2838" s="24" t="n">
        <v>52218</v>
      </c>
      <c r="B2838" s="24" t="inlineStr">
        <is>
          <t>NELARABINE INJECTION PARENTERAL 5 mg/1mL 50 mL</t>
        </is>
      </c>
      <c r="C2838" s="25">
        <f>IF(COUNTIF('کدهای پیام‌داروساز'!$A$2:$A$2442,A2838)&gt;0,"بله","خیر")</f>
        <v/>
      </c>
    </row>
    <row r="2839" ht="15" customHeight="1" s="14">
      <c r="A2839" s="24" t="n">
        <v>52219</v>
      </c>
      <c r="B2839" s="24" t="inlineStr">
        <is>
          <t>PEGINTERFERON BETA-1A INJECTION PARENTERAL 125 ug/0.5mL</t>
        </is>
      </c>
      <c r="C2839" s="25">
        <f>IF(COUNTIF('کدهای پیام‌داروساز'!$A$2:$A$2442,A2839)&gt;0,"بله","خیر")</f>
        <v/>
      </c>
    </row>
    <row r="2840" ht="15" customHeight="1" s="14">
      <c r="A2840" s="24" t="n">
        <v>52220</v>
      </c>
      <c r="B2840" s="24" t="inlineStr">
        <is>
          <t>PEGINTERFERON BETA-1A INJECTION PARENTERAL 94 ug/0.5mL</t>
        </is>
      </c>
      <c r="C2840" s="25">
        <f>IF(COUNTIF('کدهای پیام‌داروساز'!$A$2:$A$2442,A2840)&gt;0,"بله","خیر")</f>
        <v/>
      </c>
    </row>
    <row r="2841" ht="15" customHeight="1" s="14">
      <c r="A2841" s="24" t="n">
        <v>52221</v>
      </c>
      <c r="B2841" s="24" t="inlineStr">
        <is>
          <t>PEGINTERFERON BETA-1A INJECTION PARENTERAL 63 ug/0.5mL</t>
        </is>
      </c>
      <c r="C2841" s="25">
        <f>IF(COUNTIF('کدهای پیام‌داروساز'!$A$2:$A$2442,A2841)&gt;0,"بله","خیر")</f>
        <v/>
      </c>
    </row>
    <row r="2842" ht="15" customHeight="1" s="14">
      <c r="A2842" s="24" t="n">
        <v>52222</v>
      </c>
      <c r="B2842" s="24" t="inlineStr">
        <is>
          <t>CEFIXIME TABLET ORAL 400 mg</t>
        </is>
      </c>
      <c r="C2842" s="25">
        <f>IF(COUNTIF('کدهای پیام‌داروساز'!$A$2:$A$2442,A2842)&gt;0,"بله","خیر")</f>
        <v/>
      </c>
    </row>
    <row r="2843" ht="15" customHeight="1" s="14">
      <c r="A2843" s="24" t="n">
        <v>52223</v>
      </c>
      <c r="B2843" s="24" t="inlineStr">
        <is>
          <t>VALPROATE SODIUM INJECTION PARENTERAL 100 mg/1mL 4 mL</t>
        </is>
      </c>
      <c r="C2843" s="25">
        <f>IF(COUNTIF('کدهای پیام‌داروساز'!$A$2:$A$2442,A2843)&gt;0,"بله","خیر")</f>
        <v/>
      </c>
    </row>
    <row r="2844" ht="15" customHeight="1" s="14">
      <c r="A2844" s="24" t="n">
        <v>52224</v>
      </c>
      <c r="B2844" s="24" t="inlineStr">
        <is>
          <t>CO-AMOXICLAV POWDER, FOR SUSPENSION ORAL 250 mg/62.5 mg</t>
        </is>
      </c>
      <c r="C2844" s="25">
        <f>IF(COUNTIF('کدهای پیام‌داروساز'!$A$2:$A$2442,A2844)&gt;0,"بله","خیر")</f>
        <v/>
      </c>
    </row>
    <row r="2845" ht="15" customHeight="1" s="14">
      <c r="A2845" s="24" t="n">
        <v>52225</v>
      </c>
      <c r="B2845" s="24" t="inlineStr">
        <is>
          <t>LIDOCAINE / EPINEPHRINE INJECTION PARENTERAL 20 mg/10 ug/1mL 1.8 mL</t>
        </is>
      </c>
      <c r="C2845" s="25">
        <f>IF(COUNTIF('کدهای پیام‌داروساز'!$A$2:$A$2442,A2845)&gt;0,"بله","خیر")</f>
        <v/>
      </c>
    </row>
    <row r="2846" ht="15" customHeight="1" s="14">
      <c r="A2846" s="24" t="n">
        <v>52226</v>
      </c>
      <c r="B2846" s="24" t="inlineStr">
        <is>
          <t>LIDOCAINE / EPINEPHRINE INJECTION PARENTERAL 20 mg/20 ug/1mL 1.8 mL</t>
        </is>
      </c>
      <c r="C2846" s="25">
        <f>IF(COUNTIF('کدهای پیام‌داروساز'!$A$2:$A$2442,A2846)&gt;0,"بله","خیر")</f>
        <v/>
      </c>
    </row>
    <row r="2847" ht="15" customHeight="1" s="14">
      <c r="A2847" s="24" t="n">
        <v>52229</v>
      </c>
      <c r="B2847" s="24" t="inlineStr">
        <is>
          <t>ADULT COLD PREPARATION (6) TABLET ORAL 500 mg/2 mg/15 mg</t>
        </is>
      </c>
      <c r="C2847" s="25">
        <f>IF(COUNTIF('کدهای پیام‌داروساز'!$A$2:$A$2442,A2847)&gt;0,"بله","خیر")</f>
        <v/>
      </c>
    </row>
    <row r="2848" ht="15" customHeight="1" s="14">
      <c r="A2848" s="24" t="n">
        <v>52231</v>
      </c>
      <c r="B2848" s="24" t="inlineStr">
        <is>
          <t>CROMOLYN SODIUM SPRAY NASAL 20 mg/1mL 13 mL</t>
        </is>
      </c>
      <c r="C2848" s="25">
        <f>IF(COUNTIF('کدهای پیام‌داروساز'!$A$2:$A$2442,A2848)&gt;0,"بله","خیر")</f>
        <v/>
      </c>
    </row>
    <row r="2849" ht="15" customHeight="1" s="14">
      <c r="A2849" s="24" t="n">
        <v>52232</v>
      </c>
      <c r="B2849" s="24" t="inlineStr">
        <is>
          <t>CROMOLYN SODIUM SPRAY NASAL 20 mg/1mL 15 mL</t>
        </is>
      </c>
      <c r="C2849" s="25">
        <f>IF(COUNTIF('کدهای پیام‌داروساز'!$A$2:$A$2442,A2849)&gt;0,"بله","خیر")</f>
        <v/>
      </c>
    </row>
    <row r="2850" ht="15" customHeight="1" s="14">
      <c r="A2850" s="24" t="n">
        <v>52233</v>
      </c>
      <c r="B2850" s="24" t="inlineStr">
        <is>
          <t>NAPHAZOLINE HYDROCHLORIDE SOLUTION, DROPS OPHTHALMIC 0.1 % 0.5 mL</t>
        </is>
      </c>
      <c r="C2850" s="25">
        <f>IF(COUNTIF('کدهای پیام‌داروساز'!$A$2:$A$2442,A2850)&gt;0,"بله","خیر")</f>
        <v/>
      </c>
    </row>
    <row r="2851" ht="15" customHeight="1" s="14">
      <c r="A2851" s="24" t="n">
        <v>52234</v>
      </c>
      <c r="B2851" s="24" t="inlineStr">
        <is>
          <t>SACUBITRIL / VALSARTAN TABLET ORAL 97 mg/103 mg</t>
        </is>
      </c>
      <c r="C2851" s="25">
        <f>IF(COUNTIF('کدهای پیام‌داروساز'!$A$2:$A$2442,A2851)&gt;0,"بله","خیر")</f>
        <v/>
      </c>
    </row>
    <row r="2852" ht="15" customHeight="1" s="14">
      <c r="A2852" s="24" t="n">
        <v>52235</v>
      </c>
      <c r="B2852" s="24" t="inlineStr">
        <is>
          <t>RIVAROXABAN TABLET ORAL 2.5 mg</t>
        </is>
      </c>
      <c r="C2852" s="25">
        <f>IF(COUNTIF('کدهای پیام‌داروساز'!$A$2:$A$2442,A2852)&gt;0,"بله","خیر")</f>
        <v/>
      </c>
    </row>
    <row r="2853" ht="15" customHeight="1" s="14">
      <c r="A2853" s="24" t="n">
        <v>52236</v>
      </c>
      <c r="B2853" s="24" t="inlineStr">
        <is>
          <t>MESALAZINE GRANULE, EXTENDED RELEASE ORAL 4 g</t>
        </is>
      </c>
      <c r="C2853" s="25">
        <f>IF(COUNTIF('کدهای پیام‌داروساز'!$A$2:$A$2442,A2853)&gt;0,"بله","خیر")</f>
        <v/>
      </c>
    </row>
    <row r="2854" ht="15" customHeight="1" s="14">
      <c r="A2854" s="24" t="n">
        <v>52237</v>
      </c>
      <c r="B2854" s="24" t="inlineStr">
        <is>
          <t>DESMOPRESSIN (AS ACETATE) TABLET SUBLINGUAL 25 ug</t>
        </is>
      </c>
      <c r="C2854" s="25">
        <f>IF(COUNTIF('کدهای پیام‌داروساز'!$A$2:$A$2442,A2854)&gt;0,"بله","خیر")</f>
        <v/>
      </c>
    </row>
    <row r="2855" ht="15" customHeight="1" s="14">
      <c r="A2855" s="24" t="n">
        <v>52238</v>
      </c>
      <c r="B2855" s="24" t="inlineStr">
        <is>
          <t>DESMOPRESSIN (AS ACETATE) TABLET SUBLINGUAL 50 ug</t>
        </is>
      </c>
      <c r="C2855" s="25">
        <f>IF(COUNTIF('کدهای پیام‌داروساز'!$A$2:$A$2442,A2855)&gt;0,"بله","خیر")</f>
        <v/>
      </c>
    </row>
    <row r="2856" ht="15" customHeight="1" s="14">
      <c r="A2856" s="24" t="n">
        <v>52239</v>
      </c>
      <c r="B2856" s="24" t="inlineStr">
        <is>
          <t>EMPAGLIFLOZIN / LINAGLIPTIN TABLET ORAL 10 mg/5 mg</t>
        </is>
      </c>
      <c r="C2856" s="25">
        <f>IF(COUNTIF('کدهای پیام‌داروساز'!$A$2:$A$2442,A2856)&gt;0,"بله","خیر")</f>
        <v/>
      </c>
    </row>
    <row r="2857" ht="15" customHeight="1" s="14">
      <c r="A2857" s="24" t="n">
        <v>52240</v>
      </c>
      <c r="B2857" s="24" t="inlineStr">
        <is>
          <t>EMPAGLIFLOZIN / LINAGLIPTIN TABLET ORAL 25 mg/5 mg</t>
        </is>
      </c>
      <c r="C2857" s="25">
        <f>IF(COUNTIF('کدهای پیام‌داروساز'!$A$2:$A$2442,A2857)&gt;0,"بله","خیر")</f>
        <v/>
      </c>
    </row>
    <row r="2858" ht="15" customHeight="1" s="14">
      <c r="A2858" s="24" t="n">
        <v>52241</v>
      </c>
      <c r="B2858" s="24" t="inlineStr">
        <is>
          <t>EMPAGLIFLOZIN / METFORMIN HYDROCHLORIDE TABLET ORAL 12.5 mg/500 mg</t>
        </is>
      </c>
      <c r="C2858" s="25">
        <f>IF(COUNTIF('کدهای پیام‌داروساز'!$A$2:$A$2442,A2858)&gt;0,"بله","خیر")</f>
        <v/>
      </c>
    </row>
    <row r="2859" ht="15" customHeight="1" s="14">
      <c r="A2859" s="24" t="n">
        <v>52242</v>
      </c>
      <c r="B2859" s="24" t="inlineStr">
        <is>
          <t>EMPAGLIFLOZIN / METFORMIN HYDROCHLORIDE TABLET, EXTENDED RELEASE ORAL 10 mg/1000 mg</t>
        </is>
      </c>
      <c r="C2859" s="25">
        <f>IF(COUNTIF('کدهای پیام‌داروساز'!$A$2:$A$2442,A2859)&gt;0,"بله","خیر")</f>
        <v/>
      </c>
    </row>
    <row r="2860" ht="15" customHeight="1" s="14">
      <c r="A2860" s="24" t="n">
        <v>52243</v>
      </c>
      <c r="B2860" s="24" t="inlineStr">
        <is>
          <t>EMPAGLIFLOZIN / METFORMIN HYDROCHLORIDE TABLET, EXTENDED RELEASE ORAL 25 mg/1000 mg</t>
        </is>
      </c>
      <c r="C2860" s="25">
        <f>IF(COUNTIF('کدهای پیام‌داروساز'!$A$2:$A$2442,A2860)&gt;0,"بله","خیر")</f>
        <v/>
      </c>
    </row>
    <row r="2861" ht="15" customHeight="1" s="14">
      <c r="A2861" s="24" t="n">
        <v>52244</v>
      </c>
      <c r="B2861" s="24" t="inlineStr">
        <is>
          <t>BENZOYL PEROXIDE GEL TOPICAL 10 % 25 g</t>
        </is>
      </c>
      <c r="C2861" s="25">
        <f>IF(COUNTIF('کدهای پیام‌داروساز'!$A$2:$A$2442,A2861)&gt;0,"بله","خیر")</f>
        <v/>
      </c>
    </row>
    <row r="2862" ht="15" customHeight="1" s="14">
      <c r="A2862" s="24" t="n">
        <v>52245</v>
      </c>
      <c r="B2862" s="24" t="inlineStr">
        <is>
          <t>BENZOYL PEROXIDE GEL TOPICAL 5 % 40 g</t>
        </is>
      </c>
      <c r="C2862" s="25">
        <f>IF(COUNTIF('کدهای پیام‌داروساز'!$A$2:$A$2442,A2862)&gt;0,"بله","خیر")</f>
        <v/>
      </c>
    </row>
    <row r="2863" ht="15" customHeight="1" s="14">
      <c r="A2863" s="24" t="n">
        <v>52246</v>
      </c>
      <c r="B2863" s="24" t="inlineStr">
        <is>
          <t>EPOETIN INJECTION PARENTERAL 2000 [iU]/0.3mL</t>
        </is>
      </c>
      <c r="C2863" s="25">
        <f>IF(COUNTIF('کدهای پیام‌داروساز'!$A$2:$A$2442,A2863)&gt;0,"بله","خیر")</f>
        <v/>
      </c>
    </row>
    <row r="2864" ht="15" customHeight="1" s="14">
      <c r="A2864" s="24" t="n">
        <v>52247</v>
      </c>
      <c r="B2864" s="24" t="inlineStr">
        <is>
          <t>EPOETIN INJECTION PARENTERAL 20000 [iU]/0.6mL</t>
        </is>
      </c>
      <c r="C2864" s="25">
        <f>IF(COUNTIF('کدهای پیام‌داروساز'!$A$2:$A$2442,A2864)&gt;0,"بله","خیر")</f>
        <v/>
      </c>
    </row>
    <row r="2865" ht="15" customHeight="1" s="14">
      <c r="A2865" s="24" t="n">
        <v>52251</v>
      </c>
      <c r="B2865" s="24" t="inlineStr">
        <is>
          <t>DEXTROSE INJECTION, SOLUTION, CONCENTRATE INTRAVENOUS 50 % 200 mL</t>
        </is>
      </c>
      <c r="C2865" s="25">
        <f>IF(COUNTIF('کدهای پیام‌داروساز'!$A$2:$A$2442,A2865)&gt;0,"بله","خیر")</f>
        <v/>
      </c>
    </row>
    <row r="2866" ht="15" customHeight="1" s="14">
      <c r="A2866" s="24" t="n">
        <v>52252</v>
      </c>
      <c r="B2866" s="24" t="inlineStr">
        <is>
          <t>DEXTROSE INJECTION, SOLUTION, CONCENTRATE INTRAVENOUS 50 % 400 mL</t>
        </is>
      </c>
      <c r="C2866" s="25">
        <f>IF(COUNTIF('کدهای پیام‌داروساز'!$A$2:$A$2442,A2866)&gt;0,"بله","خیر")</f>
        <v/>
      </c>
    </row>
    <row r="2867" ht="15" customHeight="1" s="14">
      <c r="A2867" s="24" t="n">
        <v>52253</v>
      </c>
      <c r="B2867" s="24" t="inlineStr">
        <is>
          <t>DEXTROSE INJECTION, SOLUTION, CONCENTRATE INTRAVENOUS 50 % 500 mL</t>
        </is>
      </c>
      <c r="C2867" s="25">
        <f>IF(COUNTIF('کدهای پیام‌داروساز'!$A$2:$A$2442,A2867)&gt;0,"بله","خیر")</f>
        <v/>
      </c>
    </row>
    <row r="2868" ht="15" customHeight="1" s="14">
      <c r="A2868" s="24" t="n">
        <v>52255</v>
      </c>
      <c r="B2868" s="24" t="inlineStr">
        <is>
          <t>MACITENTAN TABLET ORAL 10 mg</t>
        </is>
      </c>
      <c r="C2868" s="25">
        <f>IF(COUNTIF('کدهای پیام‌داروساز'!$A$2:$A$2442,A2868)&gt;0,"بله","خیر")</f>
        <v/>
      </c>
    </row>
    <row r="2869" ht="15" customHeight="1" s="14">
      <c r="A2869" s="24" t="n">
        <v>52256</v>
      </c>
      <c r="B2869" s="24" t="inlineStr">
        <is>
          <t>EPOETIN INJECTION PARENTERAL 40000 [iU]/0.6mL</t>
        </is>
      </c>
      <c r="C2869" s="25">
        <f>IF(COUNTIF('کدهای پیام‌داروساز'!$A$2:$A$2442,A2869)&gt;0,"بله","خیر")</f>
        <v/>
      </c>
    </row>
    <row r="2870" ht="15" customHeight="1" s="14">
      <c r="A2870" s="24" t="n">
        <v>52257</v>
      </c>
      <c r="B2870" s="24" t="inlineStr">
        <is>
          <t>SECUKINUMAB INJECTION, SOLUTION PARENTERAL 150 mg/1mL</t>
        </is>
      </c>
      <c r="C2870" s="25">
        <f>IF(COUNTIF('کدهای پیام‌داروساز'!$A$2:$A$2442,A2870)&gt;0,"بله","خیر")</f>
        <v/>
      </c>
    </row>
    <row r="2871" ht="15" customHeight="1" s="14">
      <c r="A2871" s="24" t="n">
        <v>52258</v>
      </c>
      <c r="B2871" s="24" t="inlineStr">
        <is>
          <t>LABETALOL HYDROCHLORIDE INJECTION PARENTERAL 5 mg/1mL 10 mL</t>
        </is>
      </c>
      <c r="C2871" s="25">
        <f>IF(COUNTIF('کدهای پیام‌داروساز'!$A$2:$A$2442,A2871)&gt;0,"بله","خیر")</f>
        <v/>
      </c>
    </row>
    <row r="2872" ht="15" customHeight="1" s="14">
      <c r="A2872" s="24" t="n">
        <v>52259</v>
      </c>
      <c r="B2872" s="24" t="inlineStr">
        <is>
          <t>SODIUM THIOSULFATE INJECTION PARENTERAL 250 mg/1mL 100 mL</t>
        </is>
      </c>
      <c r="C2872" s="25">
        <f>IF(COUNTIF('کدهای پیام‌داروساز'!$A$2:$A$2442,A2872)&gt;0,"بله","خیر")</f>
        <v/>
      </c>
    </row>
    <row r="2873" ht="15" customHeight="1" s="14">
      <c r="A2873" s="24" t="n">
        <v>52263</v>
      </c>
      <c r="B2873" s="24" t="inlineStr">
        <is>
          <t>EPOETIN INJECTION PARENTERAL 4000 [iU]/0.3mL</t>
        </is>
      </c>
      <c r="C2873" s="25">
        <f>IF(COUNTIF('کدهای پیام‌داروساز'!$A$2:$A$2442,A2873)&gt;0,"بله","خیر")</f>
        <v/>
      </c>
    </row>
    <row r="2874" ht="15" customHeight="1" s="14">
      <c r="A2874" s="24" t="n">
        <v>52264</v>
      </c>
      <c r="B2874" s="24" t="inlineStr">
        <is>
          <t>EPOETIN INJECTION PARENTERAL 10000 [iU]/0.6mL</t>
        </is>
      </c>
      <c r="C2874" s="25">
        <f>IF(COUNTIF('کدهای پیام‌داروساز'!$A$2:$A$2442,A2874)&gt;0,"بله","خیر")</f>
        <v/>
      </c>
    </row>
    <row r="2875" ht="15" customHeight="1" s="14">
      <c r="A2875" s="24" t="n">
        <v>52265</v>
      </c>
      <c r="B2875" s="24" t="inlineStr">
        <is>
          <t>PROGESTERONE GEL VAGINAL 8 % 22.5 g</t>
        </is>
      </c>
      <c r="C2875" s="25">
        <f>IF(COUNTIF('کدهای پیام‌داروساز'!$A$2:$A$2442,A2875)&gt;0,"بله","خیر")</f>
        <v/>
      </c>
    </row>
    <row r="2876" ht="15" customHeight="1" s="14">
      <c r="A2876" s="24" t="n">
        <v>52267</v>
      </c>
      <c r="B2876" s="24" t="inlineStr">
        <is>
          <t>TERBINAFINE SOLUTION TOPICAL 1 % 30 mL</t>
        </is>
      </c>
      <c r="C2876" s="25">
        <f>IF(COUNTIF('کدهای پیام‌داروساز'!$A$2:$A$2442,A2876)&gt;0,"بله","خیر")</f>
        <v/>
      </c>
    </row>
    <row r="2877" ht="15" customHeight="1" s="14">
      <c r="A2877" s="24" t="n">
        <v>52268</v>
      </c>
      <c r="B2877" s="24" t="inlineStr">
        <is>
          <t>FACTOR VIIA INJECTION, POWDER, LYOPHILIZED, FOR SUSPENSION PARENTERAL 5 mg</t>
        </is>
      </c>
      <c r="C2877" s="25">
        <f>IF(COUNTIF('کدهای پیام‌داروساز'!$A$2:$A$2442,A2877)&gt;0,"بله","خیر")</f>
        <v/>
      </c>
    </row>
    <row r="2878" ht="15" customHeight="1" s="14">
      <c r="A2878" s="24" t="n">
        <v>52269</v>
      </c>
      <c r="B2878" s="24" t="inlineStr">
        <is>
          <t>FACTOR VIIA INJECTION, POWDER, LYOPHILIZED, FOR SOLUTION PARENTERAL 8 mg</t>
        </is>
      </c>
      <c r="C2878" s="25">
        <f>IF(COUNTIF('کدهای پیام‌داروساز'!$A$2:$A$2442,A2878)&gt;0,"بله","خیر")</f>
        <v/>
      </c>
    </row>
    <row r="2879" ht="15" customHeight="1" s="14">
      <c r="A2879" s="24" t="n">
        <v>52270</v>
      </c>
      <c r="B2879" s="24" t="inlineStr">
        <is>
          <t>CO-AMOXICLAV POWDER, FOR SUSPENSION ORAL 600 mg/42.9 mg/5mL 100 mL</t>
        </is>
      </c>
      <c r="C2879" s="25">
        <f>IF(COUNTIF('کدهای پیام‌داروساز'!$A$2:$A$2442,A2879)&gt;0,"بله","خیر")</f>
        <v/>
      </c>
    </row>
    <row r="2880" ht="15" customHeight="1" s="14">
      <c r="A2880" s="24" t="n">
        <v>52271</v>
      </c>
      <c r="B2880" s="24" t="inlineStr">
        <is>
          <t>ACETAMINOPHEN / GUAIFENESIN / PHENYLEPHRINE SYRUP ORAL 125 mg/50 mg/2.5 mg/5mL 200 mL</t>
        </is>
      </c>
      <c r="C2880" s="25">
        <f>IF(COUNTIF('کدهای پیام‌داروساز'!$A$2:$A$2442,A2880)&gt;0,"بله","خیر")</f>
        <v/>
      </c>
    </row>
    <row r="2881" ht="15" customHeight="1" s="14">
      <c r="A2881" s="24" t="n">
        <v>52272</v>
      </c>
      <c r="B2881" s="24" t="inlineStr">
        <is>
          <t>AMINO ACID 10% (2) INJECTION, SOLUTION INTRAVENOUS 5 mg/8.9 mg/5.74 mg/3.12 mg/4.4 mg/4.7 mg/4.2 mg/1.6 mg/6.2 mg/11.5 mg/3 mg/10.5 mg/12 mg/5.6 mg/7.2 mg/5.5 mg/2.3 mg/0.4 mg/1mL 1000 mL</t>
        </is>
      </c>
      <c r="C2881" s="25">
        <f>IF(COUNTIF('کدهای پیام‌داروساز'!$A$2:$A$2442,A2881)&gt;0,"بله","خیر")</f>
        <v/>
      </c>
    </row>
    <row r="2882" ht="15" customHeight="1" s="14">
      <c r="A2882" s="24" t="n">
        <v>52273</v>
      </c>
      <c r="B2882" s="24" t="inlineStr">
        <is>
          <t>ACETAMINOPHEN / DIPHENHYDRAMINE / PHENYLEPHRINE SYRUP ORAL 160 mg/12.5 mg/2.5 mg/5mL 120 mL</t>
        </is>
      </c>
      <c r="C2882" s="25">
        <f>IF(COUNTIF('کدهای پیام‌داروساز'!$A$2:$A$2442,A2882)&gt;0,"بله","خیر")</f>
        <v/>
      </c>
    </row>
    <row r="2883" ht="15" customHeight="1" s="14">
      <c r="A2883" s="24" t="n">
        <v>52274</v>
      </c>
      <c r="B2883" s="24" t="inlineStr">
        <is>
          <t>ACETAMINOPHEN / DIPHENHYDRAMINE / PHENYLEPHRINE SYRUP ORAL 160 mg/12.5 mg/2.5 mg/5mL 200 mL</t>
        </is>
      </c>
      <c r="C2883" s="25">
        <f>IF(COUNTIF('کدهای پیام‌داروساز'!$A$2:$A$2442,A2883)&gt;0,"بله","خیر")</f>
        <v/>
      </c>
    </row>
    <row r="2884" ht="15" customHeight="1" s="14">
      <c r="A2884" s="24" t="n">
        <v>52275</v>
      </c>
      <c r="B2884" s="24" t="inlineStr">
        <is>
          <t>LEVETIRACETAM SOLUTION ORAL 100 mg/1 mL 300 mL</t>
        </is>
      </c>
      <c r="C2884" s="25">
        <f>IF(COUNTIF('کدهای پیام‌داروساز'!$A$2:$A$2442,A2884)&gt;0,"بله","خیر")</f>
        <v/>
      </c>
    </row>
    <row r="2885" ht="15" customHeight="1" s="14">
      <c r="A2885" s="24" t="n">
        <v>52276</v>
      </c>
      <c r="B2885" s="24" t="inlineStr">
        <is>
          <t>SELENIUM (AS SODIUM SELENITE PENTAHYDRATE) INJECTION PARENTERAL 50 ug/1mL 10 mL</t>
        </is>
      </c>
      <c r="C2885" s="25">
        <f>IF(COUNTIF('کدهای پیام‌داروساز'!$A$2:$A$2442,A2885)&gt;0,"بله","خیر")</f>
        <v/>
      </c>
    </row>
    <row r="2886" ht="15" customHeight="1" s="14">
      <c r="A2886" s="24" t="n">
        <v>52277</v>
      </c>
      <c r="B2886" s="24" t="inlineStr">
        <is>
          <t>CALCIPOTRIOL / BETAMETHASONE DIPROPIONATE GEL TOPICAL 0.005 %/0.064 % 30 g</t>
        </is>
      </c>
      <c r="C2886" s="25">
        <f>IF(COUNTIF('کدهای پیام‌داروساز'!$A$2:$A$2442,A2886)&gt;0,"بله","خیر")</f>
        <v/>
      </c>
    </row>
    <row r="2887" ht="15" customHeight="1" s="14">
      <c r="A2887" s="24" t="n">
        <v>52278</v>
      </c>
      <c r="B2887" s="24" t="inlineStr">
        <is>
          <t>IBUPROFEN INJECTION INTRAVENOUS 5 mg/1mL 2 mL</t>
        </is>
      </c>
      <c r="C2887" s="25">
        <f>IF(COUNTIF('کدهای پیام‌داروساز'!$A$2:$A$2442,A2887)&gt;0,"بله","خیر")</f>
        <v/>
      </c>
    </row>
    <row r="2888" ht="15" customHeight="1" s="14">
      <c r="A2888" s="24" t="n">
        <v>52279</v>
      </c>
      <c r="B2888" s="24" t="inlineStr">
        <is>
          <t>DOXORUBICIN HYDROCHLORIDE INJECTION, POWDER, FOR SOLUTION PARENTERAL 10 mg</t>
        </is>
      </c>
      <c r="C2888" s="25">
        <f>IF(COUNTIF('کدهای پیام‌داروساز'!$A$2:$A$2442,A2888)&gt;0,"بله","خیر")</f>
        <v/>
      </c>
    </row>
    <row r="2889" ht="15" customHeight="1" s="14">
      <c r="A2889" s="24" t="n">
        <v>52280</v>
      </c>
      <c r="B2889" s="24" t="inlineStr">
        <is>
          <t>DOXORUBICIN HYDROCHLORIDE INJECTION, POWDER, FOR SOLUTION PARENTERAL 50 mg</t>
        </is>
      </c>
      <c r="C2889" s="25">
        <f>IF(COUNTIF('کدهای پیام‌داروساز'!$A$2:$A$2442,A2889)&gt;0,"بله","خیر")</f>
        <v/>
      </c>
    </row>
    <row r="2890" ht="15" customHeight="1" s="14">
      <c r="A2890" s="24" t="n">
        <v>52281</v>
      </c>
      <c r="B2890" s="24" t="inlineStr">
        <is>
          <t>POLIOMYELITIS VACCINE INJECTION PARENTERAL 5 {dose}</t>
        </is>
      </c>
      <c r="C2890" s="25">
        <f>IF(COUNTIF('کدهای پیام‌داروساز'!$A$2:$A$2442,A2890)&gt;0,"بله","خیر")</f>
        <v/>
      </c>
    </row>
    <row r="2891" ht="15" customHeight="1" s="14">
      <c r="A2891" s="24" t="n">
        <v>52282</v>
      </c>
      <c r="B2891" s="24" t="inlineStr">
        <is>
          <t>ARTICAINE / EPINEPHRINE INJECTION PARENTERAL 4 %/0.001 %/1 mL 1.7 mL</t>
        </is>
      </c>
      <c r="C2891" s="25">
        <f>IF(COUNTIF('کدهای پیام‌داروساز'!$A$2:$A$2442,A2891)&gt;0,"بله","خیر")</f>
        <v/>
      </c>
    </row>
    <row r="2892" ht="15" customHeight="1" s="14">
      <c r="A2892" s="24" t="n">
        <v>52283</v>
      </c>
      <c r="B2892" s="24" t="inlineStr">
        <is>
          <t>ARTICAINE / EPINEPHRINE INJECTION PARENTERAL 4 %/0.0005 %/1 mL 1.7 mL</t>
        </is>
      </c>
      <c r="C2892" s="25">
        <f>IF(COUNTIF('کدهای پیام‌داروساز'!$A$2:$A$2442,A2892)&gt;0,"بله","خیر")</f>
        <v/>
      </c>
    </row>
    <row r="2893" ht="15" customHeight="1" s="14">
      <c r="A2893" s="24" t="n">
        <v>52284</v>
      </c>
      <c r="B2893" s="24" t="inlineStr">
        <is>
          <t>METHOTREXATE SODIUM TABLET ORAL 5 mg</t>
        </is>
      </c>
      <c r="C2893" s="25">
        <f>IF(COUNTIF('کدهای پیام‌داروساز'!$A$2:$A$2442,A2893)&gt;0,"بله","خیر")</f>
        <v/>
      </c>
    </row>
    <row r="2894" ht="15" customHeight="1" s="14">
      <c r="A2894" s="24" t="n">
        <v>52285</v>
      </c>
      <c r="B2894" s="24" t="inlineStr">
        <is>
          <t>IODIXANOL INJECTION PARENTERAL 320 mg/1mL 100 mL</t>
        </is>
      </c>
      <c r="C2894" s="25">
        <f>IF(COUNTIF('کدهای پیام‌داروساز'!$A$2:$A$2442,A2894)&gt;0,"بله","خیر")</f>
        <v/>
      </c>
    </row>
    <row r="2895" ht="15" customHeight="1" s="14">
      <c r="A2895" s="24" t="n">
        <v>52286</v>
      </c>
      <c r="B2895" s="24" t="inlineStr">
        <is>
          <t>PROSTAGLANDIN E1 (ALPROSTADIL) INJECTION, SOLUTION, CONCENTRATE PARENTERAL 20 ug/1mL</t>
        </is>
      </c>
      <c r="C2895" s="25">
        <f>IF(COUNTIF('کدهای پیام‌داروساز'!$A$2:$A$2442,A2895)&gt;0,"بله","خیر")</f>
        <v/>
      </c>
    </row>
    <row r="2896" ht="15" customHeight="1" s="14">
      <c r="A2896" s="24" t="n">
        <v>52287</v>
      </c>
      <c r="B2896" s="24" t="inlineStr">
        <is>
          <t>IDEBENONE CAPSULE ORAL 45 mg</t>
        </is>
      </c>
      <c r="C2896" s="25">
        <f>IF(COUNTIF('کدهای پیام‌داروساز'!$A$2:$A$2442,A2896)&gt;0,"بله","خیر")</f>
        <v/>
      </c>
    </row>
    <row r="2897" ht="15" customHeight="1" s="14">
      <c r="A2897" s="24" t="n">
        <v>52289</v>
      </c>
      <c r="B2897" s="24" t="inlineStr">
        <is>
          <t>EPOETIN INJECTION PARENTERAL 20000 [iU]/1mL 0.5 mL</t>
        </is>
      </c>
      <c r="C2897" s="25">
        <f>IF(COUNTIF('کدهای پیام‌داروساز'!$A$2:$A$2442,A2897)&gt;0,"بله","خیر")</f>
        <v/>
      </c>
    </row>
    <row r="2898" ht="15" customHeight="1" s="14">
      <c r="A2898" s="24" t="n">
        <v>52290</v>
      </c>
      <c r="B2898" s="24" t="inlineStr">
        <is>
          <t>EPOETIN INJECTION PARENTERAL 20000 [iU]/1mL 1 mL</t>
        </is>
      </c>
      <c r="C2898" s="25">
        <f>IF(COUNTIF('کدهای پیام‌داروساز'!$A$2:$A$2442,A2898)&gt;0,"بله","خیر")</f>
        <v/>
      </c>
    </row>
    <row r="2899" ht="15" customHeight="1" s="14">
      <c r="A2899" s="24" t="n">
        <v>52291</v>
      </c>
      <c r="B2899" s="24" t="inlineStr">
        <is>
          <t>TACROLIMUS CAPSULE, EXTENDED RELEASE ORAL 0.5 mg</t>
        </is>
      </c>
      <c r="C2899" s="25">
        <f>IF(COUNTIF('کدهای پیام‌داروساز'!$A$2:$A$2442,A2899)&gt;0,"بله","خیر")</f>
        <v/>
      </c>
    </row>
    <row r="2900" ht="15" customHeight="1" s="14">
      <c r="A2900" s="24" t="n">
        <v>52293</v>
      </c>
      <c r="B2900" s="24" t="inlineStr">
        <is>
          <t>MENINGOCOCCAL VACCINE INJECTION PARENTERAL  1 {dose}</t>
        </is>
      </c>
      <c r="C2900" s="25">
        <f>IF(COUNTIF('کدهای پیام‌داروساز'!$A$2:$A$2442,A2900)&gt;0,"بله","خیر")</f>
        <v/>
      </c>
    </row>
    <row r="2901" ht="15" customHeight="1" s="14">
      <c r="A2901" s="24" t="n">
        <v>52294</v>
      </c>
      <c r="B2901" s="24" t="inlineStr">
        <is>
          <t>ETANERCEPT INJECTION, SOLUTION SUBCUTANEOUS 25 mg/0.5mL</t>
        </is>
      </c>
      <c r="C2901" s="25">
        <f>IF(COUNTIF('کدهای پیام‌داروساز'!$A$2:$A$2442,A2901)&gt;0,"بله","خیر")</f>
        <v/>
      </c>
    </row>
    <row r="2902" ht="15" customHeight="1" s="14">
      <c r="A2902" s="24" t="n">
        <v>52295</v>
      </c>
      <c r="B2902" s="24" t="inlineStr">
        <is>
          <t>BECLOMETHASONE DIPROPIONATE SPRAY NASAL 50 ug/1 {dose} 150 {Puff}</t>
        </is>
      </c>
      <c r="C2902" s="25">
        <f>IF(COUNTIF('کدهای پیام‌داروساز'!$A$2:$A$2442,A2902)&gt;0,"بله","خیر")</f>
        <v/>
      </c>
    </row>
    <row r="2903" ht="15" customHeight="1" s="14">
      <c r="A2903" s="24" t="n">
        <v>52297</v>
      </c>
      <c r="B2903" s="24" t="inlineStr">
        <is>
          <t>HYDROCORTISONE CREAM TOPICAL 1 % 30 g</t>
        </is>
      </c>
      <c r="C2903" s="25">
        <f>IF(COUNTIF('کدهای پیام‌داروساز'!$A$2:$A$2442,A2903)&gt;0,"بله","خیر")</f>
        <v/>
      </c>
    </row>
    <row r="2904" ht="15" customHeight="1" s="14">
      <c r="A2904" s="24" t="n">
        <v>52298</v>
      </c>
      <c r="B2904" s="24" t="inlineStr">
        <is>
          <t>LORATADINE TABLET, ORALLY DISINTEGRATING ORAL 10 mg</t>
        </is>
      </c>
      <c r="C2904" s="25">
        <f>IF(COUNTIF('کدهای پیام‌داروساز'!$A$2:$A$2442,A2904)&gt;0,"بله","خیر")</f>
        <v/>
      </c>
    </row>
    <row r="2905" ht="15" customHeight="1" s="14">
      <c r="A2905" s="24" t="n">
        <v>52299</v>
      </c>
      <c r="B2905" s="24" t="inlineStr">
        <is>
          <t>KETOTIFEN (AS FUMARATE) SYRUP ORAL 1 mg/5mL 100 mL</t>
        </is>
      </c>
      <c r="C2905" s="25">
        <f>IF(COUNTIF('کدهای پیام‌داروساز'!$A$2:$A$2442,A2905)&gt;0,"بله","خیر")</f>
        <v/>
      </c>
    </row>
    <row r="2906" ht="15" customHeight="1" s="14">
      <c r="A2906" s="24" t="n">
        <v>52300</v>
      </c>
      <c r="B2906" s="24" t="inlineStr">
        <is>
          <t>SUGAMMADEX (AS SODIUM) INJECTION, SOLUTION PARENTERAL 100 mg/1mL 5 mL</t>
        </is>
      </c>
      <c r="C2906" s="25">
        <f>IF(COUNTIF('کدهای پیام‌داروساز'!$A$2:$A$2442,A2906)&gt;0,"بله","خیر")</f>
        <v/>
      </c>
    </row>
    <row r="2907" ht="15" customHeight="1" s="14">
      <c r="A2907" s="24" t="n">
        <v>52301</v>
      </c>
      <c r="B2907" s="24" t="inlineStr">
        <is>
          <t>LEVODOPA / CARBIDOPA TABLET ORAL 100 mg/25 mg</t>
        </is>
      </c>
      <c r="C2907" s="25">
        <f>IF(COUNTIF('کدهای پیام‌داروساز'!$A$2:$A$2442,A2907)&gt;0,"بله","خیر")</f>
        <v/>
      </c>
    </row>
    <row r="2908" ht="15" customHeight="1" s="14">
      <c r="A2908" s="24" t="n">
        <v>52302</v>
      </c>
      <c r="B2908" s="24" t="inlineStr">
        <is>
          <t>MESALAZINE TABLET, EXTENDED RELEASE ORAL 1 g</t>
        </is>
      </c>
      <c r="C2908" s="25">
        <f>IF(COUNTIF('کدهای پیام‌داروساز'!$A$2:$A$2442,A2908)&gt;0,"بله","خیر")</f>
        <v/>
      </c>
    </row>
    <row r="2909" ht="15" customHeight="1" s="14">
      <c r="A2909" s="24" t="n">
        <v>52304</v>
      </c>
      <c r="B2909" s="24" t="inlineStr">
        <is>
          <t>TRETINOIN CREAM TOPICAL 0.05 % 30 g</t>
        </is>
      </c>
      <c r="C2909" s="25">
        <f>IF(COUNTIF('کدهای پیام‌داروساز'!$A$2:$A$2442,A2909)&gt;0,"بله","خیر")</f>
        <v/>
      </c>
    </row>
    <row r="2910" ht="15" customHeight="1" s="14">
      <c r="A2910" s="24" t="n">
        <v>52305</v>
      </c>
      <c r="B2910" s="24" t="inlineStr">
        <is>
          <t>MENINGOCOCCAL VACCINE INJECTION PARENTERAL  10 {dose}</t>
        </is>
      </c>
      <c r="C2910" s="25">
        <f>IF(COUNTIF('کدهای پیام‌داروساز'!$A$2:$A$2442,A2910)&gt;0,"بله","خیر")</f>
        <v/>
      </c>
    </row>
    <row r="2911" ht="15" customHeight="1" s="14">
      <c r="A2911" s="24" t="n">
        <v>52306</v>
      </c>
      <c r="B2911" s="24" t="inlineStr">
        <is>
          <t>BUDESONIDE SUSPENSION RESPIRATORY 0.5 mg/1mL 2 mL</t>
        </is>
      </c>
      <c r="C2911" s="25">
        <f>IF(COUNTIF('کدهای پیام‌داروساز'!$A$2:$A$2442,A2911)&gt;0,"بله","خیر")</f>
        <v/>
      </c>
    </row>
    <row r="2912" ht="15" customHeight="1" s="14">
      <c r="A2912" s="24" t="n">
        <v>52307</v>
      </c>
      <c r="B2912" s="24" t="inlineStr">
        <is>
          <t>MEGESTROL ACETATE SUSPENSION ORAL 40 mg/1mL 20 mL</t>
        </is>
      </c>
      <c r="C2912" s="25">
        <f>IF(COUNTIF('کدهای پیام‌داروساز'!$A$2:$A$2442,A2912)&gt;0,"بله","خیر")</f>
        <v/>
      </c>
    </row>
    <row r="2913" ht="15" customHeight="1" s="14">
      <c r="A2913" s="24" t="n">
        <v>52308</v>
      </c>
      <c r="B2913" s="24" t="inlineStr">
        <is>
          <t>BUDESONIDE POWDER, METERED RESPIRATORY 200 ug/1{dose} 100 {dose}</t>
        </is>
      </c>
      <c r="C2913" s="25">
        <f>IF(COUNTIF('کدهای پیام‌داروساز'!$A$2:$A$2442,A2913)&gt;0,"بله","خیر")</f>
        <v/>
      </c>
    </row>
    <row r="2914" ht="15" customHeight="1" s="14">
      <c r="A2914" s="24" t="n">
        <v>52309</v>
      </c>
      <c r="B2914" s="24" t="inlineStr">
        <is>
          <t>CREAM BASE CREAM TOPICAL 100 % 2 kg</t>
        </is>
      </c>
      <c r="C2914" s="25">
        <f>IF(COUNTIF('کدهای پیام‌داروساز'!$A$2:$A$2442,A2914)&gt;0,"بله","خیر")</f>
        <v/>
      </c>
    </row>
    <row r="2915" ht="15" customHeight="1" s="14">
      <c r="A2915" s="24" t="n">
        <v>52310</v>
      </c>
      <c r="B2915" s="24" t="inlineStr">
        <is>
          <t>LEVOTHYROXINE SODIUM SOLUTION ORAL 20 ug/1mL 100 mL</t>
        </is>
      </c>
      <c r="C2915" s="25">
        <f>IF(COUNTIF('کدهای پیام‌داروساز'!$A$2:$A$2442,A2915)&gt;0,"بله","خیر")</f>
        <v/>
      </c>
    </row>
    <row r="2916" ht="15" customHeight="1" s="14">
      <c r="A2916" s="24" t="n">
        <v>52311</v>
      </c>
      <c r="B2916" s="24" t="inlineStr">
        <is>
          <t>COAGULATION FACTOR X, HUMAN PLASMA INJECTION PARENTERAL</t>
        </is>
      </c>
      <c r="C2916" s="25">
        <f>IF(COUNTIF('کدهای پیام‌داروساز'!$A$2:$A$2442,A2916)&gt;0,"بله","خیر")</f>
        <v/>
      </c>
    </row>
    <row r="2917" ht="15" customHeight="1" s="14">
      <c r="A2917" s="24" t="n">
        <v>52312</v>
      </c>
      <c r="B2917" s="24" t="inlineStr">
        <is>
          <t>ACETAMINOPHEN / CODEINE PHOSPHATE TABLET ORAL 300 mg/10 mg</t>
        </is>
      </c>
      <c r="C2917" s="25">
        <f>IF(COUNTIF('کدهای پیام‌داروساز'!$A$2:$A$2442,A2917)&gt;0,"بله","خیر")</f>
        <v/>
      </c>
    </row>
    <row r="2918" ht="15" customHeight="1" s="14">
      <c r="A2918" s="24" t="n">
        <v>52315</v>
      </c>
      <c r="B2918" s="24" t="inlineStr">
        <is>
          <t>PNEUMOCOCCAL VACCINE 10-VALENT INJECTION PARENTERAL  0.5 mL</t>
        </is>
      </c>
      <c r="C2918" s="25">
        <f>IF(COUNTIF('کدهای پیام‌داروساز'!$A$2:$A$2442,A2918)&gt;0,"بله","خیر")</f>
        <v/>
      </c>
    </row>
    <row r="2919" ht="15" customHeight="1" s="14">
      <c r="A2919" s="24" t="n">
        <v>52316</v>
      </c>
      <c r="B2919" s="24" t="inlineStr">
        <is>
          <t>PNEUMOCOCCAL VACCINE 10-VALENT INJECTION PARENTERAL  2 mL</t>
        </is>
      </c>
      <c r="C2919" s="25">
        <f>IF(COUNTIF('کدهای پیام‌داروساز'!$A$2:$A$2442,A2919)&gt;0,"بله","خیر")</f>
        <v/>
      </c>
    </row>
    <row r="2920" ht="15" customHeight="1" s="14">
      <c r="A2920" s="24" t="n">
        <v>52317</v>
      </c>
      <c r="B2920" s="24" t="inlineStr">
        <is>
          <t>TOBRAMYCIN / LOTEPREDNOL SUSPENSION, DROPS OPHTHALMIC 0.3 %/0.5 % 5 mL</t>
        </is>
      </c>
      <c r="C2920" s="25">
        <f>IF(COUNTIF('کدهای پیام‌داروساز'!$A$2:$A$2442,A2920)&gt;0,"بله","خیر")</f>
        <v/>
      </c>
    </row>
    <row r="2921" ht="15" customHeight="1" s="14">
      <c r="A2921" s="24" t="n">
        <v>52318</v>
      </c>
      <c r="B2921" s="24" t="inlineStr">
        <is>
          <t>METHOCARBAMOL TABLET ORAL 750 mg</t>
        </is>
      </c>
      <c r="C2921" s="25">
        <f>IF(COUNTIF('کدهای پیام‌داروساز'!$A$2:$A$2442,A2921)&gt;0,"بله","خیر")</f>
        <v/>
      </c>
    </row>
    <row r="2922" ht="15" customHeight="1" s="14">
      <c r="A2922" s="24" t="n">
        <v>52319</v>
      </c>
      <c r="B2922" s="24" t="inlineStr">
        <is>
          <t>TRIENTINE HYDROCHLORIDE CAPSULE ORAL 250 mg</t>
        </is>
      </c>
      <c r="C2922" s="25">
        <f>IF(COUNTIF('کدهای پیام‌داروساز'!$A$2:$A$2442,A2922)&gt;0,"بله","خیر")</f>
        <v/>
      </c>
    </row>
    <row r="2923" ht="15" customHeight="1" s="14">
      <c r="A2923" s="24" t="n">
        <v>52320</v>
      </c>
      <c r="B2923" s="24" t="inlineStr">
        <is>
          <t>LISDEXAMFETAMINE MESILATE CAPSULE ORAL 10 mg</t>
        </is>
      </c>
      <c r="C2923" s="25">
        <f>IF(COUNTIF('کدهای پیام‌داروساز'!$A$2:$A$2442,A2923)&gt;0,"بله","خیر")</f>
        <v/>
      </c>
    </row>
    <row r="2924" ht="15" customHeight="1" s="14">
      <c r="A2924" s="24" t="n">
        <v>52321</v>
      </c>
      <c r="B2924" s="24" t="inlineStr">
        <is>
          <t>LISDEXAMFETAMINE MESILATE CAPSULE ORAL 20 mg</t>
        </is>
      </c>
      <c r="C2924" s="25">
        <f>IF(COUNTIF('کدهای پیام‌داروساز'!$A$2:$A$2442,A2924)&gt;0,"بله","خیر")</f>
        <v/>
      </c>
    </row>
    <row r="2925" ht="15" customHeight="1" s="14">
      <c r="A2925" s="24" t="n">
        <v>52322</v>
      </c>
      <c r="B2925" s="24" t="inlineStr">
        <is>
          <t>LISDEXAMFETAMINE MESILATE CAPSULE ORAL 30 mg</t>
        </is>
      </c>
      <c r="C2925" s="25">
        <f>IF(COUNTIF('کدهای پیام‌داروساز'!$A$2:$A$2442,A2925)&gt;0,"بله","خیر")</f>
        <v/>
      </c>
    </row>
    <row r="2926" ht="15" customHeight="1" s="14">
      <c r="A2926" s="24" t="n">
        <v>52324</v>
      </c>
      <c r="B2926" s="24" t="inlineStr">
        <is>
          <t>LISDEXAMFETAMINE MESILATE CAPSULE ORAL 50 mg</t>
        </is>
      </c>
      <c r="C2926" s="25">
        <f>IF(COUNTIF('کدهای پیام‌داروساز'!$A$2:$A$2442,A2926)&gt;0,"بله","خیر")</f>
        <v/>
      </c>
    </row>
    <row r="2927" ht="15" customHeight="1" s="14">
      <c r="A2927" s="24" t="n">
        <v>52326</v>
      </c>
      <c r="B2927" s="24" t="inlineStr">
        <is>
          <t>LISDEXAMFETAMINE MESILATE CAPSULE ORAL 70 mg</t>
        </is>
      </c>
      <c r="C2927" s="25">
        <f>IF(COUNTIF('کدهای پیام‌داروساز'!$A$2:$A$2442,A2927)&gt;0,"بله","خیر")</f>
        <v/>
      </c>
    </row>
    <row r="2928" ht="15" customHeight="1" s="14">
      <c r="A2928" s="24" t="n">
        <v>52327</v>
      </c>
      <c r="B2928" s="24" t="inlineStr">
        <is>
          <t>ADULT COLD PREPARATIONS (5-3) TABLET ORAL 500 mg/15 mg/5 mg</t>
        </is>
      </c>
      <c r="C2928" s="25">
        <f>IF(COUNTIF('کدهای پیام‌داروساز'!$A$2:$A$2442,A2928)&gt;0,"بله","خیر")</f>
        <v/>
      </c>
    </row>
    <row r="2929" ht="15" customHeight="1" s="14">
      <c r="A2929" s="24" t="n">
        <v>52328</v>
      </c>
      <c r="B2929" s="24" t="inlineStr">
        <is>
          <t>AZELASTINE HYDROCHLORIDE / FLUTICASONE PROPIONATE SPRAY, METERED NASAL 137 ug/50 ug/1 {Puff} 120 {dose}</t>
        </is>
      </c>
      <c r="C2929" s="25">
        <f>IF(COUNTIF('کدهای پیام‌داروساز'!$A$2:$A$2442,A2929)&gt;0,"بله","خیر")</f>
        <v/>
      </c>
    </row>
    <row r="2930" ht="15" customHeight="1" s="14">
      <c r="A2930" s="24" t="n">
        <v>52329</v>
      </c>
      <c r="B2930" s="24" t="inlineStr">
        <is>
          <t>SERTACONAZOLE NITRATE CREAM TOPICAL 2 % 20 g</t>
        </is>
      </c>
      <c r="C2930" s="25">
        <f>IF(COUNTIF('کدهای پیام‌داروساز'!$A$2:$A$2442,A2930)&gt;0,"بله","خیر")</f>
        <v/>
      </c>
    </row>
    <row r="2931" ht="15" customHeight="1" s="14">
      <c r="A2931" s="24" t="n">
        <v>52330</v>
      </c>
      <c r="B2931" s="24" t="inlineStr">
        <is>
          <t>ESMOLOL HYDROCHLORIDE INJECTION, POWDER, LYOPHILIZED, FOR SOLUTION PARENTERAL 2500 mg</t>
        </is>
      </c>
      <c r="C2931" s="25">
        <f>IF(COUNTIF('کدهای پیام‌داروساز'!$A$2:$A$2442,A2931)&gt;0,"بله","خیر")</f>
        <v/>
      </c>
    </row>
    <row r="2932" ht="15" customHeight="1" s="14">
      <c r="A2932" s="24" t="n">
        <v>52331</v>
      </c>
      <c r="B2932" s="24" t="inlineStr">
        <is>
          <t>TAMSULOSIN HYDROCHLORIDE TABLET, EXTENDED RELEASE ORAL 0.4 mg</t>
        </is>
      </c>
      <c r="C2932" s="25">
        <f>IF(COUNTIF('کدهای پیام‌داروساز'!$A$2:$A$2442,A2932)&gt;0,"بله","خیر")</f>
        <v/>
      </c>
    </row>
    <row r="2933" ht="15" customHeight="1" s="14">
      <c r="A2933" s="24" t="n">
        <v>52332</v>
      </c>
      <c r="B2933" s="24" t="inlineStr">
        <is>
          <t>TACROLIMUS CAPSULE, EXTENDED RELEASE ORAL 1 mg</t>
        </is>
      </c>
      <c r="C2933" s="25">
        <f>IF(COUNTIF('کدهای پیام‌داروساز'!$A$2:$A$2442,A2933)&gt;0,"بله","خیر")</f>
        <v/>
      </c>
    </row>
    <row r="2934" ht="15" customHeight="1" s="14">
      <c r="A2934" s="24" t="n">
        <v>52333</v>
      </c>
      <c r="B2934" s="24" t="inlineStr">
        <is>
          <t>TACROLIMUS CAPSULE, EXTENDED RELEASE ORAL 5 mg</t>
        </is>
      </c>
      <c r="C2934" s="25">
        <f>IF(COUNTIF('کدهای پیام‌داروساز'!$A$2:$A$2442,A2934)&gt;0,"بله","خیر")</f>
        <v/>
      </c>
    </row>
    <row r="2935" ht="15" customHeight="1" s="14">
      <c r="A2935" s="24" t="n">
        <v>52334</v>
      </c>
      <c r="B2935" s="24" t="inlineStr">
        <is>
          <t>ILOPROST INJECTION, SOLUTION PARENTERAL 20 ug/1mL 1 mL</t>
        </is>
      </c>
      <c r="C2935" s="25">
        <f>IF(COUNTIF('کدهای پیام‌داروساز'!$A$2:$A$2442,A2935)&gt;0,"بله","خیر")</f>
        <v/>
      </c>
    </row>
    <row r="2936" ht="15" customHeight="1" s="14">
      <c r="A2936" s="24" t="n">
        <v>52335</v>
      </c>
      <c r="B2936" s="24" t="inlineStr">
        <is>
          <t>GEMCITABINE HYDROCHLORIDE INJECTION, SOLUTION, CONCENTRATE PARENTERAL 10 mg/1mL 100 mL</t>
        </is>
      </c>
      <c r="C2936" s="25">
        <f>IF(COUNTIF('کدهای پیام‌داروساز'!$A$2:$A$2442,A2936)&gt;0,"بله","خیر")</f>
        <v/>
      </c>
    </row>
    <row r="2937" ht="15" customHeight="1" s="14">
      <c r="A2937" s="24" t="n">
        <v>52336</v>
      </c>
      <c r="B2937" s="24" t="inlineStr">
        <is>
          <t>GEMCITABINE HYDROCHLORIDE INJECTION, SOLUTION, CONCENTRATE PARENTERAL 100 mg/1mL 2 mL</t>
        </is>
      </c>
      <c r="C2937" s="25">
        <f>IF(COUNTIF('کدهای پیام‌داروساز'!$A$2:$A$2442,A2937)&gt;0,"بله","خیر")</f>
        <v/>
      </c>
    </row>
    <row r="2938" ht="15" customHeight="1" s="14">
      <c r="A2938" s="24" t="n">
        <v>52337</v>
      </c>
      <c r="B2938" s="24" t="inlineStr">
        <is>
          <t>GEMCITABINE HYDROCHLORIDE INJECTION, SOLUTION, CONCENTRATE PARENTERAL 10 mg/1mL 20 mL</t>
        </is>
      </c>
      <c r="C2938" s="25">
        <f>IF(COUNTIF('کدهای پیام‌داروساز'!$A$2:$A$2442,A2938)&gt;0,"بله","خیر")</f>
        <v/>
      </c>
    </row>
    <row r="2939" ht="15" customHeight="1" s="14">
      <c r="A2939" s="24" t="n">
        <v>52338</v>
      </c>
      <c r="B2939" s="24" t="inlineStr">
        <is>
          <t>GEMCITABINE HYDROCHLORIDE INJECTION, SOLUTION, CONCENTRATE PARENTERAL 100 mg/1mL 10 mL</t>
        </is>
      </c>
      <c r="C2939" s="25">
        <f>IF(COUNTIF('کدهای پیام‌داروساز'!$A$2:$A$2442,A2939)&gt;0,"بله","خیر")</f>
        <v/>
      </c>
    </row>
    <row r="2940" ht="15" customHeight="1" s="14">
      <c r="A2940" s="24" t="n">
        <v>52340</v>
      </c>
      <c r="B2940" s="24" t="inlineStr">
        <is>
          <t>AMINO ACID 10% (2) INJECTION, SOLUTION INTRAVENOUS 5 mg/8.9 mg/5.74 mg/3.12 mg/4.4 mg/4.7 mg/4.2 mg/1.6 mg/6.2 mg/11.5 mg/3 mg/10.5 mg/12 mg/5.6 mg/7.2 mg/5.5 mg/2.3 mg/0.4 mg/1mL 500 mL</t>
        </is>
      </c>
      <c r="C2940" s="25">
        <f>IF(COUNTIF('کدهای پیام‌داروساز'!$A$2:$A$2442,A2940)&gt;0,"بله","خیر")</f>
        <v/>
      </c>
    </row>
    <row r="2941" ht="15" customHeight="1" s="14">
      <c r="A2941" s="24" t="n">
        <v>52342</v>
      </c>
      <c r="B2941" s="24" t="inlineStr">
        <is>
          <t>FLUDARABINE PHOSPHATE INJECTION, SOLUTION PARENTERAL 25 mg/1mL 2 mL</t>
        </is>
      </c>
      <c r="C2941" s="25">
        <f>IF(COUNTIF('کدهای پیام‌داروساز'!$A$2:$A$2442,A2941)&gt;0,"بله","خیر")</f>
        <v/>
      </c>
    </row>
    <row r="2942" ht="15" customHeight="1" s="14">
      <c r="A2942" s="24" t="n">
        <v>52343</v>
      </c>
      <c r="B2942" s="24" t="inlineStr">
        <is>
          <t>FLUTICASONE PROPIONATE SPRAY NASAL 50 ug/1{Puff} 100 {Puff}</t>
        </is>
      </c>
      <c r="C2942" s="25">
        <f>IF(COUNTIF('کدهای پیام‌داروساز'!$A$2:$A$2442,A2942)&gt;0,"بله","خیر")</f>
        <v/>
      </c>
    </row>
    <row r="2943" ht="15" customHeight="1" s="14">
      <c r="A2943" s="24" t="n">
        <v>52345</v>
      </c>
      <c r="B2943" s="24" t="inlineStr">
        <is>
          <t>ANTI-D IMMUNOGLOBULIN INJECTION, SOLUTION INTRAMUSCULAR 300 ug/2mL</t>
        </is>
      </c>
      <c r="C2943" s="25">
        <f>IF(COUNTIF('کدهای پیام‌داروساز'!$A$2:$A$2442,A2943)&gt;0,"بله","خیر")</f>
        <v/>
      </c>
    </row>
    <row r="2944" ht="15" customHeight="1" s="14">
      <c r="A2944" s="24" t="n">
        <v>52346</v>
      </c>
      <c r="B2944" s="24" t="inlineStr">
        <is>
          <t>SOMATROPIN INJECTION, SOLUTION PARENTERAL 4 [iU]/0.5mL</t>
        </is>
      </c>
      <c r="C2944" s="25">
        <f>IF(COUNTIF('کدهای پیام‌داروساز'!$A$2:$A$2442,A2944)&gt;0,"بله","خیر")</f>
        <v/>
      </c>
    </row>
    <row r="2945" ht="15" customHeight="1" s="14">
      <c r="A2945" s="24" t="n">
        <v>52347</v>
      </c>
      <c r="B2945" s="24" t="inlineStr">
        <is>
          <t>CISPLATIN INJECTION, POWDER, FOR SOLUTION INTRAVENOUS 10 mg</t>
        </is>
      </c>
      <c r="C2945" s="25">
        <f>IF(COUNTIF('کدهای پیام‌داروساز'!$A$2:$A$2442,A2945)&gt;0,"بله","خیر")</f>
        <v/>
      </c>
    </row>
    <row r="2946" ht="15" customHeight="1" s="14">
      <c r="A2946" s="24" t="n">
        <v>52349</v>
      </c>
      <c r="B2946" s="24" t="inlineStr">
        <is>
          <t>DOCETAXEL INJECTION, SOLUTION INTRAVENOUS 20 mg/1mL 1 mL</t>
        </is>
      </c>
      <c r="C2946" s="25">
        <f>IF(COUNTIF('کدهای پیام‌داروساز'!$A$2:$A$2442,A2946)&gt;0,"بله","خیر")</f>
        <v/>
      </c>
    </row>
    <row r="2947" ht="15" customHeight="1" s="14">
      <c r="A2947" s="24" t="n">
        <v>52350</v>
      </c>
      <c r="B2947" s="24" t="inlineStr">
        <is>
          <t>ECULIZUMAB INJECTION, SOLUTION, CONCENTRATE PARENTERAL 10 mg/1mL 30 mL</t>
        </is>
      </c>
      <c r="C2947" s="25">
        <f>IF(COUNTIF('کدهای پیام‌داروساز'!$A$2:$A$2442,A2947)&gt;0,"بله","خیر")</f>
        <v/>
      </c>
    </row>
    <row r="2948" ht="15" customHeight="1" s="14">
      <c r="A2948" s="24" t="n">
        <v>52351</v>
      </c>
      <c r="B2948" s="24" t="inlineStr">
        <is>
          <t>DIAZOXIDE TABLET ORAL 50 mg</t>
        </is>
      </c>
      <c r="C2948" s="25">
        <f>IF(COUNTIF('کدهای پیام‌داروساز'!$A$2:$A$2442,A2948)&gt;0,"بله","خیر")</f>
        <v/>
      </c>
    </row>
    <row r="2949" ht="15" customHeight="1" s="14">
      <c r="A2949" s="24" t="n">
        <v>52352</v>
      </c>
      <c r="B2949" s="24" t="inlineStr">
        <is>
          <t>DEXTROMETHORPHAN / GUAIFENESIN / PHENYLEPHRINE SYRUP ORAL 30 mg/200 mg/10 mg/5mL 60 mL</t>
        </is>
      </c>
      <c r="C2949" s="25">
        <f>IF(COUNTIF('کدهای پیام‌داروساز'!$A$2:$A$2442,A2949)&gt;0,"بله","خیر")</f>
        <v/>
      </c>
    </row>
    <row r="2950" ht="15" customHeight="1" s="14">
      <c r="A2950" s="24" t="n">
        <v>52353</v>
      </c>
      <c r="B2950" s="24" t="inlineStr">
        <is>
          <t>METHOTREXATE SODIUM INJECTION PARENTERAL 20 mg/1mL 0.375 mL</t>
        </is>
      </c>
      <c r="C2950" s="25">
        <f>IF(COUNTIF('کدهای پیام‌داروساز'!$A$2:$A$2442,A2950)&gt;0,"بله","خیر")</f>
        <v/>
      </c>
    </row>
    <row r="2951" ht="15" customHeight="1" s="14">
      <c r="A2951" s="24" t="n">
        <v>52354</v>
      </c>
      <c r="B2951" s="24" t="inlineStr">
        <is>
          <t>METHOTREXATE SODIUM INJECTION PARENTERAL 20 mg/1mL 0.5 mL</t>
        </is>
      </c>
      <c r="C2951" s="25">
        <f>IF(COUNTIF('کدهای پیام‌داروساز'!$A$2:$A$2442,A2951)&gt;0,"بله","خیر")</f>
        <v/>
      </c>
    </row>
    <row r="2952" ht="15" customHeight="1" s="14">
      <c r="A2952" s="24" t="n">
        <v>52355</v>
      </c>
      <c r="B2952" s="24" t="inlineStr">
        <is>
          <t>METHOTREXATE SODIUM INJECTION PARENTERAL 20 mg/1mL 0.75 mL</t>
        </is>
      </c>
      <c r="C2952" s="25">
        <f>IF(COUNTIF('کدهای پیام‌داروساز'!$A$2:$A$2442,A2952)&gt;0,"بله","خیر")</f>
        <v/>
      </c>
    </row>
    <row r="2953" ht="15" customHeight="1" s="14">
      <c r="A2953" s="24" t="n">
        <v>52356</v>
      </c>
      <c r="B2953" s="24" t="inlineStr">
        <is>
          <t>METHOTREXATE SODIUM INJECTION PARENTERAL 20 mg/1mL 1 mL</t>
        </is>
      </c>
      <c r="C2953" s="25">
        <f>IF(COUNTIF('کدهای پیام‌داروساز'!$A$2:$A$2442,A2953)&gt;0,"بله","خیر")</f>
        <v/>
      </c>
    </row>
    <row r="2954" ht="15" customHeight="1" s="14">
      <c r="A2954" s="24" t="n">
        <v>52357</v>
      </c>
      <c r="B2954" s="24" t="inlineStr">
        <is>
          <t>METHOTREXATE SODIUM INJECTION PARENTERAL 20 mg/1mL 1.25 mL</t>
        </is>
      </c>
      <c r="C2954" s="25">
        <f>IF(COUNTIF('کدهای پیام‌داروساز'!$A$2:$A$2442,A2954)&gt;0,"بله","خیر")</f>
        <v/>
      </c>
    </row>
    <row r="2955" ht="15" customHeight="1" s="14">
      <c r="A2955" s="24" t="n">
        <v>52358</v>
      </c>
      <c r="B2955" s="24" t="inlineStr">
        <is>
          <t>TIOTROPIUM (AS BROMIDE) SOLUTION RESPIRATORY 2.5 ug/1{Puff} 30 {dose}</t>
        </is>
      </c>
      <c r="C2955" s="25">
        <f>IF(COUNTIF('کدهای پیام‌داروساز'!$A$2:$A$2442,A2955)&gt;0,"بله","خیر")</f>
        <v/>
      </c>
    </row>
    <row r="2956" ht="15" customHeight="1" s="14">
      <c r="A2956" s="24" t="n">
        <v>52360</v>
      </c>
      <c r="B2956" s="24" t="inlineStr">
        <is>
          <t>COPPER SULFATE / ZINC SULFATE LOTION TOPICAL 1 g/1.5 g/100mL</t>
        </is>
      </c>
      <c r="C2956" s="25">
        <f>IF(COUNTIF('کدهای پیام‌داروساز'!$A$2:$A$2442,A2956)&gt;0,"بله","خیر")</f>
        <v/>
      </c>
    </row>
    <row r="2957" ht="15" customHeight="1" s="14">
      <c r="A2957" s="24" t="n">
        <v>52361</v>
      </c>
      <c r="B2957" s="24" t="inlineStr">
        <is>
          <t>ACETYLCYSTEINE INJECTION PARENTERAL 100 mg/1mL 3 mL</t>
        </is>
      </c>
      <c r="C2957" s="25">
        <f>IF(COUNTIF('کدهای پیام‌داروساز'!$A$2:$A$2442,A2957)&gt;0,"بله","خیر")</f>
        <v/>
      </c>
    </row>
    <row r="2958" ht="15" customHeight="1" s="14">
      <c r="A2958" s="24" t="n">
        <v>52363</v>
      </c>
      <c r="B2958" s="24" t="inlineStr">
        <is>
          <t>NIVOLUMAB INJECTION, SOLUTION, CONCENTRATE PARENTERAL 10 mg/1mL 4 mL</t>
        </is>
      </c>
      <c r="C2958" s="25">
        <f>IF(COUNTIF('کدهای پیام‌داروساز'!$A$2:$A$2442,A2958)&gt;0,"بله","خیر")</f>
        <v/>
      </c>
    </row>
    <row r="2959" ht="15" customHeight="1" s="14">
      <c r="A2959" s="24" t="n">
        <v>52364</v>
      </c>
      <c r="B2959" s="24" t="inlineStr">
        <is>
          <t>ADENOSINE INJECTION PARENTERAL 3 mg/1mL 1 mL</t>
        </is>
      </c>
      <c r="C2959" s="25">
        <f>IF(COUNTIF('کدهای پیام‌داروساز'!$A$2:$A$2442,A2959)&gt;0,"بله","خیر")</f>
        <v/>
      </c>
    </row>
    <row r="2960" ht="15" customHeight="1" s="14">
      <c r="A2960" s="24" t="n">
        <v>52365</v>
      </c>
      <c r="B2960" s="24" t="inlineStr">
        <is>
          <t>ADENOSINE INJECTION PARENTERAL 3 mg/1mL 4 mL</t>
        </is>
      </c>
      <c r="C2960" s="25">
        <f>IF(COUNTIF('کدهای پیام‌داروساز'!$A$2:$A$2442,A2960)&gt;0,"بله","خیر")</f>
        <v/>
      </c>
    </row>
    <row r="2961" ht="15" customHeight="1" s="14">
      <c r="A2961" s="24" t="n">
        <v>52366</v>
      </c>
      <c r="B2961" s="24" t="inlineStr">
        <is>
          <t>EDARAVONE INJECTION, SOLUTION PARENTERAL 30 mg/20mL</t>
        </is>
      </c>
      <c r="C2961" s="25">
        <f>IF(COUNTIF('کدهای پیام‌داروساز'!$A$2:$A$2442,A2961)&gt;0,"بله","خیر")</f>
        <v/>
      </c>
    </row>
    <row r="2962" ht="15" customHeight="1" s="14">
      <c r="A2962" s="24" t="n">
        <v>52367</v>
      </c>
      <c r="B2962" s="24" t="inlineStr">
        <is>
          <t>EDARAVONE INJECTION, SOLUTION PARENTERAL 30 mg/100mL</t>
        </is>
      </c>
      <c r="C2962" s="25">
        <f>IF(COUNTIF('کدهای پیام‌داروساز'!$A$2:$A$2442,A2962)&gt;0,"بله","خیر")</f>
        <v/>
      </c>
    </row>
    <row r="2963" ht="15" customHeight="1" s="14">
      <c r="A2963" s="24" t="n">
        <v>52368</v>
      </c>
      <c r="B2963" s="24" t="inlineStr">
        <is>
          <t>ADULT COLD PREPARATIONS (4-1) TABLET ORAL 500 mg/5 mg/25 mg</t>
        </is>
      </c>
      <c r="C2963" s="25">
        <f>IF(COUNTIF('کدهای پیام‌داروساز'!$A$2:$A$2442,A2963)&gt;0,"بله","خیر")</f>
        <v/>
      </c>
    </row>
    <row r="2964" ht="15" customHeight="1" s="14">
      <c r="A2964" s="24" t="n">
        <v>52369</v>
      </c>
      <c r="B2964" s="24" t="inlineStr">
        <is>
          <t>OFLOXACIN SOLUTION, DROPS OPHTHALMIC 3 mg/1mL 5 mL</t>
        </is>
      </c>
      <c r="C2964" s="25">
        <f>IF(COUNTIF('کدهای پیام‌داروساز'!$A$2:$A$2442,A2964)&gt;0,"بله","خیر")</f>
        <v/>
      </c>
    </row>
    <row r="2965" ht="15" customHeight="1" s="14">
      <c r="A2965" s="24" t="n">
        <v>52376</v>
      </c>
      <c r="B2965" s="24" t="inlineStr">
        <is>
          <t>PREDNISOLONE ACETATE SUSPENSION, DROPS OPHTHALMIC 1 % 5 mL</t>
        </is>
      </c>
      <c r="C2965" s="25">
        <f>IF(COUNTIF('کدهای پیام‌داروساز'!$A$2:$A$2442,A2965)&gt;0,"بله","خیر")</f>
        <v/>
      </c>
    </row>
    <row r="2966" ht="15" customHeight="1" s="14">
      <c r="A2966" s="24" t="n">
        <v>52377</v>
      </c>
      <c r="B2966" s="24" t="inlineStr">
        <is>
          <t>ASA (ACETYLSALICYLIC ACID) TABLET ORAL 100 mg</t>
        </is>
      </c>
      <c r="C2966" s="25">
        <f>IF(COUNTIF('کدهای پیام‌داروساز'!$A$2:$A$2442,A2966)&gt;0,"بله","خیر")</f>
        <v/>
      </c>
    </row>
    <row r="2967" ht="15" customHeight="1" s="14">
      <c r="A2967" s="24" t="n">
        <v>52378</v>
      </c>
      <c r="B2967" s="24" t="inlineStr">
        <is>
          <t>SODIUM CHLORIDE SOLUTION RESPIRATORY 7 % 4 mL</t>
        </is>
      </c>
      <c r="C2967" s="25">
        <f>IF(COUNTIF('کدهای پیام‌داروساز'!$A$2:$A$2442,A2967)&gt;0,"بله","خیر")</f>
        <v/>
      </c>
    </row>
    <row r="2968" ht="15" customHeight="1" s="14">
      <c r="A2968" s="24" t="n">
        <v>52379</v>
      </c>
      <c r="B2968" s="24" t="inlineStr">
        <is>
          <t>POTASSIUM CHLORIDE CONCENTRATED INJECTION, SOLUTION, CONCENTRATE INTRAVENOUS 2 meq/1mL 10 mL</t>
        </is>
      </c>
      <c r="C2968" s="25">
        <f>IF(COUNTIF('کدهای پیام‌داروساز'!$A$2:$A$2442,A2968)&gt;0,"بله","خیر")</f>
        <v/>
      </c>
    </row>
    <row r="2969" ht="15" customHeight="1" s="14">
      <c r="A2969" s="24" t="n">
        <v>52383</v>
      </c>
      <c r="B2969" s="24" t="inlineStr">
        <is>
          <t>VITAMIN A OINTMENT OPHTHALMIC 250 [iU]/1g 3 g</t>
        </is>
      </c>
      <c r="C2969" s="25">
        <f>IF(COUNTIF('کدهای پیام‌داروساز'!$A$2:$A$2442,A2969)&gt;0,"بله","خیر")</f>
        <v/>
      </c>
    </row>
    <row r="2970" ht="15" customHeight="1" s="14">
      <c r="A2970" s="24" t="n">
        <v>52384</v>
      </c>
      <c r="B2970" s="24" t="inlineStr">
        <is>
          <t>TRACE METAL COMBINATION (2-2) INJECTION PARENTERAL 0.6958 mg/0.6815 mg/0.1979 mg/0.2046 mg/0.0053 mg/0.00789 mg/0.00242 mg/0.0166 mg/0.126 mg/1mL 10 mL</t>
        </is>
      </c>
      <c r="C2970" s="25">
        <f>IF(COUNTIF('کدهای پیام‌داروساز'!$A$2:$A$2442,A2970)&gt;0,"بله","خیر")</f>
        <v/>
      </c>
    </row>
    <row r="2971" ht="15" customHeight="1" s="14">
      <c r="A2971" s="24" t="n">
        <v>52393</v>
      </c>
      <c r="B2971" s="24" t="inlineStr">
        <is>
          <t>CYTARABINE INJECTION, POWDER, FOR SOLUTION PARENTERAL 100 mg</t>
        </is>
      </c>
      <c r="C2971" s="25">
        <f>IF(COUNTIF('کدهای پیام‌داروساز'!$A$2:$A$2442,A2971)&gt;0,"بله","خیر")</f>
        <v/>
      </c>
    </row>
    <row r="2972" ht="15" customHeight="1" s="14">
      <c r="A2972" s="24" t="n">
        <v>52394</v>
      </c>
      <c r="B2972" s="24" t="inlineStr">
        <is>
          <t>CYTARABINE INJECTION, SOLUTION PARENTERAL 100 mg/1mL 10 mL</t>
        </is>
      </c>
      <c r="C2972" s="25">
        <f>IF(COUNTIF('کدهای پیام‌داروساز'!$A$2:$A$2442,A2972)&gt;0,"بله","خیر")</f>
        <v/>
      </c>
    </row>
    <row r="2973" ht="15" customHeight="1" s="14">
      <c r="A2973" s="24" t="n">
        <v>52395</v>
      </c>
      <c r="B2973" s="24" t="inlineStr">
        <is>
          <t>ADULT COLD PREPARATION (1) TABLET ORAL 200 mg/5 mg</t>
        </is>
      </c>
      <c r="C2973" s="25">
        <f>IF(COUNTIF('کدهای پیام‌داروساز'!$A$2:$A$2442,A2973)&gt;0,"بله","خیر")</f>
        <v/>
      </c>
    </row>
    <row r="2974" ht="15" customHeight="1" s="14">
      <c r="A2974" s="24" t="n">
        <v>52398</v>
      </c>
      <c r="B2974" s="24" t="inlineStr">
        <is>
          <t>METHOTREXATE SODIUM INJECTION, POWDER, LYOPHILIZED, FOR SOLUTION PARENTERAL 1 g</t>
        </is>
      </c>
      <c r="C2974" s="25">
        <f>IF(COUNTIF('کدهای پیام‌داروساز'!$A$2:$A$2442,A2974)&gt;0,"بله","خیر")</f>
        <v/>
      </c>
    </row>
    <row r="2975" ht="15" customHeight="1" s="14">
      <c r="A2975" s="24" t="n">
        <v>52399</v>
      </c>
      <c r="B2975" s="24" t="inlineStr">
        <is>
          <t>ACETAMINOPHEN / CAFFEINE / IBUPROFEN CAPSULE ORAL 325 mg/30 mg/200 mg</t>
        </is>
      </c>
      <c r="C2975" s="25">
        <f>IF(COUNTIF('کدهای پیام‌داروساز'!$A$2:$A$2442,A2975)&gt;0,"بله","خیر")</f>
        <v/>
      </c>
    </row>
    <row r="2976" ht="15" customHeight="1" s="14">
      <c r="A2976" s="24" t="n">
        <v>52402</v>
      </c>
      <c r="B2976" s="24" t="inlineStr">
        <is>
          <t>PENICILLIN V (AS POTASSIUM) POWDER, FOR SUSPENSION ORAL 250 mg/5mL 100 mL</t>
        </is>
      </c>
      <c r="C2976" s="25">
        <f>IF(COUNTIF('کدهای پیام‌داروساز'!$A$2:$A$2442,A2976)&gt;0,"بله","خیر")</f>
        <v/>
      </c>
    </row>
    <row r="2977" ht="15" customHeight="1" s="14">
      <c r="A2977" s="24" t="n">
        <v>52404</v>
      </c>
      <c r="B2977" s="24" t="inlineStr">
        <is>
          <t>CYTARABINE INJECTION, SOLUTION PARENTERAL 20 mg/1mL 50 mL</t>
        </is>
      </c>
      <c r="C2977" s="25">
        <f>IF(COUNTIF('کدهای پیام‌داروساز'!$A$2:$A$2442,A2977)&gt;0,"بله","خیر")</f>
        <v/>
      </c>
    </row>
    <row r="2978" ht="15" customHeight="1" s="14">
      <c r="A2978" s="24" t="n">
        <v>52405</v>
      </c>
      <c r="B2978" s="24" t="inlineStr">
        <is>
          <t>IBUPROFEN GEL TOPICAL 5 % 50 g</t>
        </is>
      </c>
      <c r="C2978" s="25">
        <f>IF(COUNTIF('کدهای پیام‌داروساز'!$A$2:$A$2442,A2978)&gt;0,"بله","خیر")</f>
        <v/>
      </c>
    </row>
    <row r="2979" ht="15" customHeight="1" s="14">
      <c r="A2979" s="24" t="n">
        <v>52406</v>
      </c>
      <c r="B2979" s="24" t="inlineStr">
        <is>
          <t>IBUPROFEN GEL TOPICAL 5 % 30 g</t>
        </is>
      </c>
      <c r="C2979" s="25">
        <f>IF(COUNTIF('کدهای پیام‌داروساز'!$A$2:$A$2442,A2979)&gt;0,"بله","خیر")</f>
        <v/>
      </c>
    </row>
    <row r="2980" ht="15" customHeight="1" s="14">
      <c r="A2980" s="24" t="n">
        <v>52407</v>
      </c>
      <c r="B2980" s="24" t="inlineStr">
        <is>
          <t>MEASLES / RUBELLA VACCINE INJECTION, POWDER, LYOPHILIZED, FOR SOLUTION PARENTERAL 5 {dose} 2.5 mL</t>
        </is>
      </c>
      <c r="C2980" s="25">
        <f>IF(COUNTIF('کدهای پیام‌داروساز'!$A$2:$A$2442,A2980)&gt;0,"بله","خیر")</f>
        <v/>
      </c>
    </row>
    <row r="2981" ht="15" customHeight="1" s="14">
      <c r="A2981" s="24" t="n">
        <v>52408</v>
      </c>
      <c r="B2981" s="24" t="inlineStr">
        <is>
          <t>RIFAMPICIN SYRUP ORAL 20 mg/1mL 60 mL</t>
        </is>
      </c>
      <c r="C2981" s="25">
        <f>IF(COUNTIF('کدهای پیام‌داروساز'!$A$2:$A$2442,A2981)&gt;0,"بله","خیر")</f>
        <v/>
      </c>
    </row>
    <row r="2982" ht="15" customHeight="1" s="14">
      <c r="A2982" s="24" t="n">
        <v>52409</v>
      </c>
      <c r="B2982" s="24" t="inlineStr">
        <is>
          <t>DAPSONE GEL TOPICAL 5 % 15 g</t>
        </is>
      </c>
      <c r="C2982" s="25">
        <f>IF(COUNTIF('کدهای پیام‌داروساز'!$A$2:$A$2442,A2982)&gt;0,"بله","خیر")</f>
        <v/>
      </c>
    </row>
    <row r="2983" ht="15" customHeight="1" s="14">
      <c r="A2983" s="24" t="n">
        <v>52411</v>
      </c>
      <c r="B2983" s="24" t="inlineStr">
        <is>
          <t>DIPHTHERIA ANTITOXIN (EQUINE) INJECTION PARENTERAL 1000 [iU]/1mL 10 mL</t>
        </is>
      </c>
      <c r="C2983" s="25">
        <f>IF(COUNTIF('کدهای پیام‌داروساز'!$A$2:$A$2442,A2983)&gt;0,"بله","خیر")</f>
        <v/>
      </c>
    </row>
    <row r="2984" ht="15" customHeight="1" s="14">
      <c r="A2984" s="24" t="n">
        <v>52412</v>
      </c>
      <c r="B2984" s="24" t="inlineStr">
        <is>
          <t>FORMOTEROL FUMARATE POWDER RESPIRATORY 12 ug/1{dose} 120 {Puff}</t>
        </is>
      </c>
      <c r="C2984" s="25">
        <f>IF(COUNTIF('کدهای پیام‌داروساز'!$A$2:$A$2442,A2984)&gt;0,"بله","خیر")</f>
        <v/>
      </c>
    </row>
    <row r="2985" ht="15" customHeight="1" s="14">
      <c r="A2985" s="24" t="n">
        <v>52413</v>
      </c>
      <c r="B2985" s="24" t="inlineStr">
        <is>
          <t>RIVASTIGMINE (AS HYDROGEN TARTRATE) SOLUTION ORAL 2 mg/1mL 120 mL</t>
        </is>
      </c>
      <c r="C2985" s="25">
        <f>IF(COUNTIF('کدهای پیام‌داروساز'!$A$2:$A$2442,A2985)&gt;0,"بله","خیر")</f>
        <v/>
      </c>
    </row>
    <row r="2986" ht="15" customHeight="1" s="14">
      <c r="A2986" s="24" t="n">
        <v>52414</v>
      </c>
      <c r="B2986" s="24" t="inlineStr">
        <is>
          <t>TRASTUZUMAB INJECTION, SOLUTION PARENTERAL 600 mg/5mL</t>
        </is>
      </c>
      <c r="C2986" s="25">
        <f>IF(COUNTIF('کدهای پیام‌داروساز'!$A$2:$A$2442,A2986)&gt;0,"بله","خیر")</f>
        <v/>
      </c>
    </row>
    <row r="2987" ht="15" customHeight="1" s="14">
      <c r="A2987" s="24" t="n">
        <v>52416</v>
      </c>
      <c r="B2987" s="24" t="inlineStr">
        <is>
          <t>ADULT COLD PREPARATIONS (4-12) POWDER, FOR SOLUTION ORAL 650 mg/10 mg/25 mg</t>
        </is>
      </c>
      <c r="C2987" s="25">
        <f>IF(COUNTIF('کدهای پیام‌داروساز'!$A$2:$A$2442,A2987)&gt;0,"بله","خیر")</f>
        <v/>
      </c>
    </row>
    <row r="2988" ht="15" customHeight="1" s="14">
      <c r="A2988" s="24" t="n">
        <v>52417</v>
      </c>
      <c r="B2988" s="24" t="inlineStr">
        <is>
          <t>ADULT COLD PREPARATIONS (1-4) POWDER, FOR SOLUTION ORAL 650 mg/10 mg</t>
        </is>
      </c>
      <c r="C2988" s="25">
        <f>IF(COUNTIF('کدهای پیام‌داروساز'!$A$2:$A$2442,A2988)&gt;0,"بله","خیر")</f>
        <v/>
      </c>
    </row>
    <row r="2989" ht="15" customHeight="1" s="14">
      <c r="A2989" s="24" t="n">
        <v>52418</v>
      </c>
      <c r="B2989" s="24" t="inlineStr">
        <is>
          <t>LOPINAVIR / RITONAVIR SOLUTION ORAL 80 mg/20 mg/1mL 60 mL</t>
        </is>
      </c>
      <c r="C2989" s="25">
        <f>IF(COUNTIF('کدهای پیام‌داروساز'!$A$2:$A$2442,A2989)&gt;0,"بله","خیر")</f>
        <v/>
      </c>
    </row>
    <row r="2990" ht="15" customHeight="1" s="14">
      <c r="A2990" s="24" t="n">
        <v>52419</v>
      </c>
      <c r="B2990" s="24" t="inlineStr">
        <is>
          <t>ADULT COLD PREPARATIONS (5-4) POWDER, FOR SOLUTION ORAL 650 mg/20 mg/10 mg</t>
        </is>
      </c>
      <c r="C2990" s="25">
        <f>IF(COUNTIF('کدهای پیام‌داروساز'!$A$2:$A$2442,A2990)&gt;0,"بله","خیر")</f>
        <v/>
      </c>
    </row>
    <row r="2991" ht="15" customHeight="1" s="14">
      <c r="A2991" s="24" t="n">
        <v>52420</v>
      </c>
      <c r="B2991" s="24" t="inlineStr">
        <is>
          <t>DOLUTEGRAVIR TABLET ORAL 10 mg</t>
        </is>
      </c>
      <c r="C2991" s="25">
        <f>IF(COUNTIF('کدهای پیام‌داروساز'!$A$2:$A$2442,A2991)&gt;0,"بله","خیر")</f>
        <v/>
      </c>
    </row>
    <row r="2992" ht="15" customHeight="1" s="14">
      <c r="A2992" s="24" t="n">
        <v>52421</v>
      </c>
      <c r="B2992" s="24" t="inlineStr">
        <is>
          <t>DOLUTEGRAVIR TABLET ORAL 25 mg</t>
        </is>
      </c>
      <c r="C2992" s="25">
        <f>IF(COUNTIF('کدهای پیام‌داروساز'!$A$2:$A$2442,A2992)&gt;0,"بله","خیر")</f>
        <v/>
      </c>
    </row>
    <row r="2993" ht="15" customHeight="1" s="14">
      <c r="A2993" s="24" t="n">
        <v>52422</v>
      </c>
      <c r="B2993" s="24" t="inlineStr">
        <is>
          <t>GLIMEPIRIDE TABLET ORAL 1 mg</t>
        </is>
      </c>
      <c r="C2993" s="25">
        <f>IF(COUNTIF('کدهای پیام‌داروساز'!$A$2:$A$2442,A2993)&gt;0,"بله","خیر")</f>
        <v/>
      </c>
    </row>
    <row r="2994" ht="15" customHeight="1" s="14">
      <c r="A2994" s="24" t="n">
        <v>52423</v>
      </c>
      <c r="B2994" s="24" t="inlineStr">
        <is>
          <t>GLIMEPIRIDE TABLET ORAL 2 mg</t>
        </is>
      </c>
      <c r="C2994" s="25">
        <f>IF(COUNTIF('کدهای پیام‌داروساز'!$A$2:$A$2442,A2994)&gt;0,"بله","خیر")</f>
        <v/>
      </c>
    </row>
    <row r="2995" ht="15" customHeight="1" s="14">
      <c r="A2995" s="24" t="n">
        <v>52424</v>
      </c>
      <c r="B2995" s="24" t="inlineStr">
        <is>
          <t>GLIMEPIRIDE TABLET ORAL 3 mg</t>
        </is>
      </c>
      <c r="C2995" s="25">
        <f>IF(COUNTIF('کدهای پیام‌داروساز'!$A$2:$A$2442,A2995)&gt;0,"بله","خیر")</f>
        <v/>
      </c>
    </row>
    <row r="2996" ht="15" customHeight="1" s="14">
      <c r="A2996" s="24" t="n">
        <v>52425</v>
      </c>
      <c r="B2996" s="24" t="inlineStr">
        <is>
          <t>GLIMEPIRIDE TABLET ORAL 4 mg</t>
        </is>
      </c>
      <c r="C2996" s="25">
        <f>IF(COUNTIF('کدهای پیام‌داروساز'!$A$2:$A$2442,A2996)&gt;0,"بله","خیر")</f>
        <v/>
      </c>
    </row>
    <row r="2997" ht="15" customHeight="1" s="14">
      <c r="A2997" s="24" t="n">
        <v>52426</v>
      </c>
      <c r="B2997" s="24" t="inlineStr">
        <is>
          <t>FOSCARNET SODIUM INJECTION, SOLUTION PARENTERAL 24 mg/1mL 250 mL</t>
        </is>
      </c>
      <c r="C2997" s="25">
        <f>IF(COUNTIF('کدهای پیام‌داروساز'!$A$2:$A$2442,A2997)&gt;0,"بله","خیر")</f>
        <v/>
      </c>
    </row>
    <row r="2998" ht="15" customHeight="1" s="14">
      <c r="A2998" s="24" t="n">
        <v>52427</v>
      </c>
      <c r="B2998" s="24" t="inlineStr">
        <is>
          <t>CEVIMELINE HYDROCHLORIDE CAPSULE ORAL 30 mg</t>
        </is>
      </c>
      <c r="C2998" s="25">
        <f>IF(COUNTIF('کدهای پیام‌داروساز'!$A$2:$A$2442,A2998)&gt;0,"بله","خیر")</f>
        <v/>
      </c>
    </row>
    <row r="2999" ht="15" customHeight="1" s="14">
      <c r="A2999" s="24" t="n">
        <v>52428</v>
      </c>
      <c r="B2999" s="24" t="inlineStr">
        <is>
          <t>OLAPARIB CAPSULE ORAL 50 mg</t>
        </is>
      </c>
      <c r="C2999" s="25">
        <f>IF(COUNTIF('کدهای پیام‌داروساز'!$A$2:$A$2442,A2999)&gt;0,"بله","خیر")</f>
        <v/>
      </c>
    </row>
    <row r="3000" ht="15" customHeight="1" s="14">
      <c r="A3000" s="24" t="n">
        <v>52429</v>
      </c>
      <c r="B3000" s="24" t="inlineStr">
        <is>
          <t>UMECLIDINIUM (AS BROMIDE) / VILANTEROL (AS TRIFENATATE) POWDER, METERED RESPIRATORY 62.5 ug/25 ug/1{Puff} 30 {dose}</t>
        </is>
      </c>
      <c r="C3000" s="25">
        <f>IF(COUNTIF('کدهای پیام‌داروساز'!$A$2:$A$2442,A3000)&gt;0,"بله","خیر")</f>
        <v/>
      </c>
    </row>
    <row r="3001" ht="15" customHeight="1" s="14">
      <c r="A3001" s="24" t="n">
        <v>52430</v>
      </c>
      <c r="B3001" s="24" t="inlineStr">
        <is>
          <t>BRIMONIDINE (AS TARTRATE) GEL TOPICAL 3 mg/1g 30 g</t>
        </is>
      </c>
      <c r="C3001" s="25">
        <f>IF(COUNTIF('کدهای پیام‌داروساز'!$A$2:$A$2442,A3001)&gt;0,"بله","خیر")</f>
        <v/>
      </c>
    </row>
    <row r="3002" ht="15" customHeight="1" s="14">
      <c r="A3002" s="24" t="n">
        <v>52432</v>
      </c>
      <c r="B3002" s="24" t="inlineStr">
        <is>
          <t>METHOTREXATE INJECTION, SOLUTION PARENTERAL 25 mg/1mL 1 mL</t>
        </is>
      </c>
      <c r="C3002" s="25">
        <f>IF(COUNTIF('کدهای پیام‌داروساز'!$A$2:$A$2442,A3002)&gt;0,"بله","خیر")</f>
        <v/>
      </c>
    </row>
    <row r="3003" ht="15" customHeight="1" s="14">
      <c r="A3003" s="24" t="n">
        <v>52433</v>
      </c>
      <c r="B3003" s="24" t="inlineStr">
        <is>
          <t>FUROSEMIDE INJECTION INTRAVENOUS 10 mg/1mL 25 mL</t>
        </is>
      </c>
      <c r="C3003" s="25">
        <f>IF(COUNTIF('کدهای پیام‌داروساز'!$A$2:$A$2442,A3003)&gt;0,"بله","خیر")</f>
        <v/>
      </c>
    </row>
    <row r="3004" ht="15" customHeight="1" s="14">
      <c r="A3004" s="24" t="n">
        <v>52434</v>
      </c>
      <c r="B3004" s="24" t="inlineStr">
        <is>
          <t>LIDOCAINE CREAM TOPICAL 4 % 15 g</t>
        </is>
      </c>
      <c r="C3004" s="25">
        <f>IF(COUNTIF('کدهای پیام‌داروساز'!$A$2:$A$2442,A3004)&gt;0,"بله","خیر")</f>
        <v/>
      </c>
    </row>
    <row r="3005" ht="15" customHeight="1" s="14">
      <c r="A3005" s="24" t="n">
        <v>52435</v>
      </c>
      <c r="B3005" s="24" t="inlineStr">
        <is>
          <t>CIPROFLOXACIN (AS HYDROCHLORIDE) TABLET ORAL 750 mg</t>
        </is>
      </c>
      <c r="C3005" s="25">
        <f>IF(COUNTIF('کدهای پیام‌داروساز'!$A$2:$A$2442,A3005)&gt;0,"بله","خیر")</f>
        <v/>
      </c>
    </row>
    <row r="3006" ht="15" customHeight="1" s="14">
      <c r="A3006" s="24" t="n">
        <v>52436</v>
      </c>
      <c r="B3006" s="24" t="inlineStr">
        <is>
          <t>BROMHEXINE HYDROCHLORIDE SOLUTION ORAL 4 mg/5mL 120 mL</t>
        </is>
      </c>
      <c r="C3006" s="25">
        <f>IF(COUNTIF('کدهای پیام‌داروساز'!$A$2:$A$2442,A3006)&gt;0,"بله","خیر")</f>
        <v/>
      </c>
    </row>
    <row r="3007" ht="15" customHeight="1" s="14">
      <c r="A3007" s="24" t="n">
        <v>52437</v>
      </c>
      <c r="B3007" s="24" t="inlineStr">
        <is>
          <t>THEOPHYLLINE CAPSULE, COATED, EXTENDED RELEASE ORAL 100 mg</t>
        </is>
      </c>
      <c r="C3007" s="25">
        <f>IF(COUNTIF('کدهای پیام‌داروساز'!$A$2:$A$2442,A3007)&gt;0,"بله","خیر")</f>
        <v/>
      </c>
    </row>
    <row r="3008" ht="15" customHeight="1" s="14">
      <c r="A3008" s="24" t="n">
        <v>52438</v>
      </c>
      <c r="B3008" s="24" t="inlineStr">
        <is>
          <t>THEOPHYLLINE CAPSULE, COATED, EXTENDED RELEASE ORAL 300 mg</t>
        </is>
      </c>
      <c r="C3008" s="25">
        <f>IF(COUNTIF('کدهای پیام‌داروساز'!$A$2:$A$2442,A3008)&gt;0,"بله","خیر")</f>
        <v/>
      </c>
    </row>
    <row r="3009" ht="15" customHeight="1" s="14">
      <c r="A3009" s="24" t="n">
        <v>52439</v>
      </c>
      <c r="B3009" s="24" t="inlineStr">
        <is>
          <t>THEOPHYLLINE CAPSULE, COATED, EXTENDED RELEASE ORAL 400 mg</t>
        </is>
      </c>
      <c r="C3009" s="25">
        <f>IF(COUNTIF('کدهای پیام‌داروساز'!$A$2:$A$2442,A3009)&gt;0,"بله","خیر")</f>
        <v/>
      </c>
    </row>
    <row r="3010" ht="15" customHeight="1" s="14">
      <c r="A3010" s="24" t="n">
        <v>52440</v>
      </c>
      <c r="B3010" s="24" t="inlineStr">
        <is>
          <t>BUDESONIDE / FORMOTEROL FUMARATE AEROSOL, METERED RESPIRATORY 160 ug/4.5 ug/1{dose} 120 {Puff}</t>
        </is>
      </c>
      <c r="C3010" s="25">
        <f>IF(COUNTIF('کدهای پیام‌داروساز'!$A$2:$A$2442,A3010)&gt;0,"بله","خیر")</f>
        <v/>
      </c>
    </row>
    <row r="3011" ht="15" customHeight="1" s="14">
      <c r="A3011" s="24" t="n">
        <v>52441</v>
      </c>
      <c r="B3011" s="24" t="inlineStr">
        <is>
          <t>BUDESONIDE / FORMOTEROL FUMARATE AEROSOL, METERED RESPIRATORY 80 ug/4.5 ug/1{dose} 120 {Puff}</t>
        </is>
      </c>
      <c r="C3011" s="25">
        <f>IF(COUNTIF('کدهای پیام‌داروساز'!$A$2:$A$2442,A3011)&gt;0,"بله","خیر")</f>
        <v/>
      </c>
    </row>
    <row r="3012" ht="15" customHeight="1" s="14">
      <c r="A3012" s="24" t="n">
        <v>52442</v>
      </c>
      <c r="B3012" s="24" t="inlineStr">
        <is>
          <t>ADULT COLD PREPARATIONS (6-1) TABLET ORAL 300 mg/15 mg/2 mg</t>
        </is>
      </c>
      <c r="C3012" s="25">
        <f>IF(COUNTIF('کدهای پیام‌داروساز'!$A$2:$A$2442,A3012)&gt;0,"بله","خیر")</f>
        <v/>
      </c>
    </row>
    <row r="3013" ht="15" customHeight="1" s="14">
      <c r="A3013" s="24" t="n">
        <v>52445</v>
      </c>
      <c r="B3013" s="24" t="inlineStr">
        <is>
          <t>CHLORAMPHENICOL SOLUTION, DROPS OPHTHALMIC 0.5 % 5 mL</t>
        </is>
      </c>
      <c r="C3013" s="25">
        <f>IF(COUNTIF('کدهای پیام‌داروساز'!$A$2:$A$2442,A3013)&gt;0,"بله","خیر")</f>
        <v/>
      </c>
    </row>
    <row r="3014" ht="15" customHeight="1" s="14">
      <c r="A3014" s="24" t="n">
        <v>52448</v>
      </c>
      <c r="B3014" s="24" t="inlineStr">
        <is>
          <t>DUTASTERIDE / TAMSULOSIN CAPSULE ORAL 0.5 mg/0.4 mg</t>
        </is>
      </c>
      <c r="C3014" s="25">
        <f>IF(COUNTIF('کدهای پیام‌داروساز'!$A$2:$A$2442,A3014)&gt;0,"بله","خیر")</f>
        <v/>
      </c>
    </row>
    <row r="3015" ht="15" customHeight="1" s="14">
      <c r="A3015" s="24" t="n">
        <v>52450</v>
      </c>
      <c r="B3015" s="24" t="inlineStr">
        <is>
          <t>POLYETHYLENE GLYCOL POWDER ORAL  17 g</t>
        </is>
      </c>
      <c r="C3015" s="25">
        <f>IF(COUNTIF('کدهای پیام‌داروساز'!$A$2:$A$2442,A3015)&gt;0,"بله","خیر")</f>
        <v/>
      </c>
    </row>
    <row r="3016" ht="15" customHeight="1" s="14">
      <c r="A3016" s="24" t="n">
        <v>52451</v>
      </c>
      <c r="B3016" s="24" t="inlineStr">
        <is>
          <t>CLINDAMYCIN (AS PALMITATE HYDROCHLORIDE) POWDER, FOR SOLUTION ORAL 75 mg/5mL 80 mL</t>
        </is>
      </c>
      <c r="C3016" s="25">
        <f>IF(COUNTIF('کدهای پیام‌داروساز'!$A$2:$A$2442,A3016)&gt;0,"بله","خیر")</f>
        <v/>
      </c>
    </row>
    <row r="3017" ht="15" customHeight="1" s="14">
      <c r="A3017" s="24" t="n">
        <v>52452</v>
      </c>
      <c r="B3017" s="24" t="inlineStr">
        <is>
          <t>DIAZEPAM SOLUTION ORAL 2 mg/5 mL 120 mL</t>
        </is>
      </c>
      <c r="C3017" s="25">
        <f>IF(COUNTIF('کدهای پیام‌داروساز'!$A$2:$A$2442,A3017)&gt;0,"بله","خیر")</f>
        <v/>
      </c>
    </row>
    <row r="3018" ht="15" customHeight="1" s="14">
      <c r="A3018" s="24" t="n">
        <v>52455</v>
      </c>
      <c r="B3018" s="24" t="inlineStr">
        <is>
          <t>DILTIAZEM HYDROCHLORIDE TABLET ORAL 30 mg</t>
        </is>
      </c>
      <c r="C3018" s="25">
        <f>IF(COUNTIF('کدهای پیام‌داروساز'!$A$2:$A$2442,A3018)&gt;0,"بله","خیر")</f>
        <v/>
      </c>
    </row>
    <row r="3019" ht="15" customHeight="1" s="14">
      <c r="A3019" s="24" t="n">
        <v>52456</v>
      </c>
      <c r="B3019" s="24" t="inlineStr">
        <is>
          <t>DILTIAZEM HYDROCHLORIDE TABLET ORAL 90 mg</t>
        </is>
      </c>
      <c r="C3019" s="25">
        <f>IF(COUNTIF('کدهای پیام‌داروساز'!$A$2:$A$2442,A3019)&gt;0,"بله","خیر")</f>
        <v/>
      </c>
    </row>
    <row r="3020" ht="15" customHeight="1" s="14">
      <c r="A3020" s="24" t="n">
        <v>52458</v>
      </c>
      <c r="B3020" s="24" t="inlineStr">
        <is>
          <t>BUDESONIDE TABLET, EXTENDED RELEASE ORAL 9 mg</t>
        </is>
      </c>
      <c r="C3020" s="25">
        <f>IF(COUNTIF('کدهای پیام‌داروساز'!$A$2:$A$2442,A3020)&gt;0,"بله","خیر")</f>
        <v/>
      </c>
    </row>
    <row r="3021" ht="15" customHeight="1" s="14">
      <c r="A3021" s="24" t="n">
        <v>52459</v>
      </c>
      <c r="B3021" s="24" t="inlineStr">
        <is>
          <t>OLOPATADINE HYDROCHLORIDE SPRAY NASAL 0.6 % 15 mL</t>
        </is>
      </c>
      <c r="C3021" s="25">
        <f>IF(COUNTIF('کدهای پیام‌داروساز'!$A$2:$A$2442,A3021)&gt;0,"بله","خیر")</f>
        <v/>
      </c>
    </row>
    <row r="3022" ht="15" customHeight="1" s="14">
      <c r="A3022" s="24" t="n">
        <v>52460</v>
      </c>
      <c r="B3022" s="24" t="inlineStr">
        <is>
          <t>ANTIHISTAMINE DECONGESTANT (2) TABLET ORAL 4 mg/10 mg</t>
        </is>
      </c>
      <c r="C3022" s="25">
        <f>IF(COUNTIF('کدهای پیام‌داروساز'!$A$2:$A$2442,A3022)&gt;0,"بله","خیر")</f>
        <v/>
      </c>
    </row>
    <row r="3023" ht="15" customHeight="1" s="14">
      <c r="A3023" s="24" t="n">
        <v>52461</v>
      </c>
      <c r="B3023" s="24" t="inlineStr">
        <is>
          <t>DIPHTHERIA TOXOID / TETANUS TOXOID / PERTUSSIS / HAEMOPHILUS INFLUENZAE TYPE B / HEPATITIS B VACCINE INJECTION, SUSPENSION PARENTERAL 5 {dose}</t>
        </is>
      </c>
      <c r="C3023" s="25">
        <f>IF(COUNTIF('کدهای پیام‌داروساز'!$A$2:$A$2442,A3023)&gt;0,"بله","خیر")</f>
        <v/>
      </c>
    </row>
    <row r="3024" ht="15" customHeight="1" s="14">
      <c r="A3024" s="24" t="n">
        <v>52463</v>
      </c>
      <c r="B3024" s="24" t="inlineStr">
        <is>
          <t>IDARUCIZUMAB INJECTION, SOLUTION PARENTERAL 2.5 g/50mL</t>
        </is>
      </c>
      <c r="C3024" s="25">
        <f>IF(COUNTIF('کدهای پیام‌داروساز'!$A$2:$A$2442,A3024)&gt;0,"بله","خیر")</f>
        <v/>
      </c>
    </row>
    <row r="3025" ht="15" customHeight="1" s="14">
      <c r="A3025" s="24" t="n">
        <v>52464</v>
      </c>
      <c r="B3025" s="24" t="inlineStr">
        <is>
          <t>SULFUR SOAP TOPICAL 10 % 100 g</t>
        </is>
      </c>
      <c r="C3025" s="25">
        <f>IF(COUNTIF('کدهای پیام‌داروساز'!$A$2:$A$2442,A3025)&gt;0,"بله","خیر")</f>
        <v/>
      </c>
    </row>
    <row r="3026" ht="15" customHeight="1" s="14">
      <c r="A3026" s="24" t="n">
        <v>52465</v>
      </c>
      <c r="B3026" s="24" t="inlineStr">
        <is>
          <t>TRICLOCARBAN SOAP TOPICAL 1 % 75 g</t>
        </is>
      </c>
      <c r="C3026" s="25">
        <f>IF(COUNTIF('کدهای پیام‌داروساز'!$A$2:$A$2442,A3026)&gt;0,"بله","خیر")</f>
        <v/>
      </c>
    </row>
    <row r="3027" ht="15" customHeight="1" s="14">
      <c r="A3027" s="24" t="n">
        <v>52467</v>
      </c>
      <c r="B3027" s="24" t="inlineStr">
        <is>
          <t>VITAMIN K1 (PHYTOMENADIONE) TABLET, CHEWABLE ORAL 10 mg</t>
        </is>
      </c>
      <c r="C3027" s="25">
        <f>IF(COUNTIF('کدهای پیام‌داروساز'!$A$2:$A$2442,A3027)&gt;0,"بله","خیر")</f>
        <v/>
      </c>
    </row>
    <row r="3028" ht="15" customHeight="1" s="14">
      <c r="A3028" s="24" t="n">
        <v>52469</v>
      </c>
      <c r="B3028" s="24" t="inlineStr">
        <is>
          <t>SIMETHICONE (DIMETHICONE ACTIVATED) SOLUTION, DROPS ORAL 41.2 mg/1mL 30 mL</t>
        </is>
      </c>
      <c r="C3028" s="25">
        <f>IF(COUNTIF('کدهای پیام‌داروساز'!$A$2:$A$2442,A3028)&gt;0,"بله","خیر")</f>
        <v/>
      </c>
    </row>
    <row r="3029" ht="15" customHeight="1" s="14">
      <c r="A3029" s="24" t="n">
        <v>52470</v>
      </c>
      <c r="B3029" s="24" t="inlineStr">
        <is>
          <t>MENTHOL / ZINC OXIDE / CALAMINE OINTMENT TOPICAL 0.44 g/20.625 g/10 g/100 g 15 g</t>
        </is>
      </c>
      <c r="C3029" s="25">
        <f>IF(COUNTIF('کدهای پیام‌داروساز'!$A$2:$A$2442,A3029)&gt;0,"بله","خیر")</f>
        <v/>
      </c>
    </row>
    <row r="3030" ht="15" customHeight="1" s="14">
      <c r="A3030" s="24" t="n">
        <v>52471</v>
      </c>
      <c r="B3030" s="24" t="inlineStr">
        <is>
          <t>BLEOMYCIN INJECTION PARENTERAL 15 [iU]</t>
        </is>
      </c>
      <c r="C3030" s="25">
        <f>IF(COUNTIF('کدهای پیام‌داروساز'!$A$2:$A$2442,A3030)&gt;0,"بله","خیر")</f>
        <v/>
      </c>
    </row>
    <row r="3031" ht="15" customHeight="1" s="14">
      <c r="A3031" s="24" t="n">
        <v>52474</v>
      </c>
      <c r="B3031" s="24" t="inlineStr">
        <is>
          <t>DOXYCYCLINE (AS HYCLATE) CAPSULE ORAL 100 mg</t>
        </is>
      </c>
      <c r="C3031" s="25">
        <f>IF(COUNTIF('کدهای پیام‌داروساز'!$A$2:$A$2442,A3031)&gt;0,"بله","خیر")</f>
        <v/>
      </c>
    </row>
    <row r="3032" ht="15" customHeight="1" s="14">
      <c r="A3032" s="24" t="n">
        <v>52478</v>
      </c>
      <c r="B3032" s="24" t="inlineStr">
        <is>
          <t>HYDRALAZINE HYDROCHLORIDE INJECTION, SOLUTION, CONCENTRATE PARENTERAL 20 mg 1 mL</t>
        </is>
      </c>
      <c r="C3032" s="25">
        <f>IF(COUNTIF('کدهای پیام‌داروساز'!$A$2:$A$2442,A3032)&gt;0,"بله","خیر")</f>
        <v/>
      </c>
    </row>
    <row r="3033" ht="15" customHeight="1" s="14">
      <c r="A3033" s="24" t="n">
        <v>52479</v>
      </c>
      <c r="B3033" s="24" t="inlineStr">
        <is>
          <t>LEVODOPA / CARBIDOPA TABLET, EXTENDED RELEASE ORAL 200 mg/50 mg</t>
        </is>
      </c>
      <c r="C3033" s="25">
        <f>IF(COUNTIF('کدهای پیام‌داروساز'!$A$2:$A$2442,A3033)&gt;0,"بله","خیر")</f>
        <v/>
      </c>
    </row>
    <row r="3034" ht="15" customHeight="1" s="14">
      <c r="A3034" s="24" t="n">
        <v>52480</v>
      </c>
      <c r="B3034" s="24" t="inlineStr">
        <is>
          <t>IBUPROFEN SUSPENSION ORAL 40 mg/1mL 30 mL</t>
        </is>
      </c>
      <c r="C3034" s="25">
        <f>IF(COUNTIF('کدهای پیام‌داروساز'!$A$2:$A$2442,A3034)&gt;0,"بله","خیر")</f>
        <v/>
      </c>
    </row>
    <row r="3035" ht="15" customHeight="1" s="14">
      <c r="A3035" s="24" t="n">
        <v>52481</v>
      </c>
      <c r="B3035" s="24" t="inlineStr">
        <is>
          <t>DIAZOXIDE CAPSULE ORAL 25 mg</t>
        </is>
      </c>
      <c r="C3035" s="25">
        <f>IF(COUNTIF('کدهای پیام‌داروساز'!$A$2:$A$2442,A3035)&gt;0,"بله","خیر")</f>
        <v/>
      </c>
    </row>
    <row r="3036" ht="15" customHeight="1" s="14">
      <c r="A3036" s="24" t="n">
        <v>52489</v>
      </c>
      <c r="B3036" s="24" t="inlineStr">
        <is>
          <t>ACETYLCYSTEINE TABLET, EFFERVESCENT ORAL 200 mg</t>
        </is>
      </c>
      <c r="C3036" s="25">
        <f>IF(COUNTIF('کدهای پیام‌داروساز'!$A$2:$A$2442,A3036)&gt;0,"بله","خیر")</f>
        <v/>
      </c>
    </row>
    <row r="3037" ht="15" customHeight="1" s="14">
      <c r="A3037" s="24" t="n">
        <v>52493</v>
      </c>
      <c r="B3037" s="24" t="inlineStr">
        <is>
          <t>ADAPALENE LOTION TOPICAL 0.1 % 60 mL</t>
        </is>
      </c>
      <c r="C3037" s="25">
        <f>IF(COUNTIF('کدهای پیام‌داروساز'!$A$2:$A$2442,A3037)&gt;0,"بله","خیر")</f>
        <v/>
      </c>
    </row>
    <row r="3038" ht="15" customHeight="1" s="14">
      <c r="A3038" s="24" t="n">
        <v>52500</v>
      </c>
      <c r="B3038" s="24" t="inlineStr">
        <is>
          <t>ACETAMINOPHEN / CODEINE PHOSPHATE CAPSULE, LIQUID FILLED ORAL 300 mg/20 mg</t>
        </is>
      </c>
      <c r="C3038" s="25">
        <f>IF(COUNTIF('کدهای پیام‌داروساز'!$A$2:$A$2442,A3038)&gt;0,"بله","خیر")</f>
        <v/>
      </c>
    </row>
    <row r="3039" ht="15" customHeight="1" s="14">
      <c r="A3039" s="24" t="n">
        <v>52504</v>
      </c>
      <c r="B3039" s="24" t="inlineStr">
        <is>
          <t>PEGASPARGASE INJECTION, SOLUTION PARENTERAL 750 [iU]/1mL 5 mL</t>
        </is>
      </c>
      <c r="C3039" s="25">
        <f>IF(COUNTIF('کدهای پیام‌داروساز'!$A$2:$A$2442,A3039)&gt;0,"بله","خیر")</f>
        <v/>
      </c>
    </row>
    <row r="3040" ht="15" customHeight="1" s="14">
      <c r="A3040" s="24" t="n">
        <v>52506</v>
      </c>
      <c r="B3040" s="24" t="inlineStr">
        <is>
          <t>DAUNORUBICIN (AS HYDROCHLORIDE) INJECTION, SOLUTION PARENTERAL 2 mg/1mL 10 mL</t>
        </is>
      </c>
      <c r="C3040" s="25">
        <f>IF(COUNTIF('کدهای پیام‌داروساز'!$A$2:$A$2442,A3040)&gt;0,"بله","خیر")</f>
        <v/>
      </c>
    </row>
    <row r="3041" ht="15" customHeight="1" s="14">
      <c r="A3041" s="24" t="n">
        <v>52507</v>
      </c>
      <c r="B3041" s="24" t="inlineStr">
        <is>
          <t>DASABUVIR TABLET ORAL 250 mg</t>
        </is>
      </c>
      <c r="C3041" s="25">
        <f>IF(COUNTIF('کدهای پیام‌داروساز'!$A$2:$A$2442,A3041)&gt;0,"بله","خیر")</f>
        <v/>
      </c>
    </row>
    <row r="3042" ht="15" customHeight="1" s="14">
      <c r="A3042" s="24" t="n">
        <v>52508</v>
      </c>
      <c r="B3042" s="24" t="inlineStr">
        <is>
          <t>LINACLOTIDE CAPSULE ORAL 290 ug</t>
        </is>
      </c>
      <c r="C3042" s="25">
        <f>IF(COUNTIF('کدهای پیام‌داروساز'!$A$2:$A$2442,A3042)&gt;0,"بله","خیر")</f>
        <v/>
      </c>
    </row>
    <row r="3043" ht="15" customHeight="1" s="14">
      <c r="A3043" s="24" t="n">
        <v>52509</v>
      </c>
      <c r="B3043" s="24" t="inlineStr">
        <is>
          <t>IBANDRONIC ACID INJECTION, SOLUTION PARENTERAL 3 mg/1mL 3 mL</t>
        </is>
      </c>
      <c r="C3043" s="25">
        <f>IF(COUNTIF('کدهای پیام‌داروساز'!$A$2:$A$2442,A3043)&gt;0,"بله","خیر")</f>
        <v/>
      </c>
    </row>
    <row r="3044" ht="15" customHeight="1" s="14">
      <c r="A3044" s="24" t="n">
        <v>52510</v>
      </c>
      <c r="B3044" s="24" t="inlineStr">
        <is>
          <t>CLONIDINE HYDROCHLORIDE INJECTION, SOLUTION INTRAVENOUS 150 ug/1mL</t>
        </is>
      </c>
      <c r="C3044" s="25">
        <f>IF(COUNTIF('کدهای پیام‌داروساز'!$A$2:$A$2442,A3044)&gt;0,"بله","خیر")</f>
        <v/>
      </c>
    </row>
    <row r="3045" ht="15" customHeight="1" s="14">
      <c r="A3045" s="24" t="n">
        <v>52511</v>
      </c>
      <c r="B3045" s="24" t="inlineStr">
        <is>
          <t>SILDENAFIL (AS CITRATE) TABLET, ORALLY DISINTEGRATING ORAL 25 mg</t>
        </is>
      </c>
      <c r="C3045" s="25">
        <f>IF(COUNTIF('کدهای پیام‌داروساز'!$A$2:$A$2442,A3045)&gt;0,"بله","خیر")</f>
        <v/>
      </c>
    </row>
    <row r="3046" ht="15" customHeight="1" s="14">
      <c r="A3046" s="24" t="n">
        <v>52512</v>
      </c>
      <c r="B3046" s="24" t="inlineStr">
        <is>
          <t>SILDENAFIL (AS CITRATE) TABLET, ORALLY DISINTEGRATING ORAL 50 mg</t>
        </is>
      </c>
      <c r="C3046" s="25">
        <f>IF(COUNTIF('کدهای پیام‌داروساز'!$A$2:$A$2442,A3046)&gt;0,"بله","خیر")</f>
        <v/>
      </c>
    </row>
    <row r="3047" ht="15" customHeight="1" s="14">
      <c r="A3047" s="24" t="n">
        <v>52513</v>
      </c>
      <c r="B3047" s="24" t="inlineStr">
        <is>
          <t>POLIDOCANOL INJECTION, SOLUTION PARENTERAL 3 % 2 mL</t>
        </is>
      </c>
      <c r="C3047" s="25">
        <f>IF(COUNTIF('کدهای پیام‌داروساز'!$A$2:$A$2442,A3047)&gt;0,"بله","خیر")</f>
        <v/>
      </c>
    </row>
    <row r="3048" ht="15" customHeight="1" s="14">
      <c r="A3048" s="24" t="n">
        <v>52514</v>
      </c>
      <c r="B3048" s="24" t="inlineStr">
        <is>
          <t>DIFLUNISAL TABLET ORAL 500 mg</t>
        </is>
      </c>
      <c r="C3048" s="25">
        <f>IF(COUNTIF('کدهای پیام‌داروساز'!$A$2:$A$2442,A3048)&gt;0,"بله","خیر")</f>
        <v/>
      </c>
    </row>
    <row r="3049" ht="15" customHeight="1" s="14">
      <c r="A3049" s="24" t="n">
        <v>52515</v>
      </c>
      <c r="B3049" s="24" t="inlineStr">
        <is>
          <t>BIVALIRUDIN INJECTION, POWDER, LYOPHILIZED, FOR SOLUTION PARENTERAL 250 mg</t>
        </is>
      </c>
      <c r="C3049" s="25">
        <f>IF(COUNTIF('کدهای پیام‌داروساز'!$A$2:$A$2442,A3049)&gt;0,"بله","خیر")</f>
        <v/>
      </c>
    </row>
    <row r="3050" ht="15" customHeight="1" s="14">
      <c r="A3050" s="24" t="n">
        <v>52516</v>
      </c>
      <c r="B3050" s="24" t="inlineStr">
        <is>
          <t>NICARDIPINE HYDROCHLORIDE CAPSULE ORAL 20 mg</t>
        </is>
      </c>
      <c r="C3050" s="25">
        <f>IF(COUNTIF('کدهای پیام‌داروساز'!$A$2:$A$2442,A3050)&gt;0,"بله","خیر")</f>
        <v/>
      </c>
    </row>
    <row r="3051" ht="15" customHeight="1" s="14">
      <c r="A3051" s="24" t="n">
        <v>52517</v>
      </c>
      <c r="B3051" s="24" t="inlineStr">
        <is>
          <t>TRIAMCINOLONE HEXACETONIDE INJECTION, SUSPENSION PARENTERAL 20 mg/1mL 1 mL</t>
        </is>
      </c>
      <c r="C3051" s="25">
        <f>IF(COUNTIF('کدهای پیام‌داروساز'!$A$2:$A$2442,A3051)&gt;0,"بله","خیر")</f>
        <v/>
      </c>
    </row>
    <row r="3052" ht="15" customHeight="1" s="14">
      <c r="A3052" s="24" t="n">
        <v>52518</v>
      </c>
      <c r="B3052" s="24" t="inlineStr">
        <is>
          <t>POTASSIUM BROMIDE TABLET ORAL 850 mg</t>
        </is>
      </c>
      <c r="C3052" s="25">
        <f>IF(COUNTIF('کدهای پیام‌داروساز'!$A$2:$A$2442,A3052)&gt;0,"بله","خیر")</f>
        <v/>
      </c>
    </row>
    <row r="3053" ht="15" customHeight="1" s="14">
      <c r="A3053" s="24" t="n">
        <v>52519</v>
      </c>
      <c r="B3053" s="24" t="inlineStr">
        <is>
          <t>CIDOFOVIR INJECTION PARENTERAL 75 mg/1mL 5 mL</t>
        </is>
      </c>
      <c r="C3053" s="25">
        <f>IF(COUNTIF('کدهای پیام‌داروساز'!$A$2:$A$2442,A3053)&gt;0,"بله","خیر")</f>
        <v/>
      </c>
    </row>
    <row r="3054" ht="15" customHeight="1" s="14">
      <c r="A3054" s="24" t="n">
        <v>52520</v>
      </c>
      <c r="B3054" s="24" t="inlineStr">
        <is>
          <t>ZIPRASIDONE CAPSULE ORAL 40 mg</t>
        </is>
      </c>
      <c r="C3054" s="25">
        <f>IF(COUNTIF('کدهای پیام‌داروساز'!$A$2:$A$2442,A3054)&gt;0,"بله","خیر")</f>
        <v/>
      </c>
    </row>
    <row r="3055" ht="15" customHeight="1" s="14">
      <c r="A3055" s="24" t="n">
        <v>52521</v>
      </c>
      <c r="B3055" s="24" t="inlineStr">
        <is>
          <t>TROXERUTIN TABLET, EFFERVESCENT ORAL 1000 mg</t>
        </is>
      </c>
      <c r="C3055" s="25">
        <f>IF(COUNTIF('کدهای پیام‌داروساز'!$A$2:$A$2442,A3055)&gt;0,"بله","خیر")</f>
        <v/>
      </c>
    </row>
    <row r="3056" ht="15" customHeight="1" s="14">
      <c r="A3056" s="24" t="n">
        <v>52522</v>
      </c>
      <c r="B3056" s="24" t="inlineStr">
        <is>
          <t>VILDAGLIPTIN TABLET ORAL 50 mg</t>
        </is>
      </c>
      <c r="C3056" s="25">
        <f>IF(COUNTIF('کدهای پیام‌داروساز'!$A$2:$A$2442,A3056)&gt;0,"بله","خیر")</f>
        <v/>
      </c>
    </row>
    <row r="3057" ht="15" customHeight="1" s="14">
      <c r="A3057" s="24" t="n">
        <v>52523</v>
      </c>
      <c r="B3057" s="24" t="inlineStr">
        <is>
          <t>AGALSIDASE BETA INJECTION, POWDER, FOR SOLUTION PARENTERAL 35 mg</t>
        </is>
      </c>
      <c r="C3057" s="25">
        <f>IF(COUNTIF('کدهای پیام‌داروساز'!$A$2:$A$2442,A3057)&gt;0,"بله","خیر")</f>
        <v/>
      </c>
    </row>
    <row r="3058" ht="15" customHeight="1" s="14">
      <c r="A3058" s="24" t="n">
        <v>52524</v>
      </c>
      <c r="B3058" s="24" t="inlineStr">
        <is>
          <t>CALCIPOTRIOL / BETAMETHASONE DIPROPIONATE GEL TOPICAL 0.005 %/0.064 % 40 g</t>
        </is>
      </c>
      <c r="C3058" s="25">
        <f>IF(COUNTIF('کدهای پیام‌داروساز'!$A$2:$A$2442,A3058)&gt;0,"بله","خیر")</f>
        <v/>
      </c>
    </row>
    <row r="3059" ht="15" customHeight="1" s="14">
      <c r="A3059" s="24" t="n">
        <v>52526</v>
      </c>
      <c r="B3059" s="24" t="inlineStr">
        <is>
          <t>SULFACETAMIDE SODIUM SOLUTION, DROPS OPHTHALMIC 10 % 5 mL</t>
        </is>
      </c>
      <c r="C3059" s="25">
        <f>IF(COUNTIF('کدهای پیام‌داروساز'!$A$2:$A$2442,A3059)&gt;0,"بله","خیر")</f>
        <v/>
      </c>
    </row>
    <row r="3060" ht="15" customHeight="1" s="14">
      <c r="A3060" s="24" t="n">
        <v>52527</v>
      </c>
      <c r="B3060" s="24" t="inlineStr">
        <is>
          <t>SULFACETAMIDE SODIUM SOLUTION, DROPS OPHTHALMIC 20 % 5 mL</t>
        </is>
      </c>
      <c r="C3060" s="25">
        <f>IF(COUNTIF('کدهای پیام‌داروساز'!$A$2:$A$2442,A3060)&gt;0,"بله","خیر")</f>
        <v/>
      </c>
    </row>
    <row r="3061" ht="15" customHeight="1" s="14">
      <c r="A3061" s="24" t="n">
        <v>52528</v>
      </c>
      <c r="B3061" s="24" t="inlineStr">
        <is>
          <t>CIPROFLOXACIN (AS HYDROCHLORIDE) SOLUTION, DROPS OPHTHALMIC 0.3 % 5 mL</t>
        </is>
      </c>
      <c r="C3061" s="25">
        <f>IF(COUNTIF('کدهای پیام‌داروساز'!$A$2:$A$2442,A3061)&gt;0,"بله","خیر")</f>
        <v/>
      </c>
    </row>
    <row r="3062" ht="15" customHeight="1" s="14">
      <c r="A3062" s="24" t="n">
        <v>52529</v>
      </c>
      <c r="B3062" s="24" t="inlineStr">
        <is>
          <t>MOXIFLOXACIN SOLUTION, DROPS OPHTHALMIC 0.5 % 0.5 mL</t>
        </is>
      </c>
      <c r="C3062" s="25">
        <f>IF(COUNTIF('کدهای پیام‌داروساز'!$A$2:$A$2442,A3062)&gt;0,"بله","خیر")</f>
        <v/>
      </c>
    </row>
    <row r="3063" ht="15" customHeight="1" s="14">
      <c r="A3063" s="24" t="n">
        <v>52530</v>
      </c>
      <c r="B3063" s="24" t="inlineStr">
        <is>
          <t>HEPARIN SODIUM INJECTION PARENTERAL 1000 [iU]/1mL 1 mL</t>
        </is>
      </c>
      <c r="C3063" s="25">
        <f>IF(COUNTIF('کدهای پیام‌داروساز'!$A$2:$A$2442,A3063)&gt;0,"بله","خیر")</f>
        <v/>
      </c>
    </row>
    <row r="3064" ht="15" customHeight="1" s="14">
      <c r="A3064" s="24" t="n">
        <v>52531</v>
      </c>
      <c r="B3064" s="24" t="inlineStr">
        <is>
          <t>SALMETEROL (AS XINAFOATE) / FLUTICASONE PROPIONATE CAPSULE RESPIRATORY 50 ug/100 ug/1{dose}</t>
        </is>
      </c>
      <c r="C3064" s="25">
        <f>IF(COUNTIF('کدهای پیام‌داروساز'!$A$2:$A$2442,A3064)&gt;0,"بله","خیر")</f>
        <v/>
      </c>
    </row>
    <row r="3065" ht="15" customHeight="1" s="14">
      <c r="A3065" s="24" t="n">
        <v>52533</v>
      </c>
      <c r="B3065" s="24" t="inlineStr">
        <is>
          <t>SALMETEROL (AS XINAFOATE) / FLUTICASONE PROPIONATE CAPSULE RESPIRATORY 50 ug/250 ug/1{dose}</t>
        </is>
      </c>
      <c r="C3065" s="25">
        <f>IF(COUNTIF('کدهای پیام‌داروساز'!$A$2:$A$2442,A3065)&gt;0,"بله","خیر")</f>
        <v/>
      </c>
    </row>
    <row r="3066" ht="15" customHeight="1" s="14">
      <c r="A3066" s="24" t="n">
        <v>52535</v>
      </c>
      <c r="B3066" s="24" t="inlineStr">
        <is>
          <t>SALMETEROL (AS XINAFOATE) / FLUTICASONE PROPIONATE CAPSULE RESPIRATORY 50 ug/500 ug/1{dose}</t>
        </is>
      </c>
      <c r="C3066" s="25">
        <f>IF(COUNTIF('کدهای پیام‌داروساز'!$A$2:$A$2442,A3066)&gt;0,"بله","خیر")</f>
        <v/>
      </c>
    </row>
    <row r="3067" ht="15" customHeight="1" s="14">
      <c r="A3067" s="24" t="n">
        <v>52537</v>
      </c>
      <c r="B3067" s="24" t="inlineStr">
        <is>
          <t>ACETYLCYSTEINE TABLET ORAL 600 mg</t>
        </is>
      </c>
      <c r="C3067" s="25">
        <f>IF(COUNTIF('کدهای پیام‌داروساز'!$A$2:$A$2442,A3067)&gt;0,"بله","خیر")</f>
        <v/>
      </c>
    </row>
    <row r="3068" ht="15" customHeight="1" s="14">
      <c r="A3068" s="24" t="n">
        <v>52538</v>
      </c>
      <c r="B3068" s="24" t="inlineStr">
        <is>
          <t>ARTESUNATE SUPPOSITORY RECTAL 100 mg</t>
        </is>
      </c>
      <c r="C3068" s="25">
        <f>IF(COUNTIF('کدهای پیام‌داروساز'!$A$2:$A$2442,A3068)&gt;0,"بله","خیر")</f>
        <v/>
      </c>
    </row>
    <row r="3069" ht="15" customHeight="1" s="14">
      <c r="A3069" s="24" t="n">
        <v>52539</v>
      </c>
      <c r="B3069" s="24" t="inlineStr">
        <is>
          <t>DASATINIB TABLET ORAL 100 mg</t>
        </is>
      </c>
      <c r="C3069" s="25">
        <f>IF(COUNTIF('کدهای پیام‌داروساز'!$A$2:$A$2442,A3069)&gt;0,"بله","خیر")</f>
        <v/>
      </c>
    </row>
    <row r="3070" ht="15" customHeight="1" s="14">
      <c r="A3070" s="24" t="n">
        <v>52540</v>
      </c>
      <c r="B3070" s="24" t="inlineStr">
        <is>
          <t>DASATINIB TABLET ORAL 80 mg</t>
        </is>
      </c>
      <c r="C3070" s="25">
        <f>IF(COUNTIF('کدهای پیام‌داروساز'!$A$2:$A$2442,A3070)&gt;0,"بله","خیر")</f>
        <v/>
      </c>
    </row>
    <row r="3071" ht="15" customHeight="1" s="14">
      <c r="A3071" s="24" t="n">
        <v>52541</v>
      </c>
      <c r="B3071" s="24" t="inlineStr">
        <is>
          <t>DASATINIB TABLET ORAL 140 mg</t>
        </is>
      </c>
      <c r="C3071" s="25">
        <f>IF(COUNTIF('کدهای پیام‌داروساز'!$A$2:$A$2442,A3071)&gt;0,"بله","خیر")</f>
        <v/>
      </c>
    </row>
    <row r="3072" ht="15" customHeight="1" s="14">
      <c r="A3072" s="24" t="n">
        <v>52542</v>
      </c>
      <c r="B3072" s="24" t="inlineStr">
        <is>
          <t>DASATINIB TABLET ORAL 20 mg</t>
        </is>
      </c>
      <c r="C3072" s="25">
        <f>IF(COUNTIF('کدهای پیام‌داروساز'!$A$2:$A$2442,A3072)&gt;0,"بله","خیر")</f>
        <v/>
      </c>
    </row>
    <row r="3073" ht="15" customHeight="1" s="14">
      <c r="A3073" s="24" t="n">
        <v>52543</v>
      </c>
      <c r="B3073" s="24" t="inlineStr">
        <is>
          <t>MONOBENZONE CREAM TOPICAL 20 % 20 g</t>
        </is>
      </c>
      <c r="C3073" s="25">
        <f>IF(COUNTIF('کدهای پیام‌داروساز'!$A$2:$A$2442,A3073)&gt;0,"بله","خیر")</f>
        <v/>
      </c>
    </row>
    <row r="3074" ht="15" customHeight="1" s="14">
      <c r="A3074" s="24" t="n">
        <v>52544</v>
      </c>
      <c r="B3074" s="24" t="inlineStr">
        <is>
          <t>HYDROCORTISONE ACETATE CREAM TOPICAL 1 % 100 g</t>
        </is>
      </c>
      <c r="C3074" s="25">
        <f>IF(COUNTIF('کدهای پیام‌داروساز'!$A$2:$A$2442,A3074)&gt;0,"بله","خیر")</f>
        <v/>
      </c>
    </row>
    <row r="3075" ht="15" customHeight="1" s="14">
      <c r="A3075" s="24" t="n">
        <v>52547</v>
      </c>
      <c r="B3075" s="24" t="inlineStr">
        <is>
          <t>CEFTAZIDIME / AVIBACTAM (AS SODIUM) INJECTION, POWDER PARENTERAL 2 g/0.5 g</t>
        </is>
      </c>
      <c r="C3075" s="25">
        <f>IF(COUNTIF('کدهای پیام‌داروساز'!$A$2:$A$2442,A3075)&gt;0,"بله","خیر")</f>
        <v/>
      </c>
    </row>
    <row r="3076" ht="15" customHeight="1" s="14">
      <c r="A3076" s="24" t="n">
        <v>52605</v>
      </c>
      <c r="B3076" s="24" t="inlineStr">
        <is>
          <t>SODIUM BICARBONATE POWDER NOT APPLICABLE</t>
        </is>
      </c>
      <c r="C3076" s="25">
        <f>IF(COUNTIF('کدهای پیام‌داروساز'!$A$2:$A$2442,A3076)&gt;0,"بله","خیر")</f>
        <v/>
      </c>
    </row>
    <row r="3077" ht="15" customHeight="1" s="14">
      <c r="A3077" s="24" t="n">
        <v>52620</v>
      </c>
      <c r="B3077" s="24" t="inlineStr">
        <is>
          <t>ETHOSUXIMIDE SYRUP ORAL 250 mg/5mL 200 mL</t>
        </is>
      </c>
      <c r="C3077" s="25">
        <f>IF(COUNTIF('کدهای پیام‌داروساز'!$A$2:$A$2442,A3077)&gt;0,"بله","خیر")</f>
        <v/>
      </c>
    </row>
    <row r="3078" ht="15" customHeight="1" s="14">
      <c r="A3078" s="24" t="n">
        <v>52621</v>
      </c>
      <c r="B3078" s="24" t="inlineStr">
        <is>
          <t>METHOXSALEN SOLUTION TOPICAL 1 % 25 mL</t>
        </is>
      </c>
      <c r="C3078" s="25">
        <f>IF(COUNTIF('کدهای پیام‌داروساز'!$A$2:$A$2442,A3078)&gt;0,"بله","خیر")</f>
        <v/>
      </c>
    </row>
    <row r="3079" ht="15" customHeight="1" s="14">
      <c r="A3079" s="24" t="n">
        <v>52622</v>
      </c>
      <c r="B3079" s="24" t="inlineStr">
        <is>
          <t>ASA / ASCORBIC ACID TABLET, EFFERVESCENT ORAL 400 mg/240 mg</t>
        </is>
      </c>
      <c r="C3079" s="25">
        <f>IF(COUNTIF('کدهای پیام‌داروساز'!$A$2:$A$2442,A3079)&gt;0,"بله","خیر")</f>
        <v/>
      </c>
    </row>
    <row r="3080" ht="15" customHeight="1" s="14">
      <c r="A3080" s="24" t="n">
        <v>52623</v>
      </c>
      <c r="B3080" s="24" t="inlineStr">
        <is>
          <t>EPOETIN INJECTION PARENTERAL 4000 [iU]/1mL 0.5 mL</t>
        </is>
      </c>
      <c r="C3080" s="25">
        <f>IF(COUNTIF('کدهای پیام‌داروساز'!$A$2:$A$2442,A3080)&gt;0,"بله","خیر")</f>
        <v/>
      </c>
    </row>
    <row r="3081" ht="15" customHeight="1" s="14">
      <c r="A3081" s="24" t="n">
        <v>52624</v>
      </c>
      <c r="B3081" s="24" t="inlineStr">
        <is>
          <t>FILGRASTIM INJECTION PARENTERAL 600 ug/1mL 0.25 mL</t>
        </is>
      </c>
      <c r="C3081" s="25">
        <f>IF(COUNTIF('کدهای پیام‌داروساز'!$A$2:$A$2442,A3081)&gt;0,"بله","خیر")</f>
        <v/>
      </c>
    </row>
    <row r="3082" ht="15" customHeight="1" s="14">
      <c r="A3082" s="24" t="n">
        <v>52625</v>
      </c>
      <c r="B3082" s="24" t="inlineStr">
        <is>
          <t>ADULT COLD PREPARATIONS (4-9) CAPSULE, LIQUID FILLED ORAL 250 mg/12.5 mg/5 mg</t>
        </is>
      </c>
      <c r="C3082" s="25">
        <f>IF(COUNTIF('کدهای پیام‌داروساز'!$A$2:$A$2442,A3082)&gt;0,"بله","خیر")</f>
        <v/>
      </c>
    </row>
    <row r="3083" ht="15" customHeight="1" s="14">
      <c r="A3083" s="24" t="n">
        <v>52626</v>
      </c>
      <c r="B3083" s="24" t="inlineStr">
        <is>
          <t>EPOETIN INJECTION, SOLUTION PARENTERAL 4000 [iU]/0.5mL</t>
        </is>
      </c>
      <c r="C3083" s="25">
        <f>IF(COUNTIF('کدهای پیام‌داروساز'!$A$2:$A$2442,A3083)&gt;0,"بله","خیر")</f>
        <v/>
      </c>
    </row>
    <row r="3084" ht="15" customHeight="1" s="14">
      <c r="A3084" s="24" t="n">
        <v>52627</v>
      </c>
      <c r="B3084" s="24" t="inlineStr">
        <is>
          <t>DARATUMUMAB INJECTION, SOLUTION, CONCENTRATE PARENTERAL 20 mg/1mL 5 mL</t>
        </is>
      </c>
      <c r="C3084" s="25">
        <f>IF(COUNTIF('کدهای پیام‌داروساز'!$A$2:$A$2442,A3084)&gt;0,"بله","خیر")</f>
        <v/>
      </c>
    </row>
    <row r="3085" ht="15" customHeight="1" s="14">
      <c r="A3085" s="24" t="n">
        <v>52628</v>
      </c>
      <c r="B3085" s="24" t="inlineStr">
        <is>
          <t>DARATUMUMAB INJECTION, SOLUTION, CONCENTRATE PARENTERAL 20 mg/1mL 20 mL</t>
        </is>
      </c>
      <c r="C3085" s="25">
        <f>IF(COUNTIF('کدهای پیام‌داروساز'!$A$2:$A$2442,A3085)&gt;0,"بله","خیر")</f>
        <v/>
      </c>
    </row>
    <row r="3086" ht="15" customHeight="1" s="14">
      <c r="A3086" s="24" t="n">
        <v>52630</v>
      </c>
      <c r="B3086" s="24" t="inlineStr">
        <is>
          <t>ZOSTER VACCINE, LIVE ATTENUATED INJECTION, POWDER, FOR SUSPENSION PARENTERAL 19400 [PFU]/0.65mL</t>
        </is>
      </c>
      <c r="C3086" s="25">
        <f>IF(COUNTIF('کدهای پیام‌داروساز'!$A$2:$A$2442,A3086)&gt;0,"بله","خیر")</f>
        <v/>
      </c>
    </row>
    <row r="3087" ht="15" customHeight="1" s="14">
      <c r="A3087" s="24" t="n">
        <v>52631</v>
      </c>
      <c r="B3087" s="24" t="inlineStr">
        <is>
          <t>VINBLASTINE SULFATE INJECTION, SOLUTION PARENTERAL 1 mg/1mL 10 mL</t>
        </is>
      </c>
      <c r="C3087" s="25">
        <f>IF(COUNTIF('کدهای پیام‌داروساز'!$A$2:$A$2442,A3087)&gt;0,"بله","خیر")</f>
        <v/>
      </c>
    </row>
    <row r="3088" ht="15" customHeight="1" s="14">
      <c r="A3088" s="24" t="n">
        <v>52632</v>
      </c>
      <c r="B3088" s="24" t="inlineStr">
        <is>
          <t>ACETAMINOPHEN / OXYCODONE HYDROCHLORIDE TABLET ORAL 325 mg/5 mg</t>
        </is>
      </c>
      <c r="C3088" s="25">
        <f>IF(COUNTIF('کدهای پیام‌داروساز'!$A$2:$A$2442,A3088)&gt;0,"بله","خیر")</f>
        <v/>
      </c>
    </row>
    <row r="3089" ht="15" customHeight="1" s="14">
      <c r="A3089" s="24" t="n">
        <v>52633</v>
      </c>
      <c r="B3089" s="24" t="inlineStr">
        <is>
          <t>ACETAMINOPHEN / OXYCODONE HYDROCHLORIDE TABLET ORAL 325 mg/10 mg</t>
        </is>
      </c>
      <c r="C3089" s="25">
        <f>IF(COUNTIF('کدهای پیام‌داروساز'!$A$2:$A$2442,A3089)&gt;0,"بله","خیر")</f>
        <v/>
      </c>
    </row>
    <row r="3090" ht="15" customHeight="1" s="14">
      <c r="A3090" s="24" t="n">
        <v>52634</v>
      </c>
      <c r="B3090" s="24" t="inlineStr">
        <is>
          <t>RHENIUM (188RE) SULFIDE COLLOID INJECTION, SUSPENSION PARENTERAL 5 mCi</t>
        </is>
      </c>
      <c r="C3090" s="25">
        <f>IF(COUNTIF('کدهای پیام‌داروساز'!$A$2:$A$2442,A3090)&gt;0,"بله","خیر")</f>
        <v/>
      </c>
    </row>
    <row r="3091" ht="15" customHeight="1" s="14">
      <c r="A3091" s="24" t="n">
        <v>52635</v>
      </c>
      <c r="B3091" s="24" t="inlineStr">
        <is>
          <t>BUDESONIDE CAPSULE, EXTENDED RELEASE ORAL 3 mg</t>
        </is>
      </c>
      <c r="C3091" s="25">
        <f>IF(COUNTIF('کدهای پیام‌داروساز'!$A$2:$A$2442,A3091)&gt;0,"بله","خیر")</f>
        <v/>
      </c>
    </row>
    <row r="3092" ht="15" customHeight="1" s="14">
      <c r="A3092" s="24" t="n">
        <v>52636</v>
      </c>
      <c r="B3092" s="24" t="inlineStr">
        <is>
          <t>ACETAMINOPHEN / CAFFEINE / CHLORPHENIRAMINE / VITAMIN C CAPSULE ORAL 200 mg/25 mg/2.5 mg/150 mg</t>
        </is>
      </c>
      <c r="C3092" s="25">
        <f>IF(COUNTIF('کدهای پیام‌داروساز'!$A$2:$A$2442,A3092)&gt;0,"بله","خیر")</f>
        <v/>
      </c>
    </row>
    <row r="3093" ht="15" customHeight="1" s="14">
      <c r="A3093" s="24" t="n">
        <v>52637</v>
      </c>
      <c r="B3093" s="24" t="inlineStr">
        <is>
          <t>BUDESONIDE AEROSOL, METERED RESPIRATORY 200 ug/1{dose} 200 {dose}</t>
        </is>
      </c>
      <c r="C3093" s="25">
        <f>IF(COUNTIF('کدهای پیام‌داروساز'!$A$2:$A$2442,A3093)&gt;0,"بله","خیر")</f>
        <v/>
      </c>
    </row>
    <row r="3094" ht="15" customHeight="1" s="14">
      <c r="A3094" s="24" t="n">
        <v>52638</v>
      </c>
      <c r="B3094" s="24" t="inlineStr">
        <is>
          <t>BUDESONIDE AEROSOL, METERED RESPIRATORY 100 ug/1{dose} 200 {dose}</t>
        </is>
      </c>
      <c r="C3094" s="25">
        <f>IF(COUNTIF('کدهای پیام‌داروساز'!$A$2:$A$2442,A3094)&gt;0,"بله","خیر")</f>
        <v/>
      </c>
    </row>
    <row r="3095" ht="15" customHeight="1" s="14">
      <c r="A3095" s="24" t="n">
        <v>52639</v>
      </c>
      <c r="B3095" s="24" t="inlineStr">
        <is>
          <t>PONATINIB (AS HYDROCHLORIDE) TABLET ORAL 45 mg</t>
        </is>
      </c>
      <c r="C3095" s="25">
        <f>IF(COUNTIF('کدهای پیام‌داروساز'!$A$2:$A$2442,A3095)&gt;0,"بله","خیر")</f>
        <v/>
      </c>
    </row>
    <row r="3096" ht="15" customHeight="1" s="14">
      <c r="A3096" s="24" t="n">
        <v>52640</v>
      </c>
      <c r="B3096" s="24" t="inlineStr">
        <is>
          <t>ROTAVIRUS VACCINE, MONOVALENT, LIVE ATTENUATED POWDER, FOR SUSPENSION ORAL  1.5 mL</t>
        </is>
      </c>
      <c r="C3096" s="25">
        <f>IF(COUNTIF('کدهای پیام‌داروساز'!$A$2:$A$2442,A3096)&gt;0,"بله","خیر")</f>
        <v/>
      </c>
    </row>
    <row r="3097" ht="15" customHeight="1" s="14">
      <c r="A3097" s="24" t="n">
        <v>52641</v>
      </c>
      <c r="B3097" s="24" t="inlineStr">
        <is>
          <t>TUNGSTEN (188W) / RHENIUM (188RE) SOLUTION NOT APPLICABLE 1000 mCi</t>
        </is>
      </c>
      <c r="C3097" s="25">
        <f>IF(COUNTIF('کدهای پیام‌داروساز'!$A$2:$A$2442,A3097)&gt;0,"بله","خیر")</f>
        <v/>
      </c>
    </row>
    <row r="3098" ht="15" customHeight="1" s="14">
      <c r="A3098" s="24" t="n">
        <v>52642</v>
      </c>
      <c r="B3098" s="24" t="inlineStr">
        <is>
          <t>RHENIUM (188RE) SULFIDE COLLOID INJECTION, SUSPENSION PARENTERAL 10 mCi</t>
        </is>
      </c>
      <c r="C3098" s="25">
        <f>IF(COUNTIF('کدهای پیام‌داروساز'!$A$2:$A$2442,A3098)&gt;0,"بله","خیر")</f>
        <v/>
      </c>
    </row>
    <row r="3099" ht="15" customHeight="1" s="14">
      <c r="A3099" s="24" t="n">
        <v>52643</v>
      </c>
      <c r="B3099" s="24" t="inlineStr">
        <is>
          <t>LUTETIUM (177LU) DOTATATE INJECTION, SOLUTION PARENTERAL 200 mCi</t>
        </is>
      </c>
      <c r="C3099" s="25">
        <f>IF(COUNTIF('کدهای پیام‌داروساز'!$A$2:$A$2442,A3099)&gt;0,"بله","خیر")</f>
        <v/>
      </c>
    </row>
    <row r="3100" ht="15" customHeight="1" s="14">
      <c r="A3100" s="24" t="n">
        <v>52644</v>
      </c>
      <c r="B3100" s="24" t="inlineStr">
        <is>
          <t>LUTETIUM (177LU) PROSTATE SPECIFIC MEMBRANE ANTIGEN 617 (177LU-PSMA617) INJECTION, SOLUTION PARENTERAL 200 mCi</t>
        </is>
      </c>
      <c r="C3100" s="25">
        <f>IF(COUNTIF('کدهای پیام‌داروساز'!$A$2:$A$2442,A3100)&gt;0,"بله","خیر")</f>
        <v/>
      </c>
    </row>
    <row r="3101" ht="15" customHeight="1" s="14">
      <c r="A3101" s="24" t="n">
        <v>52645</v>
      </c>
      <c r="B3101" s="24" t="inlineStr">
        <is>
          <t>GALLIUM (68GA) PROSTATE SPECIFIC MEMBRANE ANTIGEN (68GA-PSMA) INJECTION, SOLUTION PARENTERAL 5 mCi</t>
        </is>
      </c>
      <c r="C3101" s="25">
        <f>IF(COUNTIF('کدهای پیام‌داروساز'!$A$2:$A$2442,A3101)&gt;0,"بله","خیر")</f>
        <v/>
      </c>
    </row>
    <row r="3102" ht="15" customHeight="1" s="14">
      <c r="A3102" s="24" t="n">
        <v>52648</v>
      </c>
      <c r="B3102" s="24" t="inlineStr">
        <is>
          <t>LUTETIUM (177LU) ETHYLENEDIAMINE TETRAMETHYLENE PHOSPHATE (177LU-EDTMP) INJECTION, SOLUTION PARENTERAL 200 mCi</t>
        </is>
      </c>
      <c r="C3102" s="25">
        <f>IF(COUNTIF('کدهای پیام‌داروساز'!$A$2:$A$2442,A3102)&gt;0,"بله","خیر")</f>
        <v/>
      </c>
    </row>
    <row r="3103" ht="15" customHeight="1" s="14">
      <c r="A3103" s="24" t="n">
        <v>52651</v>
      </c>
      <c r="B3103" s="24" t="inlineStr">
        <is>
          <t>RUBIDIUM (81RB) / KRYPTON (81MKR) GAS RESPIRATORY 12 mCi</t>
        </is>
      </c>
      <c r="C3103" s="25">
        <f>IF(COUNTIF('کدهای پیام‌داروساز'!$A$2:$A$2442,A3103)&gt;0,"بله","خیر")</f>
        <v/>
      </c>
    </row>
    <row r="3104" ht="15" customHeight="1" s="14">
      <c r="A3104" s="24" t="n">
        <v>52652</v>
      </c>
      <c r="B3104" s="24" t="inlineStr">
        <is>
          <t>GALLIUM (68GA) DOTATATE INJECTION, SOLUTION PARENTERAL 5 mCi</t>
        </is>
      </c>
      <c r="C3104" s="25">
        <f>IF(COUNTIF('کدهای پیام‌داروساز'!$A$2:$A$2442,A3104)&gt;0,"بله","خیر")</f>
        <v/>
      </c>
    </row>
    <row r="3105" ht="15" customHeight="1" s="14">
      <c r="A3105" s="24" t="n">
        <v>52653</v>
      </c>
      <c r="B3105" s="24" t="inlineStr">
        <is>
          <t>AMPHOTERICIN-B (AS COMPLEX WITH SODIUM CHOLESTERYL SULFATE) INJECTION, POWDER, LYOPHILIZED, FOR SOLUTION PARENTERAL 50 mg</t>
        </is>
      </c>
      <c r="C3105" s="25">
        <f>IF(COUNTIF('کدهای پیام‌داروساز'!$A$2:$A$2442,A3105)&gt;0,"بله","خیر")</f>
        <v/>
      </c>
    </row>
    <row r="3106" ht="15" customHeight="1" s="14">
      <c r="A3106" s="24" t="n">
        <v>52654</v>
      </c>
      <c r="B3106" s="24" t="inlineStr">
        <is>
          <t>CHLOROQUINE PHOSPHATE TABLET ORAL 250 mg</t>
        </is>
      </c>
      <c r="C3106" s="25">
        <f>IF(COUNTIF('کدهای پیام‌داروساز'!$A$2:$A$2442,A3106)&gt;0,"بله","خیر")</f>
        <v/>
      </c>
    </row>
    <row r="3107" ht="15" customHeight="1" s="14">
      <c r="A3107" s="24" t="n">
        <v>52656</v>
      </c>
      <c r="B3107" s="24" t="inlineStr">
        <is>
          <t>RIBAVIRIN TABLET ORAL 600 mg</t>
        </is>
      </c>
      <c r="C3107" s="25">
        <f>IF(COUNTIF('کدهای پیام‌داروساز'!$A$2:$A$2442,A3107)&gt;0,"بله","خیر")</f>
        <v/>
      </c>
    </row>
    <row r="3108" ht="15" customHeight="1" s="14">
      <c r="A3108" s="24" t="n">
        <v>52657</v>
      </c>
      <c r="B3108" s="24" t="inlineStr">
        <is>
          <t>BETAMETHASONE (AS VALERATE) CREAM TOPICAL 0.1 % 100 g</t>
        </is>
      </c>
      <c r="C3108" s="25">
        <f>IF(COUNTIF('کدهای پیام‌داروساز'!$A$2:$A$2442,A3108)&gt;0,"بله","خیر")</f>
        <v/>
      </c>
    </row>
    <row r="3109" ht="15" customHeight="1" s="14">
      <c r="A3109" s="24" t="n">
        <v>52658</v>
      </c>
      <c r="B3109" s="24" t="inlineStr">
        <is>
          <t>HYDROCORTISONE ACETATE OINTMENT TOPICAL 1 % 100 g</t>
        </is>
      </c>
      <c r="C3109" s="25">
        <f>IF(COUNTIF('کدهای پیام‌داروساز'!$A$2:$A$2442,A3109)&gt;0,"بله","خیر")</f>
        <v/>
      </c>
    </row>
    <row r="3110" ht="15" customHeight="1" s="14">
      <c r="A3110" s="24" t="n">
        <v>52659</v>
      </c>
      <c r="B3110" s="24" t="inlineStr">
        <is>
          <t>BETAMETHASONE (AS VALERATE) OINTMENT TOPICAL 0.1 % 100 g</t>
        </is>
      </c>
      <c r="C3110" s="25">
        <f>IF(COUNTIF('کدهای پیام‌داروساز'!$A$2:$A$2442,A3110)&gt;0,"بله","خیر")</f>
        <v/>
      </c>
    </row>
    <row r="3111" ht="15" customHeight="1" s="14">
      <c r="A3111" s="24" t="n">
        <v>52660</v>
      </c>
      <c r="B3111" s="24" t="inlineStr">
        <is>
          <t>IGM-ENRICHED HUMAN (IMMUNE GLOBULIN) INJECTION PARENTERAL 50 mg/1mL 10 mL</t>
        </is>
      </c>
      <c r="C3111" s="25">
        <f>IF(COUNTIF('کدهای پیام‌داروساز'!$A$2:$A$2442,A3111)&gt;0,"بله","خیر")</f>
        <v/>
      </c>
    </row>
    <row r="3112" ht="15" customHeight="1" s="14">
      <c r="A3112" s="24" t="n">
        <v>52661</v>
      </c>
      <c r="B3112" s="24" t="inlineStr">
        <is>
          <t>FAVIPIRAVIR TABLET ORAL 200 mg</t>
        </is>
      </c>
      <c r="C3112" s="25">
        <f>IF(COUNTIF('کدهای پیام‌داروساز'!$A$2:$A$2442,A3112)&gt;0,"بله","خیر")</f>
        <v/>
      </c>
    </row>
    <row r="3113" ht="15" customHeight="1" s="14">
      <c r="A3113" s="24" t="n">
        <v>52662</v>
      </c>
      <c r="B3113" s="24" t="inlineStr">
        <is>
          <t>ACETAMINOPHEN / IBUPROFEN TABLET ORAL 500 mg/200 mg</t>
        </is>
      </c>
      <c r="C3113" s="25">
        <f>IF(COUNTIF('کدهای پیام‌داروساز'!$A$2:$A$2442,A3113)&gt;0,"بله","خیر")</f>
        <v/>
      </c>
    </row>
    <row r="3114" ht="15" customHeight="1" s="14">
      <c r="A3114" s="24" t="n">
        <v>52663</v>
      </c>
      <c r="B3114" s="24" t="inlineStr">
        <is>
          <t>IPRATROPIUM BROMIDE SPRAY, METERED NASAL 21 ug/1{Puff} 25 mL</t>
        </is>
      </c>
      <c r="C3114" s="25">
        <f>IF(COUNTIF('کدهای پیام‌داروساز'!$A$2:$A$2442,A3114)&gt;0,"بله","خیر")</f>
        <v/>
      </c>
    </row>
    <row r="3115" ht="15" customHeight="1" s="14">
      <c r="A3115" s="24" t="n">
        <v>52664</v>
      </c>
      <c r="B3115" s="24" t="inlineStr">
        <is>
          <t>GUAIFENESIN SYRUP ORAL 100 mg/5mL 120 mL</t>
        </is>
      </c>
      <c r="C3115" s="25">
        <f>IF(COUNTIF('کدهای پیام‌داروساز'!$A$2:$A$2442,A3115)&gt;0,"بله","خیر")</f>
        <v/>
      </c>
    </row>
    <row r="3116" ht="15" customHeight="1" s="14">
      <c r="A3116" s="24" t="n">
        <v>52665</v>
      </c>
      <c r="B3116" s="24" t="inlineStr">
        <is>
          <t>ACETAMINOPHEN / GUAIFENESIN / PHENYLEPHRINE SYRUP ORAL 125 mg/50 mg/2.5 mg/5mL 60 mL</t>
        </is>
      </c>
      <c r="C3116" s="25">
        <f>IF(COUNTIF('کدهای پیام‌داروساز'!$A$2:$A$2442,A3116)&gt;0,"بله","خیر")</f>
        <v/>
      </c>
    </row>
    <row r="3117" ht="15" customHeight="1" s="14">
      <c r="A3117" s="24" t="n">
        <v>52666</v>
      </c>
      <c r="B3117" s="24" t="inlineStr">
        <is>
          <t>TRIAMCINOLONE ACETONIDE INJECTION, SUSPENSION, EXTENDED RELEASE INTRA-ARTICULAR 32 mg</t>
        </is>
      </c>
      <c r="C3117" s="25">
        <f>IF(COUNTIF('کدهای پیام‌داروساز'!$A$2:$A$2442,A3117)&gt;0,"بله","خیر")</f>
        <v/>
      </c>
    </row>
    <row r="3118" ht="15" customHeight="1" s="14">
      <c r="A3118" s="24" t="n">
        <v>52667</v>
      </c>
      <c r="B3118" s="24" t="inlineStr">
        <is>
          <t>SILDENAFIL CITRATE GEL TOPICAL 1 % 20 g</t>
        </is>
      </c>
      <c r="C3118" s="25">
        <f>IF(COUNTIF('کدهای پیام‌داروساز'!$A$2:$A$2442,A3118)&gt;0,"بله","خیر")</f>
        <v/>
      </c>
    </row>
    <row r="3119" ht="15" customHeight="1" s="14">
      <c r="A3119" s="24" t="n">
        <v>52668</v>
      </c>
      <c r="B3119" s="24" t="inlineStr">
        <is>
          <t>CHLORPHENIRAMINE / DEXTROMETHORPHAN / PHENYLEPHRINE SYRUP ORAL 2 mg/15 mg/5 mg/5mL 120 mL</t>
        </is>
      </c>
      <c r="C3119" s="25">
        <f>IF(COUNTIF('کدهای پیام‌داروساز'!$A$2:$A$2442,A3119)&gt;0,"بله","خیر")</f>
        <v/>
      </c>
    </row>
    <row r="3120" ht="15" customHeight="1" s="14">
      <c r="A3120" s="24" t="n">
        <v>52670</v>
      </c>
      <c r="B3120" s="24" t="inlineStr">
        <is>
          <t>DESONIDE OINTMENT TOPICAL 0.05 % 15 g</t>
        </is>
      </c>
      <c r="C3120" s="25">
        <f>IF(COUNTIF('کدهای پیام‌داروساز'!$A$2:$A$2442,A3120)&gt;0,"بله","خیر")</f>
        <v/>
      </c>
    </row>
    <row r="3121" ht="15" customHeight="1" s="14">
      <c r="A3121" s="24" t="n">
        <v>52671</v>
      </c>
      <c r="B3121" s="24" t="inlineStr">
        <is>
          <t>DESONIDE GEL TOPICAL 0.05 % 15 g</t>
        </is>
      </c>
      <c r="C3121" s="25">
        <f>IF(COUNTIF('کدهای پیام‌داروساز'!$A$2:$A$2442,A3121)&gt;0,"بله","خیر")</f>
        <v/>
      </c>
    </row>
    <row r="3122" ht="15" customHeight="1" s="14">
      <c r="A3122" s="24" t="n">
        <v>52672</v>
      </c>
      <c r="B3122" s="24" t="inlineStr">
        <is>
          <t>MESALAZINE TABLET, EXTENDED RELEASE ORAL 1200 mg</t>
        </is>
      </c>
      <c r="C3122" s="25">
        <f>IF(COUNTIF('کدهای پیام‌داروساز'!$A$2:$A$2442,A3122)&gt;0,"بله","خیر")</f>
        <v/>
      </c>
    </row>
    <row r="3123" ht="15" customHeight="1" s="14">
      <c r="A3123" s="24" t="n">
        <v>52673</v>
      </c>
      <c r="B3123" s="24" t="inlineStr">
        <is>
          <t>DOMPERIDONE SUSPENSION ORAL 1 mg/1 mL 120 mL</t>
        </is>
      </c>
      <c r="C3123" s="25">
        <f>IF(COUNTIF('کدهای پیام‌داروساز'!$A$2:$A$2442,A3123)&gt;0,"بله","خیر")</f>
        <v/>
      </c>
    </row>
    <row r="3124" ht="15" customHeight="1" s="14">
      <c r="A3124" s="24" t="n">
        <v>52674</v>
      </c>
      <c r="B3124" s="24" t="inlineStr">
        <is>
          <t>CHLORPROMAZINE HYDROCHLORIDE SOLUTION ORAL 25 mg/5mL 125 mL</t>
        </is>
      </c>
      <c r="C3124" s="25">
        <f>IF(COUNTIF('کدهای پیام‌داروساز'!$A$2:$A$2442,A3124)&gt;0,"بله","خیر")</f>
        <v/>
      </c>
    </row>
    <row r="3125" ht="15" customHeight="1" s="14">
      <c r="A3125" s="24" t="n">
        <v>52675</v>
      </c>
      <c r="B3125" s="24" t="inlineStr">
        <is>
          <t>ESOMEPRAZOLE (AS MAGNESIUM) GRANULE, DELAYED RELEASE ORAL 2.5 mg</t>
        </is>
      </c>
      <c r="C3125" s="25">
        <f>IF(COUNTIF('کدهای پیام‌داروساز'!$A$2:$A$2442,A3125)&gt;0,"بله","خیر")</f>
        <v/>
      </c>
    </row>
    <row r="3126" ht="15" customHeight="1" s="14">
      <c r="A3126" s="24" t="n">
        <v>52676</v>
      </c>
      <c r="B3126" s="24" t="inlineStr">
        <is>
          <t>ADAPALENE / BENZOYL PEROXIDE GEL TOPICAL 0.1 %/2.5 % 15 g</t>
        </is>
      </c>
      <c r="C3126" s="25">
        <f>IF(COUNTIF('کدهای پیام‌داروساز'!$A$2:$A$2442,A3126)&gt;0,"بله","خیر")</f>
        <v/>
      </c>
    </row>
    <row r="3127" ht="15" customHeight="1" s="14">
      <c r="A3127" s="24" t="n">
        <v>52677</v>
      </c>
      <c r="B3127" s="24" t="inlineStr">
        <is>
          <t>ENTECAVIR TABLET ORAL 0.5 mg</t>
        </is>
      </c>
      <c r="C3127" s="25">
        <f>IF(COUNTIF('کدهای پیام‌داروساز'!$A$2:$A$2442,A3127)&gt;0,"بله","خیر")</f>
        <v/>
      </c>
    </row>
    <row r="3128" ht="15" customHeight="1" s="14">
      <c r="A3128" s="24" t="n">
        <v>52681</v>
      </c>
      <c r="B3128" s="24" t="inlineStr">
        <is>
          <t>ANTIHISTAMINE DECONGESTANT (2) CAPSULE, LIQUID FILLED ORAL 4 mg/10 mg</t>
        </is>
      </c>
      <c r="C3128" s="25">
        <f>IF(COUNTIF('کدهای پیام‌داروساز'!$A$2:$A$2442,A3128)&gt;0,"بله","خیر")</f>
        <v/>
      </c>
    </row>
    <row r="3129" ht="15" customHeight="1" s="14">
      <c r="A3129" s="24" t="n">
        <v>52684</v>
      </c>
      <c r="B3129" s="24" t="inlineStr">
        <is>
          <t>TUBERCULIN PPD INJECTION, SOLUTION INTRADERMAL  3 mL</t>
        </is>
      </c>
      <c r="C3129" s="25">
        <f>IF(COUNTIF('کدهای پیام‌داروساز'!$A$2:$A$2442,A3129)&gt;0,"بله","خیر")</f>
        <v/>
      </c>
    </row>
    <row r="3130" ht="15" customHeight="1" s="14">
      <c r="A3130" s="24" t="n">
        <v>52685</v>
      </c>
      <c r="B3130" s="24" t="inlineStr">
        <is>
          <t>MENTHOL / ZINC OXIDE / CALAMINE OINTMENT TOPICAL 0.44 g/20.625 g/10 g/100 g 30 g</t>
        </is>
      </c>
      <c r="C3130" s="25">
        <f>IF(COUNTIF('کدهای پیام‌داروساز'!$A$2:$A$2442,A3130)&gt;0,"بله","خیر")</f>
        <v/>
      </c>
    </row>
    <row r="3131" ht="15" customHeight="1" s="14">
      <c r="A3131" s="24" t="n">
        <v>52686</v>
      </c>
      <c r="B3131" s="24" t="inlineStr">
        <is>
          <t>MENTHOL / ZINC OXIDE / CALAMINE OINTMENT TOPICAL 0.44 g/20.625 g/10 g/100 g 60 g</t>
        </is>
      </c>
      <c r="C3131" s="25">
        <f>IF(COUNTIF('کدهای پیام‌داروساز'!$A$2:$A$2442,A3131)&gt;0,"بله","خیر")</f>
        <v/>
      </c>
    </row>
    <row r="3132" ht="15" customHeight="1" s="14">
      <c r="A3132" s="24" t="n">
        <v>52688</v>
      </c>
      <c r="B3132" s="24" t="inlineStr">
        <is>
          <t>OXANDROLONE TABLET ORAL 10 mg</t>
        </is>
      </c>
      <c r="C3132" s="25">
        <f>IF(COUNTIF('کدهای پیام‌داروساز'!$A$2:$A$2442,A3132)&gt;0,"بله","خیر")</f>
        <v/>
      </c>
    </row>
    <row r="3133" ht="15" customHeight="1" s="14">
      <c r="A3133" s="24" t="n">
        <v>52689</v>
      </c>
      <c r="B3133" s="24" t="inlineStr">
        <is>
          <t>REMDESIVIR INJECTION, POWDER, FOR SOLUTION PARENTERAL 100 mg</t>
        </is>
      </c>
      <c r="C3133" s="25">
        <f>IF(COUNTIF('کدهای پیام‌داروساز'!$A$2:$A$2442,A3133)&gt;0,"بله","خیر")</f>
        <v/>
      </c>
    </row>
    <row r="3134" ht="15" customHeight="1" s="14">
      <c r="A3134" s="24" t="n">
        <v>52690</v>
      </c>
      <c r="B3134" s="24" t="inlineStr">
        <is>
          <t>BENDAMUSTINE HYDROCHLORIDE INJECTION PARENTERAL 25 mg/1mL 4 mL</t>
        </is>
      </c>
      <c r="C3134" s="25">
        <f>IF(COUNTIF('کدهای پیام‌داروساز'!$A$2:$A$2442,A3134)&gt;0,"بله","خیر")</f>
        <v/>
      </c>
    </row>
    <row r="3135" ht="15" customHeight="1" s="14">
      <c r="A3135" s="24" t="n">
        <v>52691</v>
      </c>
      <c r="B3135" s="24" t="inlineStr">
        <is>
          <t>EMPAGLIFLOZIN / METFORMIN HYDROCHLORIDE TABLET, EXTENDED RELEASE ORAL 5 mg/1000 mg</t>
        </is>
      </c>
      <c r="C3135" s="25">
        <f>IF(COUNTIF('کدهای پیام‌داروساز'!$A$2:$A$2442,A3135)&gt;0,"بله","خیر")</f>
        <v/>
      </c>
    </row>
    <row r="3136" ht="15" customHeight="1" s="14">
      <c r="A3136" s="24" t="n">
        <v>52692</v>
      </c>
      <c r="B3136" s="24" t="inlineStr">
        <is>
          <t>EMPAGLIFLOZIN / METFORMIN HYDROCHLORIDE TABLET, EXTENDED RELEASE ORAL 12.5 mg/1000 mg</t>
        </is>
      </c>
      <c r="C3136" s="25">
        <f>IF(COUNTIF('کدهای پیام‌داروساز'!$A$2:$A$2442,A3136)&gt;0,"بله","خیر")</f>
        <v/>
      </c>
    </row>
    <row r="3137" ht="15" customHeight="1" s="14">
      <c r="A3137" s="24" t="n">
        <v>52693</v>
      </c>
      <c r="B3137" s="24" t="inlineStr">
        <is>
          <t>OXCARBAZEPINE TABLET, EXTENDED RELEASE ORAL 150 mg</t>
        </is>
      </c>
      <c r="C3137" s="25">
        <f>IF(COUNTIF('کدهای پیام‌داروساز'!$A$2:$A$2442,A3137)&gt;0,"بله","خیر")</f>
        <v/>
      </c>
    </row>
    <row r="3138" ht="15" customHeight="1" s="14">
      <c r="A3138" s="24" t="n">
        <v>52694</v>
      </c>
      <c r="B3138" s="24" t="inlineStr">
        <is>
          <t>OXCARBAZEPINE TABLET, EXTENDED RELEASE ORAL 300 mg</t>
        </is>
      </c>
      <c r="C3138" s="25">
        <f>IF(COUNTIF('کدهای پیام‌داروساز'!$A$2:$A$2442,A3138)&gt;0,"بله","خیر")</f>
        <v/>
      </c>
    </row>
    <row r="3139" ht="15" customHeight="1" s="14">
      <c r="A3139" s="24" t="n">
        <v>52695</v>
      </c>
      <c r="B3139" s="24" t="inlineStr">
        <is>
          <t>INFLUENZA VACCINE, INACTIVATED, TETRAVALENT INJECTION PARENTERAL 1 {dose}</t>
        </is>
      </c>
      <c r="C3139" s="25">
        <f>IF(COUNTIF('کدهای پیام‌داروساز'!$A$2:$A$2442,A3139)&gt;0,"بله","خیر")</f>
        <v/>
      </c>
    </row>
    <row r="3140" ht="15" customHeight="1" s="14">
      <c r="A3140" s="24" t="n">
        <v>52696</v>
      </c>
      <c r="B3140" s="24" t="inlineStr">
        <is>
          <t>SIMETHICONE (DIMETHICONE ACTIVATED) TABLET, CHEWABLE ORAL 125 mg</t>
        </is>
      </c>
      <c r="C3140" s="25">
        <f>IF(COUNTIF('کدهای پیام‌داروساز'!$A$2:$A$2442,A3140)&gt;0,"بله","خیر")</f>
        <v/>
      </c>
    </row>
    <row r="3141" ht="15" customHeight="1" s="14">
      <c r="A3141" s="24" t="n">
        <v>52698</v>
      </c>
      <c r="B3141" s="24" t="inlineStr">
        <is>
          <t>PHENYTOIN SUSPENSION ORAL 30 mg/5mL 200 mL</t>
        </is>
      </c>
      <c r="C3141" s="25">
        <f>IF(COUNTIF('کدهای پیام‌داروساز'!$A$2:$A$2442,A3141)&gt;0,"بله","خیر")</f>
        <v/>
      </c>
    </row>
    <row r="3142" ht="15" customHeight="1" s="14">
      <c r="A3142" s="24" t="n">
        <v>52699</v>
      </c>
      <c r="B3142" s="24" t="inlineStr">
        <is>
          <t>ULIPRISTAL ACETATE TABLET ORAL 30 mg</t>
        </is>
      </c>
      <c r="C3142" s="25">
        <f>IF(COUNTIF('کدهای پیام‌داروساز'!$A$2:$A$2442,A3142)&gt;0,"بله","خیر")</f>
        <v/>
      </c>
    </row>
    <row r="3143" ht="15" customHeight="1" s="14">
      <c r="A3143" s="24" t="n">
        <v>52700</v>
      </c>
      <c r="B3143" s="24" t="inlineStr">
        <is>
          <t>IBRUTINIB TABLET ORAL 140 mg</t>
        </is>
      </c>
      <c r="C3143" s="25">
        <f>IF(COUNTIF('کدهای پیام‌داروساز'!$A$2:$A$2442,A3143)&gt;0,"بله","خیر")</f>
        <v/>
      </c>
    </row>
    <row r="3144" ht="15" customHeight="1" s="14">
      <c r="A3144" s="24" t="n">
        <v>52701</v>
      </c>
      <c r="B3144" s="24" t="inlineStr">
        <is>
          <t>ADULT COLD PREPARATIONS (4-13) POWDER, FOR SOLUTION ORAL 500 mg/10 mg/4 mg</t>
        </is>
      </c>
      <c r="C3144" s="25">
        <f>IF(COUNTIF('کدهای پیام‌داروساز'!$A$2:$A$2442,A3144)&gt;0,"بله","خیر")</f>
        <v/>
      </c>
    </row>
    <row r="3145" ht="15" customHeight="1" s="14">
      <c r="A3145" s="24" t="n">
        <v>52703</v>
      </c>
      <c r="B3145" s="24" t="inlineStr">
        <is>
          <t>ETHANOL SOLUTION NOT APPLICABLE 96 % 5 L</t>
        </is>
      </c>
      <c r="C3145" s="25">
        <f>IF(COUNTIF('کدهای پیام‌داروساز'!$A$2:$A$2442,A3145)&gt;0,"بله","خیر")</f>
        <v/>
      </c>
    </row>
    <row r="3146" ht="15" customHeight="1" s="14">
      <c r="A3146" s="24" t="n">
        <v>52704</v>
      </c>
      <c r="B3146" s="24" t="inlineStr">
        <is>
          <t>ETHANOL SOLUTION NOT APPLICABLE 70 % 2.5 L</t>
        </is>
      </c>
      <c r="C3146" s="25">
        <f>IF(COUNTIF('کدهای پیام‌داروساز'!$A$2:$A$2442,A3146)&gt;0,"بله","خیر")</f>
        <v/>
      </c>
    </row>
    <row r="3147" ht="15" customHeight="1" s="14">
      <c r="A3147" s="24" t="n">
        <v>52705</v>
      </c>
      <c r="B3147" s="24" t="inlineStr">
        <is>
          <t>DICLOFENAC SODIUM SOLUTION TOPICAL 2 % 60 mL</t>
        </is>
      </c>
      <c r="C3147" s="25">
        <f>IF(COUNTIF('کدهای پیام‌داروساز'!$A$2:$A$2442,A3147)&gt;0,"بله","خیر")</f>
        <v/>
      </c>
    </row>
    <row r="3148" ht="15" customHeight="1" s="14">
      <c r="A3148" s="24" t="n">
        <v>52706</v>
      </c>
      <c r="B3148" s="24" t="inlineStr">
        <is>
          <t>TOCILIZUMAB INJECTION, SOLUTION PARENTERAL 162 mg/0.9mL</t>
        </is>
      </c>
      <c r="C3148" s="25">
        <f>IF(COUNTIF('کدهای پیام‌داروساز'!$A$2:$A$2442,A3148)&gt;0,"بله","خیر")</f>
        <v/>
      </c>
    </row>
    <row r="3149" ht="15" customHeight="1" s="14">
      <c r="A3149" s="24" t="n">
        <v>52707</v>
      </c>
      <c r="B3149" s="24" t="inlineStr">
        <is>
          <t>REMDESIVIR INJECTION, SOLUTION PARENTERAL 5 mg/1mL 20 mL</t>
        </is>
      </c>
      <c r="C3149" s="25">
        <f>IF(COUNTIF('کدهای پیام‌داروساز'!$A$2:$A$2442,A3149)&gt;0,"بله","خیر")</f>
        <v/>
      </c>
    </row>
    <row r="3150" ht="15" customHeight="1" s="14">
      <c r="A3150" s="24" t="n">
        <v>52708</v>
      </c>
      <c r="B3150" s="24" t="inlineStr">
        <is>
          <t>PNEUMOCOCCAL VACCINE 10-VALENT INJECTION PARENTERAL  2.5 mL</t>
        </is>
      </c>
      <c r="C3150" s="25">
        <f>IF(COUNTIF('کدهای پیام‌داروساز'!$A$2:$A$2442,A3150)&gt;0,"بله","خیر")</f>
        <v/>
      </c>
    </row>
    <row r="3151" ht="15" customHeight="1" s="14">
      <c r="A3151" s="24" t="n">
        <v>52709</v>
      </c>
      <c r="B3151" s="24" t="inlineStr">
        <is>
          <t>NERATINIB (AS MALEATE) TABLET ORAL 40 mg</t>
        </is>
      </c>
      <c r="C3151" s="25">
        <f>IF(COUNTIF('کدهای پیام‌داروساز'!$A$2:$A$2442,A3151)&gt;0,"بله","خیر")</f>
        <v/>
      </c>
    </row>
    <row r="3152" ht="15" customHeight="1" s="14">
      <c r="A3152" s="24" t="n">
        <v>52710</v>
      </c>
      <c r="B3152" s="24" t="inlineStr">
        <is>
          <t>HYDROXOCOBALAMIN INJECTION, SOLUTION PARENTERAL 1500 ug/1mL 1 mL</t>
        </is>
      </c>
      <c r="C3152" s="25">
        <f>IF(COUNTIF('کدهای پیام‌داروساز'!$A$2:$A$2442,A3152)&gt;0,"بله","خیر")</f>
        <v/>
      </c>
    </row>
    <row r="3153" ht="15" customHeight="1" s="14">
      <c r="A3153" s="24" t="n">
        <v>52711</v>
      </c>
      <c r="B3153" s="24" t="inlineStr">
        <is>
          <t>BLINATUMOMAB INJECTION, POWDER, FOR SOLUTION PARENTERAL 38.5 ug</t>
        </is>
      </c>
      <c r="C3153" s="25">
        <f>IF(COUNTIF('کدهای پیام‌داروساز'!$A$2:$A$2442,A3153)&gt;0,"بله","خیر")</f>
        <v/>
      </c>
    </row>
    <row r="3154" ht="15" customHeight="1" s="14">
      <c r="A3154" s="24" t="n">
        <v>52712</v>
      </c>
      <c r="B3154" s="24" t="inlineStr">
        <is>
          <t>SERTACONAZOLE NITRATE SUPPOSITORY VAGINAL 300 mg</t>
        </is>
      </c>
      <c r="C3154" s="25">
        <f>IF(COUNTIF('کدهای پیام‌داروساز'!$A$2:$A$2442,A3154)&gt;0,"بله","خیر")</f>
        <v/>
      </c>
    </row>
    <row r="3155" ht="15" customHeight="1" s="14">
      <c r="A3155" s="24" t="n">
        <v>52713</v>
      </c>
      <c r="B3155" s="24" t="inlineStr">
        <is>
          <t>METHOTREXATE INJECTION, SOLUTION, CONCENTRATE PARENTERAL 100 mg/1mL 5 mL</t>
        </is>
      </c>
      <c r="C3155" s="25">
        <f>IF(COUNTIF('کدهای پیام‌داروساز'!$A$2:$A$2442,A3155)&gt;0,"بله","خیر")</f>
        <v/>
      </c>
    </row>
    <row r="3156" ht="15" customHeight="1" s="14">
      <c r="A3156" s="24" t="n">
        <v>52714</v>
      </c>
      <c r="B3156" s="24" t="inlineStr">
        <is>
          <t>METHOTREXATE INJECTION, SOLUTION, CONCENTRATE PARENTERAL 100 mg/1mL 10 mL</t>
        </is>
      </c>
      <c r="C3156" s="25">
        <f>IF(COUNTIF('کدهای پیام‌داروساز'!$A$2:$A$2442,A3156)&gt;0,"بله","خیر")</f>
        <v/>
      </c>
    </row>
    <row r="3157" ht="15" customHeight="1" s="14">
      <c r="A3157" s="24" t="n">
        <v>52715</v>
      </c>
      <c r="B3157" s="24" t="inlineStr">
        <is>
          <t>METHOTREXATE INJECTION, SOLUTION, CONCENTRATE PARENTERAL 100 mg/1mL 50 mL</t>
        </is>
      </c>
      <c r="C3157" s="25">
        <f>IF(COUNTIF('کدهای پیام‌داروساز'!$A$2:$A$2442,A3157)&gt;0,"بله","خیر")</f>
        <v/>
      </c>
    </row>
    <row r="3158" ht="15" customHeight="1" s="14">
      <c r="A3158" s="24" t="n">
        <v>52716</v>
      </c>
      <c r="B3158" s="24" t="inlineStr">
        <is>
          <t>RIOCIGUAT TABLET ORAL 1 mg</t>
        </is>
      </c>
      <c r="C3158" s="25">
        <f>IF(COUNTIF('کدهای پیام‌داروساز'!$A$2:$A$2442,A3158)&gt;0,"بله","خیر")</f>
        <v/>
      </c>
    </row>
    <row r="3159" ht="15" customHeight="1" s="14">
      <c r="A3159" s="24" t="n">
        <v>52717</v>
      </c>
      <c r="B3159" s="24" t="inlineStr">
        <is>
          <t>SEVELAMER CARBONATE POWDER, FOR SUSPENSION ORAL 800 mg</t>
        </is>
      </c>
      <c r="C3159" s="25">
        <f>IF(COUNTIF('کدهای پیام‌داروساز'!$A$2:$A$2442,A3159)&gt;0,"بله","خیر")</f>
        <v/>
      </c>
    </row>
    <row r="3160" ht="15" customHeight="1" s="14">
      <c r="A3160" s="24" t="n">
        <v>52718</v>
      </c>
      <c r="B3160" s="24" t="inlineStr">
        <is>
          <t>EPINEPHRINE INJECTION, SOLUTION PARENTERAL 0.3 mg/0.3mL 2 mL</t>
        </is>
      </c>
      <c r="C3160" s="25">
        <f>IF(COUNTIF('کدهای پیام‌داروساز'!$A$2:$A$2442,A3160)&gt;0,"بله","خیر")</f>
        <v/>
      </c>
    </row>
    <row r="3161" ht="15" customHeight="1" s="14">
      <c r="A3161" s="24" t="n">
        <v>52719</v>
      </c>
      <c r="B3161" s="24" t="inlineStr">
        <is>
          <t>IODIXANOL INJECTION PARENTERAL 270 mg/1mL 100 mL</t>
        </is>
      </c>
      <c r="C3161" s="25">
        <f>IF(COUNTIF('کدهای پیام‌داروساز'!$A$2:$A$2442,A3161)&gt;0,"بله","خیر")</f>
        <v/>
      </c>
    </row>
    <row r="3162" ht="15" customHeight="1" s="14">
      <c r="A3162" s="24" t="n">
        <v>52720</v>
      </c>
      <c r="B3162" s="24" t="inlineStr">
        <is>
          <t>PRALATREXATE INJECTION, SOLUTION PARENTERAL 20 mg/1mL 1 mL</t>
        </is>
      </c>
      <c r="C3162" s="25">
        <f>IF(COUNTIF('کدهای پیام‌داروساز'!$A$2:$A$2442,A3162)&gt;0,"بله","خیر")</f>
        <v/>
      </c>
    </row>
    <row r="3163" ht="15" customHeight="1" s="14">
      <c r="A3163" s="24" t="n">
        <v>52722</v>
      </c>
      <c r="B3163" s="24" t="inlineStr">
        <is>
          <t>PALBOCICLIB CAPSULE ORAL 100 mg</t>
        </is>
      </c>
      <c r="C3163" s="25">
        <f>IF(COUNTIF('کدهای پیام‌داروساز'!$A$2:$A$2442,A3163)&gt;0,"بله","خیر")</f>
        <v/>
      </c>
    </row>
    <row r="3164" ht="15" customHeight="1" s="14">
      <c r="A3164" s="24" t="n">
        <v>52723</v>
      </c>
      <c r="B3164" s="24" t="inlineStr">
        <is>
          <t>PALBOCICLIB CAPSULE ORAL 75 mg</t>
        </is>
      </c>
      <c r="C3164" s="25">
        <f>IF(COUNTIF('کدهای پیام‌داروساز'!$A$2:$A$2442,A3164)&gt;0,"بله","خیر")</f>
        <v/>
      </c>
    </row>
    <row r="3165" ht="15" customHeight="1" s="14">
      <c r="A3165" s="24" t="n">
        <v>52725</v>
      </c>
      <c r="B3165" s="24" t="inlineStr">
        <is>
          <t>ADULT COLD PREPARATIONS (5-5) TABLET ORAL 15 mg/5 mg/325 mg</t>
        </is>
      </c>
      <c r="C3165" s="25">
        <f>IF(COUNTIF('کدهای پیام‌داروساز'!$A$2:$A$2442,A3165)&gt;0,"بله","خیر")</f>
        <v/>
      </c>
    </row>
    <row r="3166" ht="15" customHeight="1" s="14">
      <c r="A3166" s="24" t="n">
        <v>52727</v>
      </c>
      <c r="B3166" s="24" t="inlineStr">
        <is>
          <t>POTASSIUM CITRATE TABLET, EXTENDED RELEASE ORAL 15 meq</t>
        </is>
      </c>
      <c r="C3166" s="25">
        <f>IF(COUNTIF('کدهای پیام‌داروساز'!$A$2:$A$2442,A3166)&gt;0,"بله","خیر")</f>
        <v/>
      </c>
    </row>
    <row r="3167" ht="15" customHeight="1" s="14">
      <c r="A3167" s="24" t="n">
        <v>52728</v>
      </c>
      <c r="B3167" s="24" t="inlineStr">
        <is>
          <t>OLAPARIB TABLET ORAL 150 mg</t>
        </is>
      </c>
      <c r="C3167" s="25">
        <f>IF(COUNTIF('کدهای پیام‌داروساز'!$A$2:$A$2442,A3167)&gt;0,"بله","خیر")</f>
        <v/>
      </c>
    </row>
    <row r="3168" ht="15" customHeight="1" s="14">
      <c r="A3168" s="24" t="n">
        <v>52730</v>
      </c>
      <c r="B3168" s="24" t="inlineStr">
        <is>
          <t>BISOPROLOL FUMARATE / HYDROCHLOROTHIAZIDE TABLET ORAL 2.5 mg/6.25 mg</t>
        </is>
      </c>
      <c r="C3168" s="25">
        <f>IF(COUNTIF('کدهای پیام‌داروساز'!$A$2:$A$2442,A3168)&gt;0,"بله","خیر")</f>
        <v/>
      </c>
    </row>
    <row r="3169" ht="15" customHeight="1" s="14">
      <c r="A3169" s="24" t="n">
        <v>52731</v>
      </c>
      <c r="B3169" s="24" t="inlineStr">
        <is>
          <t>BISOPROLOL FUMARATE / HYDROCHLOROTHIAZIDE TABLET ORAL 5 mg/6.25 mg</t>
        </is>
      </c>
      <c r="C3169" s="25">
        <f>IF(COUNTIF('کدهای پیام‌داروساز'!$A$2:$A$2442,A3169)&gt;0,"بله","خیر")</f>
        <v/>
      </c>
    </row>
    <row r="3170" ht="15" customHeight="1" s="14">
      <c r="A3170" s="24" t="n">
        <v>52732</v>
      </c>
      <c r="B3170" s="24" t="inlineStr">
        <is>
          <t>BISOPROLOL FUMARATE / HYDROCHLOROTHIAZIDE TABLET ORAL 10 mg/6.25 mg</t>
        </is>
      </c>
      <c r="C3170" s="25">
        <f>IF(COUNTIF('کدهای پیام‌داروساز'!$A$2:$A$2442,A3170)&gt;0,"بله","خیر")</f>
        <v/>
      </c>
    </row>
    <row r="3171" ht="15" customHeight="1" s="14">
      <c r="A3171" s="24" t="n">
        <v>52733</v>
      </c>
      <c r="B3171" s="24" t="inlineStr">
        <is>
          <t>BISOPROLOL FUMARATE / HYDROCHLOROTHIAZIDE TABLET ORAL 5 mg/12.5 mg</t>
        </is>
      </c>
      <c r="C3171" s="25">
        <f>IF(COUNTIF('کدهای پیام‌داروساز'!$A$2:$A$2442,A3171)&gt;0,"بله","خیر")</f>
        <v/>
      </c>
    </row>
    <row r="3172" ht="15" customHeight="1" s="14">
      <c r="A3172" s="24" t="n">
        <v>52734</v>
      </c>
      <c r="B3172" s="24" t="inlineStr">
        <is>
          <t>BISOPROLOL FUMARATE / HYDROCHLOROTHIAZIDE TABLET ORAL 10 mg/25 mg</t>
        </is>
      </c>
      <c r="C3172" s="25">
        <f>IF(COUNTIF('کدهای پیام‌داروساز'!$A$2:$A$2442,A3172)&gt;0,"بله","خیر")</f>
        <v/>
      </c>
    </row>
    <row r="3173" ht="15" customHeight="1" s="14">
      <c r="A3173" s="24" t="n">
        <v>52735</v>
      </c>
      <c r="B3173" s="24" t="inlineStr">
        <is>
          <t>ALECTINIB (AS HYDROCHLORIDE) CAPSULE ORAL 150 mg</t>
        </is>
      </c>
      <c r="C3173" s="25">
        <f>IF(COUNTIF('کدهای پیام‌داروساز'!$A$2:$A$2442,A3173)&gt;0,"بله","خیر")</f>
        <v/>
      </c>
    </row>
    <row r="3174" ht="15" customHeight="1" s="14">
      <c r="A3174" s="24" t="n">
        <v>52736</v>
      </c>
      <c r="B3174" s="24" t="inlineStr">
        <is>
          <t>EXPECTORANT SYRUP ORAL 100 mg/2 mg/30 mg/5mL 120 mL</t>
        </is>
      </c>
      <c r="C3174" s="25">
        <f>IF(COUNTIF('کدهای پیام‌داروساز'!$A$2:$A$2442,A3174)&gt;0,"بله","خیر")</f>
        <v/>
      </c>
    </row>
    <row r="3175" ht="15" customHeight="1" s="14">
      <c r="A3175" s="24" t="n">
        <v>52737</v>
      </c>
      <c r="B3175" s="24" t="inlineStr">
        <is>
          <t>PAROMOMYCIN OINTMENT TOPICAL 15 % 30 g</t>
        </is>
      </c>
      <c r="C3175" s="25">
        <f>IF(COUNTIF('کدهای پیام‌داروساز'!$A$2:$A$2442,A3175)&gt;0,"بله","خیر")</f>
        <v/>
      </c>
    </row>
    <row r="3176" ht="15" customHeight="1" s="14">
      <c r="A3176" s="24" t="n">
        <v>52738</v>
      </c>
      <c r="B3176" s="24" t="inlineStr">
        <is>
          <t>METHOTREXATE INJECTION, SOLUTION PARENTERAL 50 mg/1mL 0.25 mL</t>
        </is>
      </c>
      <c r="C3176" s="25">
        <f>IF(COUNTIF('کدهای پیام‌داروساز'!$A$2:$A$2442,A3176)&gt;0,"بله","خیر")</f>
        <v/>
      </c>
    </row>
    <row r="3177" ht="15" customHeight="1" s="14">
      <c r="A3177" s="24" t="n">
        <v>52739</v>
      </c>
      <c r="B3177" s="24" t="inlineStr">
        <is>
          <t>METHOTREXATE INJECTION, SOLUTION PARENTERAL 50 mg/1mL 0.35 mL</t>
        </is>
      </c>
      <c r="C3177" s="25">
        <f>IF(COUNTIF('کدهای پیام‌داروساز'!$A$2:$A$2442,A3177)&gt;0,"بله","خیر")</f>
        <v/>
      </c>
    </row>
    <row r="3178" ht="15" customHeight="1" s="14">
      <c r="A3178" s="24" t="n">
        <v>52740</v>
      </c>
      <c r="B3178" s="24" t="inlineStr">
        <is>
          <t>METHOTREXATE INJECTION, SOLUTION PARENTERAL 50 mg/1mL 0.45 mL</t>
        </is>
      </c>
      <c r="C3178" s="25">
        <f>IF(COUNTIF('کدهای پیام‌داروساز'!$A$2:$A$2442,A3178)&gt;0,"بله","خیر")</f>
        <v/>
      </c>
    </row>
    <row r="3179" ht="15" customHeight="1" s="14">
      <c r="A3179" s="24" t="n">
        <v>52741</v>
      </c>
      <c r="B3179" s="24" t="inlineStr">
        <is>
          <t>PROSTAGLANDIN E2 INSERT, EXTENDED RELEASE VAGINAL 10 mg</t>
        </is>
      </c>
      <c r="C3179" s="25">
        <f>IF(COUNTIF('کدهای پیام‌داروساز'!$A$2:$A$2442,A3179)&gt;0,"بله","خیر")</f>
        <v/>
      </c>
    </row>
    <row r="3180" ht="15" customHeight="1" s="14">
      <c r="A3180" s="24" t="n">
        <v>52742</v>
      </c>
      <c r="B3180" s="24" t="inlineStr">
        <is>
          <t>POSACONAZOLE INJECTION, SOLUTION, CONCENTRATE PARENTERAL 300 mg/16.7mL</t>
        </is>
      </c>
      <c r="C3180" s="25">
        <f>IF(COUNTIF('کدهای پیام‌داروساز'!$A$2:$A$2442,A3180)&gt;0,"بله","خیر")</f>
        <v/>
      </c>
    </row>
    <row r="3181" ht="15" customHeight="1" s="14">
      <c r="A3181" s="24" t="n">
        <v>52743</v>
      </c>
      <c r="B3181" s="24" t="inlineStr">
        <is>
          <t>ATORVASTATIN (AS CALCIUM) / EZETIMIBE TABLET ORAL 10 mg/10 mg</t>
        </is>
      </c>
      <c r="C3181" s="25">
        <f>IF(COUNTIF('کدهای پیام‌داروساز'!$A$2:$A$2442,A3181)&gt;0,"بله","خیر")</f>
        <v/>
      </c>
    </row>
    <row r="3182" ht="15" customHeight="1" s="14">
      <c r="A3182" s="24" t="n">
        <v>52744</v>
      </c>
      <c r="B3182" s="24" t="inlineStr">
        <is>
          <t>ATORVASTATIN (AS CALCIUM) / EZETIMIBE TABLET ORAL 20 mg/10 mg</t>
        </is>
      </c>
      <c r="C3182" s="25">
        <f>IF(COUNTIF('کدهای پیام‌داروساز'!$A$2:$A$2442,A3182)&gt;0,"بله","خیر")</f>
        <v/>
      </c>
    </row>
    <row r="3183" ht="15" customHeight="1" s="14">
      <c r="A3183" s="24" t="n">
        <v>52745</v>
      </c>
      <c r="B3183" s="24" t="inlineStr">
        <is>
          <t>ATORVASTATIN (AS CALCIUM) / EZETIMIBE TABLET ORAL 40 mg/10 mg</t>
        </is>
      </c>
      <c r="C3183" s="25">
        <f>IF(COUNTIF('کدهای پیام‌داروساز'!$A$2:$A$2442,A3183)&gt;0,"بله","خیر")</f>
        <v/>
      </c>
    </row>
    <row r="3184" ht="15" customHeight="1" s="14">
      <c r="A3184" s="24" t="n">
        <v>52746</v>
      </c>
      <c r="B3184" s="24" t="inlineStr">
        <is>
          <t>ATORVASTATIN (AS CALCIUM) / EZETIMIBE TABLET ORAL 80 mg/10 mg</t>
        </is>
      </c>
      <c r="C3184" s="25">
        <f>IF(COUNTIF('کدهای پیام‌داروساز'!$A$2:$A$2442,A3184)&gt;0,"بله","خیر")</f>
        <v/>
      </c>
    </row>
    <row r="3185" ht="15" customHeight="1" s="14">
      <c r="A3185" s="24" t="n">
        <v>52747</v>
      </c>
      <c r="B3185" s="24" t="inlineStr">
        <is>
          <t>DOXYCYCLINE (AS HYCLATE) CAPSULE, DELAYED RELEASE ORAL 100 mg</t>
        </is>
      </c>
      <c r="C3185" s="25">
        <f>IF(COUNTIF('کدهای پیام‌داروساز'!$A$2:$A$2442,A3185)&gt;0,"بله","خیر")</f>
        <v/>
      </c>
    </row>
    <row r="3186" ht="15" customHeight="1" s="14">
      <c r="A3186" s="24" t="n">
        <v>52748</v>
      </c>
      <c r="B3186" s="24" t="inlineStr">
        <is>
          <t>PALIPERIDONE TABLET, EXTENDED RELEASE ORAL 9 mg</t>
        </is>
      </c>
      <c r="C3186" s="25">
        <f>IF(COUNTIF('کدهای پیام‌داروساز'!$A$2:$A$2442,A3186)&gt;0,"بله","خیر")</f>
        <v/>
      </c>
    </row>
    <row r="3187" ht="15" customHeight="1" s="14">
      <c r="A3187" s="24" t="n">
        <v>52750</v>
      </c>
      <c r="B3187" s="24" t="inlineStr">
        <is>
          <t>TUBERCULIN PPD INJECTION, SOLUTION INTRADERMAL  5 mL</t>
        </is>
      </c>
      <c r="C3187" s="25">
        <f>IF(COUNTIF('کدهای پیام‌داروساز'!$A$2:$A$2442,A3187)&gt;0,"بله","خیر")</f>
        <v/>
      </c>
    </row>
    <row r="3188" ht="15" customHeight="1" s="14">
      <c r="A3188" s="24" t="n">
        <v>52752</v>
      </c>
      <c r="B3188" s="24" t="inlineStr">
        <is>
          <t>ANTISNAKE VENOM SERUM, HEXAVALENT INJECTION PARENTERAL  10 mL</t>
        </is>
      </c>
      <c r="C3188" s="25">
        <f>IF(COUNTIF('کدهای پیام‌داروساز'!$A$2:$A$2442,A3188)&gt;0,"بله","خیر")</f>
        <v/>
      </c>
    </row>
    <row r="3189" ht="15" customHeight="1" s="14">
      <c r="A3189" s="24" t="n">
        <v>52754</v>
      </c>
      <c r="B3189" s="24" t="inlineStr">
        <is>
          <t>ADULT COLD PREPARATIONS (3-8) TABLET ORAL 325 mg/2 mg</t>
        </is>
      </c>
      <c r="C3189" s="25">
        <f>IF(COUNTIF('کدهای پیام‌داروساز'!$A$2:$A$2442,A3189)&gt;0,"بله","خیر")</f>
        <v/>
      </c>
    </row>
    <row r="3190" ht="15" customHeight="1" s="14">
      <c r="A3190" s="24" t="n">
        <v>52755</v>
      </c>
      <c r="B3190" s="24" t="inlineStr">
        <is>
          <t>IBUPROFEN TABLET ORAL 600 mg</t>
        </is>
      </c>
      <c r="C3190" s="25">
        <f>IF(COUNTIF('کدهای پیام‌داروساز'!$A$2:$A$2442,A3190)&gt;0,"بله","خیر")</f>
        <v/>
      </c>
    </row>
    <row r="3191" ht="15" customHeight="1" s="14">
      <c r="A3191" s="24" t="n">
        <v>52756</v>
      </c>
      <c r="B3191" s="24" t="inlineStr">
        <is>
          <t>IBUPROFEN TABLET, EXTENDED RELEASE ORAL 600 mg</t>
        </is>
      </c>
      <c r="C3191" s="25">
        <f>IF(COUNTIF('کدهای پیام‌داروساز'!$A$2:$A$2442,A3191)&gt;0,"بله","خیر")</f>
        <v/>
      </c>
    </row>
    <row r="3192" ht="15" customHeight="1" s="14">
      <c r="A3192" s="24" t="n">
        <v>52757</v>
      </c>
      <c r="B3192" s="24" t="inlineStr">
        <is>
          <t>ESOMEPRAZOLE (AS MAGNESIUM) CAPSULE, DELAYED RELEASE ORAL 40 mg</t>
        </is>
      </c>
      <c r="C3192" s="25">
        <f>IF(COUNTIF('کدهای پیام‌داروساز'!$A$2:$A$2442,A3192)&gt;0,"بله","خیر")</f>
        <v/>
      </c>
    </row>
    <row r="3193" ht="15" customHeight="1" s="14">
      <c r="A3193" s="24" t="n">
        <v>52760</v>
      </c>
      <c r="B3193" s="24" t="inlineStr">
        <is>
          <t>IBRUTINIB CAPSULE ORAL 70 mg</t>
        </is>
      </c>
      <c r="C3193" s="25">
        <f>IF(COUNTIF('کدهای پیام‌داروساز'!$A$2:$A$2442,A3193)&gt;0,"بله","خیر")</f>
        <v/>
      </c>
    </row>
    <row r="3194" ht="15" customHeight="1" s="14">
      <c r="A3194" s="24" t="n">
        <v>52761</v>
      </c>
      <c r="B3194" s="24" t="inlineStr">
        <is>
          <t>SITAGLIPTIN (AS PHOSPHATE) / METFORMIN HYDROCHLORIDE TABLET, EXTENDED RELEASE ORAL 50 mg/500 mg</t>
        </is>
      </c>
      <c r="C3194" s="25">
        <f>IF(COUNTIF('کدهای پیام‌داروساز'!$A$2:$A$2442,A3194)&gt;0,"بله","خیر")</f>
        <v/>
      </c>
    </row>
    <row r="3195" ht="15" customHeight="1" s="14">
      <c r="A3195" s="24" t="n">
        <v>52762</v>
      </c>
      <c r="B3195" s="24" t="inlineStr">
        <is>
          <t>SITAGLIPTIN (AS PHOSPHATE) / METFORMIN HYDROCHLORIDE TABLET, EXTENDED RELEASE ORAL 50 mg/1000 mg</t>
        </is>
      </c>
      <c r="C3195" s="25">
        <f>IF(COUNTIF('کدهای پیام‌داروساز'!$A$2:$A$2442,A3195)&gt;0,"بله","خیر")</f>
        <v/>
      </c>
    </row>
    <row r="3196" ht="15" customHeight="1" s="14">
      <c r="A3196" s="24" t="n">
        <v>52763</v>
      </c>
      <c r="B3196" s="24" t="inlineStr">
        <is>
          <t>SITAGLIPTIN (AS PHOSPHATE) / METFORMIN HYDROCHLORIDE TABLET, EXTENDED RELEASE ORAL 100 mg/1000 mg</t>
        </is>
      </c>
      <c r="C3196" s="25">
        <f>IF(COUNTIF('کدهای پیام‌داروساز'!$A$2:$A$2442,A3196)&gt;0,"بله","خیر")</f>
        <v/>
      </c>
    </row>
    <row r="3197" ht="15" customHeight="1" s="14">
      <c r="A3197" s="24" t="n">
        <v>52765</v>
      </c>
      <c r="B3197" s="24" t="inlineStr">
        <is>
          <t>GELATIN MODIFIED (2) INJECTION PARENTERAL 4 % 500 mL</t>
        </is>
      </c>
      <c r="C3197" s="25">
        <f>IF(COUNTIF('کدهای پیام‌داروساز'!$A$2:$A$2442,A3197)&gt;0,"بله","خیر")</f>
        <v/>
      </c>
    </row>
    <row r="3198" ht="15" customHeight="1" s="14">
      <c r="A3198" s="24" t="n">
        <v>52766</v>
      </c>
      <c r="B3198" s="24" t="inlineStr">
        <is>
          <t>LIDOCAINE HYDROCHLORIDE GEL TOPICAL 2 % 25 g</t>
        </is>
      </c>
      <c r="C3198" s="25">
        <f>IF(COUNTIF('کدهای پیام‌داروساز'!$A$2:$A$2442,A3198)&gt;0,"بله","خیر")</f>
        <v/>
      </c>
    </row>
    <row r="3199" ht="15" customHeight="1" s="14">
      <c r="A3199" s="24" t="n">
        <v>52768</v>
      </c>
      <c r="B3199" s="24" t="inlineStr">
        <is>
          <t>VITAMIN K1 (PHYTOMENADIONE) INJECTION PARENTERAL 10 mg/1mL 0.2 mL</t>
        </is>
      </c>
      <c r="C3199" s="25">
        <f>IF(COUNTIF('کدهای پیام‌داروساز'!$A$2:$A$2442,A3199)&gt;0,"بله","خیر")</f>
        <v/>
      </c>
    </row>
    <row r="3200" ht="15" customHeight="1" s="14">
      <c r="A3200" s="24" t="n">
        <v>52769</v>
      </c>
      <c r="B3200" s="24" t="inlineStr">
        <is>
          <t>PIRACETAM LIQUID ORAL 33.33 % 200 mL</t>
        </is>
      </c>
      <c r="C3200" s="25">
        <f>IF(COUNTIF('کدهای پیام‌داروساز'!$A$2:$A$2442,A3200)&gt;0,"بله","خیر")</f>
        <v/>
      </c>
    </row>
    <row r="3201" ht="15" customHeight="1" s="14">
      <c r="A3201" s="24" t="n">
        <v>52771</v>
      </c>
      <c r="B3201" s="24" t="inlineStr">
        <is>
          <t>ROTAVIRUS VACCINE, MONOVALENT, LIVE ATTENUATED POWDER, FOR SUSPENSION ORAL  2.5 mL</t>
        </is>
      </c>
      <c r="C3201" s="25">
        <f>IF(COUNTIF('کدهای پیام‌داروساز'!$A$2:$A$2442,A3201)&gt;0,"بله","خیر")</f>
        <v/>
      </c>
    </row>
    <row r="3202" ht="15" customHeight="1" s="14">
      <c r="A3202" s="24" t="n">
        <v>52773</v>
      </c>
      <c r="B3202" s="24" t="inlineStr">
        <is>
          <t>COVID-19 VACCINE (1) (adenovirus viral vector) INJECTION PARENTERAL  5 {dose}</t>
        </is>
      </c>
      <c r="C3202" s="25">
        <f>IF(COUNTIF('کدهای پیام‌داروساز'!$A$2:$A$2442,A3202)&gt;0,"بله","خیر")</f>
        <v/>
      </c>
    </row>
    <row r="3203" ht="15" customHeight="1" s="14">
      <c r="A3203" s="24" t="n">
        <v>52774</v>
      </c>
      <c r="B3203" s="24" t="inlineStr">
        <is>
          <t>COVID-19 VACCINE (2) (adenovirus viral vector) INJECTION PARENTERAL  5 {dose}</t>
        </is>
      </c>
      <c r="C3203" s="25">
        <f>IF(COUNTIF('کدهای پیام‌داروساز'!$A$2:$A$2442,A3203)&gt;0,"بله","خیر")</f>
        <v/>
      </c>
    </row>
    <row r="3204" ht="15" customHeight="1" s="14">
      <c r="A3204" s="24" t="n">
        <v>52775</v>
      </c>
      <c r="B3204" s="24" t="inlineStr">
        <is>
          <t>BOTULISM ANTITOXIN MONOVALENT TYPE B (EQUINE) INJECTION PARENTERAL 500 [iU]/1mL 10 mL</t>
        </is>
      </c>
      <c r="C3204" s="25">
        <f>IF(COUNTIF('کدهای پیام‌داروساز'!$A$2:$A$2442,A3204)&gt;0,"بله","خیر")</f>
        <v/>
      </c>
    </row>
    <row r="3205" ht="15" customHeight="1" s="14">
      <c r="A3205" s="24" t="n">
        <v>52776</v>
      </c>
      <c r="B3205" s="24" t="inlineStr">
        <is>
          <t>BOTULISM ANTITOXIN MONOVALENT TYPE E (EQUINE) INJECTION PARENTERAL 1000 [iU]/1mL 10 mL</t>
        </is>
      </c>
      <c r="C3205" s="25">
        <f>IF(COUNTIF('کدهای پیام‌داروساز'!$A$2:$A$2442,A3205)&gt;0,"بله","خیر")</f>
        <v/>
      </c>
    </row>
    <row r="3206" ht="15" customHeight="1" s="14">
      <c r="A3206" s="24" t="n">
        <v>52778</v>
      </c>
      <c r="B3206" s="24" t="inlineStr">
        <is>
          <t>COVID-19 VACCINE (1) (adenovirus viral vector) INJECTION PARENTERAL  1 {dose}</t>
        </is>
      </c>
      <c r="C3206" s="25">
        <f>IF(COUNTIF('کدهای پیام‌داروساز'!$A$2:$A$2442,A3206)&gt;0,"بله","خیر")</f>
        <v/>
      </c>
    </row>
    <row r="3207" ht="15" customHeight="1" s="14">
      <c r="A3207" s="24" t="n">
        <v>52779</v>
      </c>
      <c r="B3207" s="24" t="inlineStr">
        <is>
          <t>COVID-19 VACCINE (2) (adenovirus viral vector) INJECTION PARENTERAL  1 {dose}</t>
        </is>
      </c>
      <c r="C3207" s="25">
        <f>IF(COUNTIF('کدهای پیام‌داروساز'!$A$2:$A$2442,A3207)&gt;0,"بله","خیر")</f>
        <v/>
      </c>
    </row>
    <row r="3208" ht="15" customHeight="1" s="14">
      <c r="A3208" s="24" t="n">
        <v>52780</v>
      </c>
      <c r="B3208" s="24" t="inlineStr">
        <is>
          <t>HEPARIN SODIUM INJECTION PARENTERAL 1000 [iU]/1mL 2 mL</t>
        </is>
      </c>
      <c r="C3208" s="25">
        <f>IF(COUNTIF('کدهای پیام‌داروساز'!$A$2:$A$2442,A3208)&gt;0,"بله","خیر")</f>
        <v/>
      </c>
    </row>
    <row r="3209" ht="15" customHeight="1" s="14">
      <c r="A3209" s="24" t="n">
        <v>52781</v>
      </c>
      <c r="B3209" s="24" t="inlineStr">
        <is>
          <t>BIMATOPROST SOLUTION, DROPS OPHTHALMIC 0.01 % 0.5 mL</t>
        </is>
      </c>
      <c r="C3209" s="25">
        <f>IF(COUNTIF('کدهای پیام‌داروساز'!$A$2:$A$2442,A3209)&gt;0,"بله","خیر")</f>
        <v/>
      </c>
    </row>
    <row r="3210" ht="15" customHeight="1" s="14">
      <c r="A3210" s="24" t="n">
        <v>52782</v>
      </c>
      <c r="B3210" s="24" t="inlineStr">
        <is>
          <t>BIMATOPROST SOLUTION, DROPS OPHTHALMIC 0.03 % 0.5 mL</t>
        </is>
      </c>
      <c r="C3210" s="25">
        <f>IF(COUNTIF('کدهای پیام‌داروساز'!$A$2:$A$2442,A3210)&gt;0,"بله","خیر")</f>
        <v/>
      </c>
    </row>
    <row r="3211" ht="15" customHeight="1" s="14">
      <c r="A3211" s="24" t="n">
        <v>52784</v>
      </c>
      <c r="B3211" s="24" t="inlineStr">
        <is>
          <t>NIRAPARIB CAPSULE ORAL 100 mg</t>
        </is>
      </c>
      <c r="C3211" s="25">
        <f>IF(COUNTIF('کدهای پیام‌داروساز'!$A$2:$A$2442,A3211)&gt;0,"بله","خیر")</f>
        <v/>
      </c>
    </row>
    <row r="3212" ht="15" customHeight="1" s="14">
      <c r="A3212" s="24" t="n">
        <v>52786</v>
      </c>
      <c r="B3212" s="24" t="inlineStr">
        <is>
          <t>GENTIAN VIOLET SOLUTION TOPICAL 1 % 60 mL</t>
        </is>
      </c>
      <c r="C3212" s="25">
        <f>IF(COUNTIF('کدهای پیام‌داروساز'!$A$2:$A$2442,A3212)&gt;0,"بله","خیر")</f>
        <v/>
      </c>
    </row>
    <row r="3213" ht="15" customHeight="1" s="14">
      <c r="A3213" s="24" t="n">
        <v>52788</v>
      </c>
      <c r="B3213" s="24" t="inlineStr">
        <is>
          <t>METHADONE HYDROCHLORIDE SOLUTION ORAL 25 mg/5 mL 1000 mL</t>
        </is>
      </c>
      <c r="C3213" s="25">
        <f>IF(COUNTIF('کدهای پیام‌داروساز'!$A$2:$A$2442,A3213)&gt;0,"بله","خیر")</f>
        <v/>
      </c>
    </row>
    <row r="3214" ht="15" customHeight="1" s="14">
      <c r="A3214" s="24" t="n">
        <v>52789</v>
      </c>
      <c r="B3214" s="24" t="inlineStr">
        <is>
          <t>KETOCONAZOLE LOTION TOPICAL 2 % 30 mL</t>
        </is>
      </c>
      <c r="C3214" s="25">
        <f>IF(COUNTIF('کدهای پیام‌داروساز'!$A$2:$A$2442,A3214)&gt;0,"بله","خیر")</f>
        <v/>
      </c>
    </row>
    <row r="3215" ht="15" customHeight="1" s="14">
      <c r="A3215" s="24" t="n">
        <v>52790</v>
      </c>
      <c r="B3215" s="24" t="inlineStr">
        <is>
          <t>SALICYLIC ACID COMPOUND SOLUTION TOPICAL 16.7 %/16.7 % 10 mL</t>
        </is>
      </c>
      <c r="C3215" s="25">
        <f>IF(COUNTIF('کدهای پیام‌داروساز'!$A$2:$A$2442,A3215)&gt;0,"بله","خیر")</f>
        <v/>
      </c>
    </row>
    <row r="3216" ht="15" customHeight="1" s="14">
      <c r="A3216" s="24" t="n">
        <v>52791</v>
      </c>
      <c r="B3216" s="24" t="inlineStr">
        <is>
          <t>CYTARABINE INJECTION, SOLUTION PARENTERAL 100 mg/1mL 1 mL</t>
        </is>
      </c>
      <c r="C3216" s="25">
        <f>IF(COUNTIF('کدهای پیام‌داروساز'!$A$2:$A$2442,A3216)&gt;0,"بله","خیر")</f>
        <v/>
      </c>
    </row>
    <row r="3217" ht="15" customHeight="1" s="14">
      <c r="A3217" s="24" t="n">
        <v>52792</v>
      </c>
      <c r="B3217" s="24" t="inlineStr">
        <is>
          <t>ACETAMINOPHEN SUSPENSION ORAL 160 mg/5mL 60 mL</t>
        </is>
      </c>
      <c r="C3217" s="25">
        <f>IF(COUNTIF('کدهای پیام‌داروساز'!$A$2:$A$2442,A3217)&gt;0,"بله","خیر")</f>
        <v/>
      </c>
    </row>
    <row r="3218" ht="15" customHeight="1" s="14">
      <c r="A3218" s="24" t="n">
        <v>52793</v>
      </c>
      <c r="B3218" s="24" t="inlineStr">
        <is>
          <t>SODIUM CHLORIDE INJECTION, SOLUTION INTRAVENOUS 20 % 50 mL</t>
        </is>
      </c>
      <c r="C3218" s="25">
        <f>IF(COUNTIF('کدهای پیام‌داروساز'!$A$2:$A$2442,A3218)&gt;0,"بله","خیر")</f>
        <v/>
      </c>
    </row>
    <row r="3219" ht="15" customHeight="1" s="14">
      <c r="A3219" s="24" t="n">
        <v>52794</v>
      </c>
      <c r="B3219" s="24" t="inlineStr">
        <is>
          <t>TETRACAINE HYDROCHLORIDE SOLUTION, DROPS OPHTHALMIC 0.5 % 5 mL</t>
        </is>
      </c>
      <c r="C3219" s="25">
        <f>IF(COUNTIF('کدهای پیام‌داروساز'!$A$2:$A$2442,A3219)&gt;0,"بله","خیر")</f>
        <v/>
      </c>
    </row>
    <row r="3220" ht="15" customHeight="1" s="14">
      <c r="A3220" s="24" t="n">
        <v>52795</v>
      </c>
      <c r="B3220" s="24" t="inlineStr">
        <is>
          <t>TETRACAINE HYDROCHLORIDE SOLUTION, DROPS OPHTHALMIC 0.5 % 0.5 mL</t>
        </is>
      </c>
      <c r="C3220" s="25">
        <f>IF(COUNTIF('کدهای پیام‌داروساز'!$A$2:$A$2442,A3220)&gt;0,"بله","خیر")</f>
        <v/>
      </c>
    </row>
    <row r="3221" ht="15" customHeight="1" s="14">
      <c r="A3221" s="24" t="n">
        <v>52796</v>
      </c>
      <c r="B3221" s="24" t="inlineStr">
        <is>
          <t>COVID-19 VACCINE, CONJUGATE INJECTION PARENTERAL  1 {dose}</t>
        </is>
      </c>
      <c r="C3221" s="25">
        <f>IF(COUNTIF('کدهای پیام‌داروساز'!$A$2:$A$2442,A3221)&gt;0,"بله","خیر")</f>
        <v/>
      </c>
    </row>
    <row r="3222" ht="15" customHeight="1" s="14">
      <c r="A3222" s="24" t="n">
        <v>52797</v>
      </c>
      <c r="B3222" s="24" t="inlineStr">
        <is>
          <t>ACETYLCYSTEINE GRANULE ORAL 100 mg</t>
        </is>
      </c>
      <c r="C3222" s="25">
        <f>IF(COUNTIF('کدهای پیام‌داروساز'!$A$2:$A$2442,A3222)&gt;0,"بله","خیر")</f>
        <v/>
      </c>
    </row>
    <row r="3223" ht="15" customHeight="1" s="14">
      <c r="A3223" s="24" t="n">
        <v>52798</v>
      </c>
      <c r="B3223" s="24" t="inlineStr">
        <is>
          <t>ACETYLCYSTEINE GRANULE ORAL 200 mg</t>
        </is>
      </c>
      <c r="C3223" s="25">
        <f>IF(COUNTIF('کدهای پیام‌داروساز'!$A$2:$A$2442,A3223)&gt;0,"بله","خیر")</f>
        <v/>
      </c>
    </row>
    <row r="3224" ht="15" customHeight="1" s="14">
      <c r="A3224" s="24" t="n">
        <v>52800</v>
      </c>
      <c r="B3224" s="24" t="inlineStr">
        <is>
          <t>COVID-19 VACCINE, WHOLE VIRION, INACTIVATED, VERO CELL-DERIVED INJECTION PARENTERAL  1 {dose}</t>
        </is>
      </c>
      <c r="C3224" s="25">
        <f>IF(COUNTIF('کدهای پیام‌داروساز'!$A$2:$A$2442,A3224)&gt;0,"بله","خیر")</f>
        <v/>
      </c>
    </row>
    <row r="3225" ht="15" customHeight="1" s="14">
      <c r="A3225" s="24" t="n">
        <v>52801</v>
      </c>
      <c r="B3225" s="24" t="inlineStr">
        <is>
          <t>CIPROFLOXACIN (AS LACTATE) INJECTION, SOLUTION INTRAVENOUS 2 mg/1mL 200 mL</t>
        </is>
      </c>
      <c r="C3225" s="25">
        <f>IF(COUNTIF('کدهای پیام‌داروساز'!$A$2:$A$2442,A3225)&gt;0,"بله","خیر")</f>
        <v/>
      </c>
    </row>
    <row r="3226" ht="15" customHeight="1" s="14">
      <c r="A3226" s="24" t="n">
        <v>52802</v>
      </c>
      <c r="B3226" s="24" t="inlineStr">
        <is>
          <t>CO-AMOXICLAV TABLET ORAL 875 mg/125 mg</t>
        </is>
      </c>
      <c r="C3226" s="25">
        <f>IF(COUNTIF('کدهای پیام‌داروساز'!$A$2:$A$2442,A3226)&gt;0,"بله","خیر")</f>
        <v/>
      </c>
    </row>
    <row r="3227" ht="15" customHeight="1" s="14">
      <c r="A3227" s="24" t="n">
        <v>52803</v>
      </c>
      <c r="B3227" s="24" t="inlineStr">
        <is>
          <t>COVID-19 VACCINE, WHOLE VIRION, INACTIVATED, VERO CELL-DERIVED INJECTION PARENTERAL  10 {dose}</t>
        </is>
      </c>
      <c r="C3227" s="25">
        <f>IF(COUNTIF('کدهای پیام‌داروساز'!$A$2:$A$2442,A3227)&gt;0,"بله","خیر")</f>
        <v/>
      </c>
    </row>
    <row r="3228" ht="15" customHeight="1" s="14">
      <c r="A3228" s="24" t="n">
        <v>52804</v>
      </c>
      <c r="B3228" s="24" t="inlineStr">
        <is>
          <t>COVID-19 VACCINE, CONJUGATE INJECTION PARENTERAL  10 {dose}</t>
        </is>
      </c>
      <c r="C3228" s="25">
        <f>IF(COUNTIF('کدهای پیام‌داروساز'!$A$2:$A$2442,A3228)&gt;0,"بله","خیر")</f>
        <v/>
      </c>
    </row>
    <row r="3229" ht="15" customHeight="1" s="14">
      <c r="A3229" s="24" t="n">
        <v>52806</v>
      </c>
      <c r="B3229" s="24" t="inlineStr">
        <is>
          <t>OSELTAMIVIR (AS PHOSPHATE) POWDER, FOR SOLUTION ORAL 30 mg/5mL 60 mL</t>
        </is>
      </c>
      <c r="C3229" s="25">
        <f>IF(COUNTIF('کدهای پیام‌داروساز'!$A$2:$A$2442,A3229)&gt;0,"بله","خیر")</f>
        <v/>
      </c>
    </row>
    <row r="3230" ht="15" customHeight="1" s="14">
      <c r="A3230" s="24" t="n">
        <v>52807</v>
      </c>
      <c r="B3230" s="24" t="inlineStr">
        <is>
          <t>ADULT COLD PREPARATIONS (1-5) TABLET ORAL 500 mg/10 mg</t>
        </is>
      </c>
      <c r="C3230" s="25">
        <f>IF(COUNTIF('کدهای پیام‌داروساز'!$A$2:$A$2442,A3230)&gt;0,"بله","خیر")</f>
        <v/>
      </c>
    </row>
    <row r="3231" ht="15" customHeight="1" s="14">
      <c r="A3231" s="24" t="n">
        <v>52811</v>
      </c>
      <c r="B3231" s="24" t="inlineStr">
        <is>
          <t>CYPROHEPTADINE HYDROCHLORIDE SOLUTION ORAL 2 mg/5mL 150 mL</t>
        </is>
      </c>
      <c r="C3231" s="25">
        <f>IF(COUNTIF('کدهای پیام‌داروساز'!$A$2:$A$2442,A3231)&gt;0,"بله","خیر")</f>
        <v/>
      </c>
    </row>
    <row r="3232" ht="15" customHeight="1" s="14">
      <c r="A3232" s="24" t="n">
        <v>52812</v>
      </c>
      <c r="B3232" s="24" t="inlineStr">
        <is>
          <t>CYPROHEPTADINE HYDROCHLORIDE SOLUTION ORAL 2 mg/5mL 120 mL</t>
        </is>
      </c>
      <c r="C3232" s="25">
        <f>IF(COUNTIF('کدهای پیام‌داروساز'!$A$2:$A$2442,A3232)&gt;0,"بله","خیر")</f>
        <v/>
      </c>
    </row>
    <row r="3233" ht="15" customHeight="1" s="14">
      <c r="A3233" s="24" t="n">
        <v>52813</v>
      </c>
      <c r="B3233" s="24" t="inlineStr">
        <is>
          <t>CYPROHEPTADINE HYDROCHLORIDE SOLUTION ORAL 2 mg/5mL 200 mL</t>
        </is>
      </c>
      <c r="C3233" s="25">
        <f>IF(COUNTIF('کدهای پیام‌داروساز'!$A$2:$A$2442,A3233)&gt;0,"بله","خیر")</f>
        <v/>
      </c>
    </row>
    <row r="3234" ht="15" customHeight="1" s="14">
      <c r="A3234" s="24" t="n">
        <v>52814</v>
      </c>
      <c r="B3234" s="24" t="inlineStr">
        <is>
          <t>COVID-19 VACCINE, RECOMBINANT (Non-replicating adenovirus vector) INJECTION, SOLUTION INTRAMUSCULAR  10 {dose}</t>
        </is>
      </c>
      <c r="C3234" s="25">
        <f>IF(COUNTIF('کدهای پیام‌داروساز'!$A$2:$A$2442,A3234)&gt;0,"بله","خیر")</f>
        <v/>
      </c>
    </row>
    <row r="3235" ht="15" customHeight="1" s="14">
      <c r="A3235" s="24" t="n">
        <v>52815</v>
      </c>
      <c r="B3235" s="24" t="inlineStr">
        <is>
          <t>CLOTRIMAZOLE / HYDROCORTISONE (AS ACETATE) CREAM TOPICAL 1 %/1 % 30 g</t>
        </is>
      </c>
      <c r="C3235" s="25">
        <f>IF(COUNTIF('کدهای پیام‌داروساز'!$A$2:$A$2442,A3235)&gt;0,"بله","خیر")</f>
        <v/>
      </c>
    </row>
    <row r="3236" ht="15" customHeight="1" s="14">
      <c r="A3236" s="24" t="n">
        <v>52816</v>
      </c>
      <c r="B3236" s="24" t="inlineStr">
        <is>
          <t>ACETAMINOPHEN CAPSULE, LIQUID FILLED ORAL 500 mg</t>
        </is>
      </c>
      <c r="C3236" s="25">
        <f>IF(COUNTIF('کدهای پیام‌داروساز'!$A$2:$A$2442,A3236)&gt;0,"بله","خیر")</f>
        <v/>
      </c>
    </row>
    <row r="3237" ht="15" customHeight="1" s="14">
      <c r="A3237" s="24" t="n">
        <v>52817</v>
      </c>
      <c r="B3237" s="24" t="inlineStr">
        <is>
          <t>MINOXIDIL SOLUTION TOPICAL 20 mg/1mL 50 mL</t>
        </is>
      </c>
      <c r="C3237" s="25">
        <f>IF(COUNTIF('کدهای پیام‌داروساز'!$A$2:$A$2442,A3237)&gt;0,"بله","خیر")</f>
        <v/>
      </c>
    </row>
    <row r="3238" ht="15" customHeight="1" s="14">
      <c r="A3238" s="24" t="n">
        <v>52818</v>
      </c>
      <c r="B3238" s="24" t="inlineStr">
        <is>
          <t>MINOXIDIL SOLUTION TOPICAL 50 mg/1mL 50 mL</t>
        </is>
      </c>
      <c r="C3238" s="25">
        <f>IF(COUNTIF('کدهای پیام‌داروساز'!$A$2:$A$2442,A3238)&gt;0,"بله","خیر")</f>
        <v/>
      </c>
    </row>
    <row r="3239" ht="15" customHeight="1" s="14">
      <c r="A3239" s="24" t="n">
        <v>52819</v>
      </c>
      <c r="B3239" s="24" t="inlineStr">
        <is>
          <t>AZELASTINE HYDROCHLORIDE SPRAY, METERED NASAL 137 ug/1{Puff} 20 mL</t>
        </is>
      </c>
      <c r="C3239" s="25">
        <f>IF(COUNTIF('کدهای پیام‌داروساز'!$A$2:$A$2442,A3239)&gt;0,"بله","خیر")</f>
        <v/>
      </c>
    </row>
    <row r="3240" ht="15" customHeight="1" s="14">
      <c r="A3240" s="24" t="n">
        <v>52820</v>
      </c>
      <c r="B3240" s="24" t="inlineStr">
        <is>
          <t>FLUOXETINE (AS HYDROCHLORIDE) CAPSULE, DELAYED RELEASE ORAL 90 mg</t>
        </is>
      </c>
      <c r="C3240" s="25">
        <f>IF(COUNTIF('کدهای پیام‌داروساز'!$A$2:$A$2442,A3240)&gt;0,"بله","خیر")</f>
        <v/>
      </c>
    </row>
    <row r="3241" ht="15" customHeight="1" s="14">
      <c r="A3241" s="24" t="n">
        <v>52821</v>
      </c>
      <c r="B3241" s="24" t="inlineStr">
        <is>
          <t>FLUTICASONE PROPIONATE POWDER, METERED RESPIRATORY 250 ug/1{dose} 60 {dose}</t>
        </is>
      </c>
      <c r="C3241" s="25">
        <f>IF(COUNTIF('کدهای پیام‌داروساز'!$A$2:$A$2442,A3241)&gt;0,"بله","خیر")</f>
        <v/>
      </c>
    </row>
    <row r="3242" ht="15" customHeight="1" s="14">
      <c r="A3242" s="24" t="n">
        <v>52823</v>
      </c>
      <c r="B3242" s="24" t="inlineStr">
        <is>
          <t>COVID-19 VACCINE, WHOLE VIRION, INACTIVATED, VERO CELL-DERIVED INJECTION PARENTERAL  2 {dose}</t>
        </is>
      </c>
      <c r="C3242" s="25">
        <f>IF(COUNTIF('کدهای پیام‌داروساز'!$A$2:$A$2442,A3242)&gt;0,"بله","خیر")</f>
        <v/>
      </c>
    </row>
    <row r="3243" ht="15" customHeight="1" s="14">
      <c r="A3243" s="24" t="n">
        <v>52824</v>
      </c>
      <c r="B3243" s="24" t="inlineStr">
        <is>
          <t>METHOTREXATE INJECTION, SOLUTION PARENTERAL 25 mg/1mL 2 mL</t>
        </is>
      </c>
      <c r="C3243" s="25">
        <f>IF(COUNTIF('کدهای پیام‌داروساز'!$A$2:$A$2442,A3243)&gt;0,"بله","خیر")</f>
        <v/>
      </c>
    </row>
    <row r="3244" ht="15" customHeight="1" s="14">
      <c r="A3244" s="24" t="n">
        <v>52826</v>
      </c>
      <c r="B3244" s="24" t="inlineStr">
        <is>
          <t>BETAMETHASONE (AS SODIUM PHOSPHATE) / NEOMYCIN SULFATE SOLUTION, DROPS OPHTHALMIC 0.1 %/0.5 % 5 mL</t>
        </is>
      </c>
      <c r="C3244" s="25">
        <f>IF(COUNTIF('کدهای پیام‌داروساز'!$A$2:$A$2442,A3244)&gt;0,"بله","خیر")</f>
        <v/>
      </c>
    </row>
    <row r="3245" ht="15" customHeight="1" s="14">
      <c r="A3245" s="24" t="n">
        <v>52827</v>
      </c>
      <c r="B3245" s="24" t="inlineStr">
        <is>
          <t>BETAMETHASONE (AS VALERATE) / NEOMYCIN SULFATE OINTMENT TOPICAL 0.1 %/0.5 % 15 g</t>
        </is>
      </c>
      <c r="C3245" s="25">
        <f>IF(COUNTIF('کدهای پیام‌داروساز'!$A$2:$A$2442,A3245)&gt;0,"بله","خیر")</f>
        <v/>
      </c>
    </row>
    <row r="3246" ht="15" customHeight="1" s="14">
      <c r="A3246" s="24" t="n">
        <v>52828</v>
      </c>
      <c r="B3246" s="24" t="inlineStr">
        <is>
          <t>DINUTUXIMAB INJECTION, SOLUTION, CONCENTRATE INTRAVENOUS 4.5 mg/1mL 4.5 mL</t>
        </is>
      </c>
      <c r="C3246" s="25">
        <f>IF(COUNTIF('کدهای پیام‌داروساز'!$A$2:$A$2442,A3246)&gt;0,"بله","خیر")</f>
        <v/>
      </c>
    </row>
    <row r="3247" ht="15" customHeight="1" s="14">
      <c r="A3247" s="24" t="n">
        <v>52829</v>
      </c>
      <c r="B3247" s="24" t="inlineStr">
        <is>
          <t>AMLODIPINE (AS BESILATE) / BISOPROLOL FUMARATE TABLET ORAL 5 mg/5 mg</t>
        </is>
      </c>
      <c r="C3247" s="25">
        <f>IF(COUNTIF('کدهای پیام‌داروساز'!$A$2:$A$2442,A3247)&gt;0,"بله","خیر")</f>
        <v/>
      </c>
    </row>
    <row r="3248" ht="15" customHeight="1" s="14">
      <c r="A3248" s="24" t="n">
        <v>52830</v>
      </c>
      <c r="B3248" s="24" t="inlineStr">
        <is>
          <t>AMLODIPINE (AS BESILATE) / BISOPROLOL FUMARATE TABLET ORAL 5 mg/10 mg</t>
        </is>
      </c>
      <c r="C3248" s="25">
        <f>IF(COUNTIF('کدهای پیام‌داروساز'!$A$2:$A$2442,A3248)&gt;0,"بله","خیر")</f>
        <v/>
      </c>
    </row>
    <row r="3249" ht="15" customHeight="1" s="14">
      <c r="A3249" s="24" t="n">
        <v>52831</v>
      </c>
      <c r="B3249" s="24" t="inlineStr">
        <is>
          <t>AMLODIPINE (AS BESILATE) / BISOPROLOL FUMARATE TABLET ORAL 10 mg/5 mg</t>
        </is>
      </c>
      <c r="C3249" s="25">
        <f>IF(COUNTIF('کدهای پیام‌داروساز'!$A$2:$A$2442,A3249)&gt;0,"بله","خیر")</f>
        <v/>
      </c>
    </row>
    <row r="3250" ht="15" customHeight="1" s="14">
      <c r="A3250" s="24" t="n">
        <v>52832</v>
      </c>
      <c r="B3250" s="24" t="inlineStr">
        <is>
          <t>AMLODIPINE (AS BESILATE) / BISOPROLOL FUMARATE TABLET ORAL 10 mg/10 mg</t>
        </is>
      </c>
      <c r="C3250" s="25">
        <f>IF(COUNTIF('کدهای پیام‌داروساز'!$A$2:$A$2442,A3250)&gt;0,"بله","خیر")</f>
        <v/>
      </c>
    </row>
    <row r="3251" ht="15" customHeight="1" s="14">
      <c r="A3251" s="24" t="n">
        <v>52833</v>
      </c>
      <c r="B3251" s="24" t="inlineStr">
        <is>
          <t>METHADONE HYDROCHLORIDE SOLUTION ORAL 25 mg/5 mL 15 mL</t>
        </is>
      </c>
      <c r="C3251" s="25">
        <f>IF(COUNTIF('کدهای پیام‌داروساز'!$A$2:$A$2442,A3251)&gt;0,"بله","خیر")</f>
        <v/>
      </c>
    </row>
    <row r="3252" ht="15" customHeight="1" s="14">
      <c r="A3252" s="24" t="n">
        <v>52834</v>
      </c>
      <c r="B3252" s="24" t="inlineStr">
        <is>
          <t>METHADONE HYDROCHLORIDE SOLUTION ORAL 25 mg/5 mL 30 mL</t>
        </is>
      </c>
      <c r="C3252" s="25">
        <f>IF(COUNTIF('کدهای پیام‌داروساز'!$A$2:$A$2442,A3252)&gt;0,"بله","خیر")</f>
        <v/>
      </c>
    </row>
    <row r="3253" ht="15" customHeight="1" s="14">
      <c r="A3253" s="24" t="n">
        <v>52835</v>
      </c>
      <c r="B3253" s="24" t="inlineStr">
        <is>
          <t>ATEZOLIZUMAB INJECTION, SOLUTION, CONCENTRATE INTRAVENOUS 60 mg/1mL 20 mL</t>
        </is>
      </c>
      <c r="C3253" s="25">
        <f>IF(COUNTIF('کدهای پیام‌داروساز'!$A$2:$A$2442,A3253)&gt;0,"بله","خیر")</f>
        <v/>
      </c>
    </row>
    <row r="3254" ht="15" customHeight="1" s="14">
      <c r="A3254" s="24" t="n">
        <v>52837</v>
      </c>
      <c r="B3254" s="24" t="inlineStr">
        <is>
          <t>PROPRANOLOL HYDROCHLORIDE SYRUP ORAL 4.28 mg/1mL 120 mL</t>
        </is>
      </c>
      <c r="C3254" s="25">
        <f>IF(COUNTIF('کدهای پیام‌داروساز'!$A$2:$A$2442,A3254)&gt;0,"بله","خیر")</f>
        <v/>
      </c>
    </row>
    <row r="3255" ht="15" customHeight="1" s="14">
      <c r="A3255" s="24" t="n">
        <v>52838</v>
      </c>
      <c r="B3255" s="24" t="inlineStr">
        <is>
          <t>MITOMYCIN INJECTION, POWDER, FOR SOLUTION INTRACAVITARY 20 mg</t>
        </is>
      </c>
      <c r="C3255" s="25">
        <f>IF(COUNTIF('کدهای پیام‌داروساز'!$A$2:$A$2442,A3255)&gt;0,"بله","خیر")</f>
        <v/>
      </c>
    </row>
    <row r="3256" ht="15" customHeight="1" s="14">
      <c r="A3256" s="24" t="n">
        <v>52839</v>
      </c>
      <c r="B3256" s="24" t="inlineStr">
        <is>
          <t>EMPAGLIFLOZIN / LINAGLIPTIN / METFORMIN HYDROCHLORIDE TABLET, EXTENDED RELEASE ORAL 5 mg/2.5 mg/1000 mg</t>
        </is>
      </c>
      <c r="C3256" s="25">
        <f>IF(COUNTIF('کدهای پیام‌داروساز'!$A$2:$A$2442,A3256)&gt;0,"بله","خیر")</f>
        <v/>
      </c>
    </row>
    <row r="3257" ht="15" customHeight="1" s="14">
      <c r="A3257" s="24" t="n">
        <v>52840</v>
      </c>
      <c r="B3257" s="24" t="inlineStr">
        <is>
          <t>EMPAGLIFLOZIN / LINAGLIPTIN / METFORMIN HYDROCHLORIDE TABLET, EXTENDED RELEASE ORAL 10 mg/5 mg/1000 mg</t>
        </is>
      </c>
      <c r="C3257" s="25">
        <f>IF(COUNTIF('کدهای پیام‌داروساز'!$A$2:$A$2442,A3257)&gt;0,"بله","خیر")</f>
        <v/>
      </c>
    </row>
    <row r="3258" ht="15" customHeight="1" s="14">
      <c r="A3258" s="24" t="n">
        <v>52841</v>
      </c>
      <c r="B3258" s="24" t="inlineStr">
        <is>
          <t>EMPAGLIFLOZIN / LINAGLIPTIN / METFORMIN HYDROCHLORIDE TABLET, EXTENDED RELEASE ORAL 12.5 mg/2.5 mg/1000 mg</t>
        </is>
      </c>
      <c r="C3258" s="25">
        <f>IF(COUNTIF('کدهای پیام‌داروساز'!$A$2:$A$2442,A3258)&gt;0,"بله","خیر")</f>
        <v/>
      </c>
    </row>
    <row r="3259" ht="15" customHeight="1" s="14">
      <c r="A3259" s="24" t="n">
        <v>52842</v>
      </c>
      <c r="B3259" s="24" t="inlineStr">
        <is>
          <t>EMPAGLIFLOZIN / LINAGLIPTIN / METFORMIN HYDROCHLORIDE TABLET, EXTENDED RELEASE ORAL 25 mg/5 mg/1000 mg</t>
        </is>
      </c>
      <c r="C3259" s="25">
        <f>IF(COUNTIF('کدهای پیام‌داروساز'!$A$2:$A$2442,A3259)&gt;0,"بله","خیر")</f>
        <v/>
      </c>
    </row>
    <row r="3260" ht="15" customHeight="1" s="14">
      <c r="A3260" s="24" t="n">
        <v>52843</v>
      </c>
      <c r="B3260" s="24" t="inlineStr">
        <is>
          <t>TRAMADOL HYDROCHLORIDE TABLET, EXTENDED RELEASE ORAL 200 mg</t>
        </is>
      </c>
      <c r="C3260" s="25">
        <f>IF(COUNTIF('کدهای پیام‌داروساز'!$A$2:$A$2442,A3260)&gt;0,"بله","خیر")</f>
        <v/>
      </c>
    </row>
    <row r="3261" ht="15" customHeight="1" s="14">
      <c r="A3261" s="24" t="n">
        <v>52844</v>
      </c>
      <c r="B3261" s="24" t="inlineStr">
        <is>
          <t>BARICITINIB TABLET ORAL 2 mg</t>
        </is>
      </c>
      <c r="C3261" s="25">
        <f>IF(COUNTIF('کدهای پیام‌داروساز'!$A$2:$A$2442,A3261)&gt;0,"بله","خیر")</f>
        <v/>
      </c>
    </row>
    <row r="3262" ht="15" customHeight="1" s="14">
      <c r="A3262" s="24" t="n">
        <v>52845</v>
      </c>
      <c r="B3262" s="24" t="inlineStr">
        <is>
          <t>BARICITINIB TABLET ORAL 4 mg</t>
        </is>
      </c>
      <c r="C3262" s="25">
        <f>IF(COUNTIF('کدهای پیام‌داروساز'!$A$2:$A$2442,A3262)&gt;0,"بله","خیر")</f>
        <v/>
      </c>
    </row>
    <row r="3263" ht="15" customHeight="1" s="14">
      <c r="A3263" s="24" t="n">
        <v>52846</v>
      </c>
      <c r="B3263" s="24" t="inlineStr">
        <is>
          <t>SELENIUM SULFIDE SHAMPOO TOPICAL 2.5 % 140 mL</t>
        </is>
      </c>
      <c r="C3263" s="25">
        <f>IF(COUNTIF('کدهای پیام‌داروساز'!$A$2:$A$2442,A3263)&gt;0,"بله","خیر")</f>
        <v/>
      </c>
    </row>
    <row r="3264" ht="15" customHeight="1" s="14">
      <c r="A3264" s="24" t="n">
        <v>52847</v>
      </c>
      <c r="B3264" s="24" t="inlineStr">
        <is>
          <t>CABOZANTINIB (AS (S)-MALATE) TABLET ORAL 60 mg</t>
        </is>
      </c>
      <c r="C3264" s="25">
        <f>IF(COUNTIF('کدهای پیام‌داروساز'!$A$2:$A$2442,A3264)&gt;0,"بله","خیر")</f>
        <v/>
      </c>
    </row>
    <row r="3265" ht="15" customHeight="1" s="14">
      <c r="A3265" s="24" t="n">
        <v>52848</v>
      </c>
      <c r="B3265" s="24" t="inlineStr">
        <is>
          <t>POMALIDOMIDE CAPSULE ORAL 4 mg</t>
        </is>
      </c>
      <c r="C3265" s="25">
        <f>IF(COUNTIF('کدهای پیام‌داروساز'!$A$2:$A$2442,A3265)&gt;0,"بله","خیر")</f>
        <v/>
      </c>
    </row>
    <row r="3266" ht="15" customHeight="1" s="14">
      <c r="A3266" s="24" t="n">
        <v>52849</v>
      </c>
      <c r="B3266" s="24" t="inlineStr">
        <is>
          <t>COVID-19 VACCINE (1) (adenovirus viral vector) INJECTION PARENTERAL  2 {dose}</t>
        </is>
      </c>
      <c r="C3266" s="25">
        <f>IF(COUNTIF('کدهای پیام‌داروساز'!$A$2:$A$2442,A3266)&gt;0,"بله","خیر")</f>
        <v/>
      </c>
    </row>
    <row r="3267" ht="15" customHeight="1" s="14">
      <c r="A3267" s="24" t="n">
        <v>52850</v>
      </c>
      <c r="B3267" s="24" t="inlineStr">
        <is>
          <t>COVID-19 VACCINE (2) (adenovirus viral vector) INJECTION PARENTERAL  2 {dose}</t>
        </is>
      </c>
      <c r="C3267" s="25">
        <f>IF(COUNTIF('کدهای پیام‌داروساز'!$A$2:$A$2442,A3267)&gt;0,"بله","خیر")</f>
        <v/>
      </c>
    </row>
    <row r="3268" ht="15" customHeight="1" s="14">
      <c r="A3268" s="24" t="n">
        <v>52851</v>
      </c>
      <c r="B3268" s="24" t="inlineStr">
        <is>
          <t>PIRFENIDONE TABLET ORAL 801 mg</t>
        </is>
      </c>
      <c r="C3268" s="25">
        <f>IF(COUNTIF('کدهای پیام‌داروساز'!$A$2:$A$2442,A3268)&gt;0,"بله","خیر")</f>
        <v/>
      </c>
    </row>
    <row r="3269" ht="15" customHeight="1" s="14">
      <c r="A3269" s="24" t="n">
        <v>52853</v>
      </c>
      <c r="B3269" s="24" t="inlineStr">
        <is>
          <t>BUDESONIDE / FORMOTEROL FUMARATE CAPSULE RESPIRATORY 160 ug/4.5 ug</t>
        </is>
      </c>
      <c r="C3269" s="25">
        <f>IF(COUNTIF('کدهای پیام‌داروساز'!$A$2:$A$2442,A3269)&gt;0,"بله","خیر")</f>
        <v/>
      </c>
    </row>
    <row r="3270" ht="15" customHeight="1" s="14">
      <c r="A3270" s="24" t="n">
        <v>52854</v>
      </c>
      <c r="B3270" s="24" t="inlineStr">
        <is>
          <t>BUDESONIDE / FORMOTEROL FUMARATE CAPSULE RESPIRATORY 320 ug/9 ug</t>
        </is>
      </c>
      <c r="C3270" s="25">
        <f>IF(COUNTIF('کدهای پیام‌داروساز'!$A$2:$A$2442,A3270)&gt;0,"بله","خیر")</f>
        <v/>
      </c>
    </row>
    <row r="3271" ht="15" customHeight="1" s="14">
      <c r="A3271" s="24" t="n">
        <v>52855</v>
      </c>
      <c r="B3271" s="24" t="inlineStr">
        <is>
          <t>SOLIFENACIN SUCCINATE / TAMSULOSIN HYDROCHLORIDE TABLET, EXTENDED RELEASE ORAL 6 mg/0.4 mg</t>
        </is>
      </c>
      <c r="C3271" s="25">
        <f>IF(COUNTIF('کدهای پیام‌داروساز'!$A$2:$A$2442,A3271)&gt;0,"بله","خیر")</f>
        <v/>
      </c>
    </row>
    <row r="3272" ht="15" customHeight="1" s="14">
      <c r="A3272" s="24" t="n">
        <v>52856</v>
      </c>
      <c r="B3272" s="24" t="inlineStr">
        <is>
          <t>COVID-19 VACCINE, RECOMBINANT (Protein Subunit) EMULSION RESPIRATORY 10 ug/0.2mL 20 {dose}</t>
        </is>
      </c>
      <c r="C3272" s="25">
        <f>IF(COUNTIF('کدهای پیام‌داروساز'!$A$2:$A$2442,A3272)&gt;0,"بله","خیر")</f>
        <v/>
      </c>
    </row>
    <row r="3273" ht="15" customHeight="1" s="14">
      <c r="A3273" s="24" t="n">
        <v>52857</v>
      </c>
      <c r="B3273" s="24" t="inlineStr">
        <is>
          <t>COVID-19 VACCINE, RECOMBINANT (Protein Subunit) INJECTION, EMULSION INTRAMUSCULAR 10 ug/0.2mL 20 {dose}</t>
        </is>
      </c>
      <c r="C3273" s="25">
        <f>IF(COUNTIF('کدهای پیام‌داروساز'!$A$2:$A$2442,A3273)&gt;0,"بله","خیر")</f>
        <v/>
      </c>
    </row>
    <row r="3274" ht="15" customHeight="1" s="14">
      <c r="A3274" s="24" t="n">
        <v>52858</v>
      </c>
      <c r="B3274" s="24" t="inlineStr">
        <is>
          <t>AFLIBERCEPT INJECTION, SOLUTION, CONCENTRATE PARENTERAL 25 mg/1mL 8 mL</t>
        </is>
      </c>
      <c r="C3274" s="25">
        <f>IF(COUNTIF('کدهای پیام‌داروساز'!$A$2:$A$2442,A3274)&gt;0,"بله","خیر")</f>
        <v/>
      </c>
    </row>
    <row r="3275" ht="15" customHeight="1" s="14">
      <c r="A3275" s="24" t="n">
        <v>52859</v>
      </c>
      <c r="B3275" s="24" t="inlineStr">
        <is>
          <t>FAMOTIDINE INJECTION, SOLUTION PARENTERAL 10 mg/1mL 2 mL</t>
        </is>
      </c>
      <c r="C3275" s="25">
        <f>IF(COUNTIF('کدهای پیام‌داروساز'!$A$2:$A$2442,A3275)&gt;0,"بله","خیر")</f>
        <v/>
      </c>
    </row>
    <row r="3276" ht="15" customHeight="1" s="14">
      <c r="A3276" s="24" t="n">
        <v>52860</v>
      </c>
      <c r="B3276" s="24" t="inlineStr">
        <is>
          <t>CLOTRIMAZOLE / HYDROCORTISONE (AS ACETATE) CREAM TOPICAL 1 %/1 % 15 g</t>
        </is>
      </c>
      <c r="C3276" s="25">
        <f>IF(COUNTIF('کدهای پیام‌داروساز'!$A$2:$A$2442,A3276)&gt;0,"بله","خیر")</f>
        <v/>
      </c>
    </row>
    <row r="3277" ht="15" customHeight="1" s="14">
      <c r="A3277" s="24" t="n">
        <v>52861</v>
      </c>
      <c r="B3277" s="24" t="inlineStr">
        <is>
          <t>BUDESONIDE / FORMOTEROL FUMARATE CAPSULE RESPIRATORY 160 ug/9 ug</t>
        </is>
      </c>
      <c r="C3277" s="25">
        <f>IF(COUNTIF('کدهای پیام‌داروساز'!$A$2:$A$2442,A3277)&gt;0,"بله","خیر")</f>
        <v/>
      </c>
    </row>
    <row r="3278" ht="15" customHeight="1" s="14">
      <c r="A3278" s="24" t="n">
        <v>52862</v>
      </c>
      <c r="B3278" s="24" t="inlineStr">
        <is>
          <t>DAPAGLIFLOZIN (AS PROPANEDIOL) / METFORMIN HYDROCHLORIDE TABLET, EXTENDED RELEASE ORAL 2.5 mg/1000 mg</t>
        </is>
      </c>
      <c r="C3278" s="25">
        <f>IF(COUNTIF('کدهای پیام‌داروساز'!$A$2:$A$2442,A3278)&gt;0,"بله","خیر")</f>
        <v/>
      </c>
    </row>
    <row r="3279" ht="15" customHeight="1" s="14">
      <c r="A3279" s="24" t="n">
        <v>52863</v>
      </c>
      <c r="B3279" s="24" t="inlineStr">
        <is>
          <t>DAPAGLIFLOZIN (AS PROPANEDIOL) / METFORMIN HYDROCHLORIDE TABLET, EXTENDED RELEASE ORAL 5 mg/1000 mg</t>
        </is>
      </c>
      <c r="C3279" s="25">
        <f>IF(COUNTIF('کدهای پیام‌داروساز'!$A$2:$A$2442,A3279)&gt;0,"بله","خیر")</f>
        <v/>
      </c>
    </row>
    <row r="3280" ht="15" customHeight="1" s="14">
      <c r="A3280" s="24" t="n">
        <v>52864</v>
      </c>
      <c r="B3280" s="24" t="inlineStr">
        <is>
          <t>DAPAGLIFLOZIN (AS PROPANEDIOL) / METFORMIN HYDROCHLORIDE TABLET, EXTENDED RELEASE ORAL 5 mg/500 mg</t>
        </is>
      </c>
      <c r="C3280" s="25">
        <f>IF(COUNTIF('کدهای پیام‌داروساز'!$A$2:$A$2442,A3280)&gt;0,"بله","خیر")</f>
        <v/>
      </c>
    </row>
    <row r="3281" ht="15" customHeight="1" s="14">
      <c r="A3281" s="24" t="n">
        <v>52865</v>
      </c>
      <c r="B3281" s="24" t="inlineStr">
        <is>
          <t>DAPAGLIFLOZIN (AS PROPANEDIOL) / METFORMIN HYDROCHLORIDE TABLET, EXTENDED RELEASE ORAL 10 mg/500 mg</t>
        </is>
      </c>
      <c r="C3281" s="25">
        <f>IF(COUNTIF('کدهای پیام‌داروساز'!$A$2:$A$2442,A3281)&gt;0,"بله","خیر")</f>
        <v/>
      </c>
    </row>
    <row r="3282" ht="15" customHeight="1" s="14">
      <c r="A3282" s="24" t="n">
        <v>52866</v>
      </c>
      <c r="B3282" s="24" t="inlineStr">
        <is>
          <t>DAPAGLIFLOZIN (AS PROPANEDIOL) / METFORMIN HYDROCHLORIDE TABLET, EXTENDED RELEASE ORAL 10 mg/1000 mg</t>
        </is>
      </c>
      <c r="C3282" s="25">
        <f>IF(COUNTIF('کدهای پیام‌داروساز'!$A$2:$A$2442,A3282)&gt;0,"بله","خیر")</f>
        <v/>
      </c>
    </row>
    <row r="3283" ht="15" customHeight="1" s="14">
      <c r="A3283" s="24" t="n">
        <v>52867</v>
      </c>
      <c r="B3283" s="24" t="inlineStr">
        <is>
          <t>DICLOFENAC SODIUM GEL TOPICAL 1 % 60 g</t>
        </is>
      </c>
      <c r="C3283" s="25">
        <f>IF(COUNTIF('کدهای پیام‌داروساز'!$A$2:$A$2442,A3283)&gt;0,"بله","خیر")</f>
        <v/>
      </c>
    </row>
    <row r="3284" ht="15" customHeight="1" s="14">
      <c r="A3284" s="24" t="n">
        <v>52870</v>
      </c>
      <c r="B3284" s="24" t="inlineStr">
        <is>
          <t>DEXAMETHASONE (AS DISODIUM PHOSPHATE) INJECTION PARENTERAL 4 mg/1mL 1 mL</t>
        </is>
      </c>
      <c r="C3284" s="25">
        <f>IF(COUNTIF('کدهای پیام‌داروساز'!$A$2:$A$2442,A3284)&gt;0,"بله","خیر")</f>
        <v/>
      </c>
    </row>
    <row r="3285" ht="15" customHeight="1" s="14">
      <c r="A3285" s="24" t="n">
        <v>52871</v>
      </c>
      <c r="B3285" s="24" t="inlineStr">
        <is>
          <t>ATORVASTATIN (AS CALCIUM) TABLET ORAL 80 mg</t>
        </is>
      </c>
      <c r="C3285" s="25">
        <f>IF(COUNTIF('کدهای پیام‌داروساز'!$A$2:$A$2442,A3285)&gt;0,"بله","خیر")</f>
        <v/>
      </c>
    </row>
    <row r="3286" ht="15" customHeight="1" s="14">
      <c r="A3286" s="24" t="n">
        <v>52872</v>
      </c>
      <c r="B3286" s="24" t="inlineStr">
        <is>
          <t>COVID-19 VACCINE, WHOLE VIRION, INACTIVATED, VERO CELL-DERIVED INJECTION PARENTERAL  5 {dose}</t>
        </is>
      </c>
      <c r="C3286" s="25">
        <f>IF(COUNTIF('کدهای پیام‌داروساز'!$A$2:$A$2442,A3286)&gt;0,"بله","خیر")</f>
        <v/>
      </c>
    </row>
    <row r="3287" ht="15" customHeight="1" s="14">
      <c r="A3287" s="24" t="n">
        <v>52873</v>
      </c>
      <c r="B3287" s="24" t="inlineStr">
        <is>
          <t>COVID-19 VACCINE, NON CONJUGATE, RECOMBINANT INJECTION INTRAMUSCULAR  1 {dose}</t>
        </is>
      </c>
      <c r="C3287" s="25">
        <f>IF(COUNTIF('کدهای پیام‌داروساز'!$A$2:$A$2442,A3287)&gt;0,"بله","خیر")</f>
        <v/>
      </c>
    </row>
    <row r="3288" ht="15" customHeight="1" s="14">
      <c r="A3288" s="24" t="n">
        <v>52874</v>
      </c>
      <c r="B3288" s="24" t="inlineStr">
        <is>
          <t>COVID-19 VACCINE, NON CONJUGATE, RECOMBINANT INJECTION INTRAMUSCULAR  10 {dose}</t>
        </is>
      </c>
      <c r="C3288" s="25">
        <f>IF(COUNTIF('کدهای پیام‌داروساز'!$A$2:$A$2442,A3288)&gt;0,"بله","خیر")</f>
        <v/>
      </c>
    </row>
    <row r="3289" ht="15" customHeight="1" s="14">
      <c r="A3289" s="24" t="n">
        <v>52875</v>
      </c>
      <c r="B3289" s="24" t="inlineStr">
        <is>
          <t>DARUNAVIR (AS ETHANOLATE) TABLET ORAL 800 mg</t>
        </is>
      </c>
      <c r="C3289" s="25">
        <f>IF(COUNTIF('کدهای پیام‌داروساز'!$A$2:$A$2442,A3289)&gt;0,"بله","خیر")</f>
        <v/>
      </c>
    </row>
    <row r="3290" ht="15" customHeight="1" s="14">
      <c r="A3290" s="24" t="n">
        <v>52876</v>
      </c>
      <c r="B3290" s="24" t="inlineStr">
        <is>
          <t>URSODEOXYCHOLIC ACID SUSPENSION ORAL 250 mg/5mL 250 mL</t>
        </is>
      </c>
      <c r="C3290" s="25">
        <f>IF(COUNTIF('کدهای پیام‌داروساز'!$A$2:$A$2442,A3290)&gt;0,"بله","خیر")</f>
        <v/>
      </c>
    </row>
    <row r="3291" ht="15" customHeight="1" s="14">
      <c r="A3291" s="24" t="n">
        <v>52877</v>
      </c>
      <c r="B3291" s="24" t="inlineStr">
        <is>
          <t>DEXTROMETHORPHAN / GUAIFENESIN / PHENYLEPHRINE SYRUP ORAL 10 mg/100 mg/5 mg/5mL 200 mL</t>
        </is>
      </c>
      <c r="C3291" s="25">
        <f>IF(COUNTIF('کدهای پیام‌داروساز'!$A$2:$A$2442,A3291)&gt;0,"بله","خیر")</f>
        <v/>
      </c>
    </row>
    <row r="3292" ht="15" customHeight="1" s="14">
      <c r="A3292" s="24" t="n">
        <v>52878</v>
      </c>
      <c r="B3292" s="24" t="inlineStr">
        <is>
          <t>COAGULATION FACTOR VIII (RECOMBINANT) INJECTION, POWDER, LYOPHILIZED, FOR SOLUTION PARENTERAL 250 [iU]</t>
        </is>
      </c>
      <c r="C3292" s="25">
        <f>IF(COUNTIF('کدهای پیام‌داروساز'!$A$2:$A$2442,A3292)&gt;0,"بله","خیر")</f>
        <v/>
      </c>
    </row>
    <row r="3293" ht="15" customHeight="1" s="14">
      <c r="A3293" s="24" t="n">
        <v>52879</v>
      </c>
      <c r="B3293" s="24" t="inlineStr">
        <is>
          <t>COAGULATION FACTOR VIII (RECOMBINANT) INJECTION, POWDER, LYOPHILIZED, FOR SOLUTION PARENTERAL 500 [iU]</t>
        </is>
      </c>
      <c r="C3293" s="25">
        <f>IF(COUNTIF('کدهای پیام‌داروساز'!$A$2:$A$2442,A3293)&gt;0,"بله","خیر")</f>
        <v/>
      </c>
    </row>
    <row r="3294" ht="15" customHeight="1" s="14">
      <c r="A3294" s="24" t="n">
        <v>52880</v>
      </c>
      <c r="B3294" s="24" t="inlineStr">
        <is>
          <t>COAGULATION FACTOR VIII (RECOMBINANT) INJECTION, POWDER, LYOPHILIZED, FOR SOLUTION PARENTERAL 1000 [iU]</t>
        </is>
      </c>
      <c r="C3294" s="25">
        <f>IF(COUNTIF('کدهای پیام‌داروساز'!$A$2:$A$2442,A3294)&gt;0,"بله","خیر")</f>
        <v/>
      </c>
    </row>
    <row r="3295" ht="15" customHeight="1" s="14">
      <c r="A3295" s="24" t="n">
        <v>52881</v>
      </c>
      <c r="B3295" s="24" t="inlineStr">
        <is>
          <t>ACICLOVIR CREAM TOPICAL 5 % 15 g</t>
        </is>
      </c>
      <c r="C3295" s="25">
        <f>IF(COUNTIF('کدهای پیام‌داروساز'!$A$2:$A$2442,A3295)&gt;0,"بله","خیر")</f>
        <v/>
      </c>
    </row>
    <row r="3296" ht="15" customHeight="1" s="14">
      <c r="A3296" s="24" t="n">
        <v>52882</v>
      </c>
      <c r="B3296" s="24" t="inlineStr">
        <is>
          <t>EXPECTORANT CODEINE SYRUP ORAL 100 mg/30 mg/10 mg/5 mL 120 mL</t>
        </is>
      </c>
      <c r="C3296" s="25">
        <f>IF(COUNTIF('کدهای پیام‌داروساز'!$A$2:$A$2442,A3296)&gt;0,"بله","خیر")</f>
        <v/>
      </c>
    </row>
    <row r="3297" ht="15" customHeight="1" s="14">
      <c r="A3297" s="24" t="n">
        <v>52883</v>
      </c>
      <c r="B3297" s="24" t="inlineStr">
        <is>
          <t>TEMSIROLIMUS INJECTION, SOLUTION, CONCENTRATE PARENTERAL 5 mg/1mL 1 mL</t>
        </is>
      </c>
      <c r="C3297" s="25">
        <f>IF(COUNTIF('کدهای پیام‌داروساز'!$A$2:$A$2442,A3297)&gt;0,"بله","خیر")</f>
        <v/>
      </c>
    </row>
    <row r="3298" ht="15" customHeight="1" s="14">
      <c r="A3298" s="24" t="n">
        <v>52884</v>
      </c>
      <c r="B3298" s="24" t="inlineStr">
        <is>
          <t>COVID-19 VACCINE, WHOLE VIRION, INACTIVATED, VERO CELL-DERIVED INJECTION PARENTERAL  20 {dose}</t>
        </is>
      </c>
      <c r="C3298" s="25">
        <f>IF(COUNTIF('کدهای پیام‌داروساز'!$A$2:$A$2442,A3298)&gt;0,"بله","خیر")</f>
        <v/>
      </c>
    </row>
    <row r="3299" ht="15" customHeight="1" s="14">
      <c r="A3299" s="24" t="n">
        <v>52885</v>
      </c>
      <c r="B3299" s="24" t="inlineStr">
        <is>
          <t>MESALAZINE TABLET, EXTENDED RELEASE ORAL 1600 mg</t>
        </is>
      </c>
      <c r="C3299" s="25">
        <f>IF(COUNTIF('کدهای پیام‌داروساز'!$A$2:$A$2442,A3299)&gt;0,"بله","خیر")</f>
        <v/>
      </c>
    </row>
    <row r="3300" ht="15" customHeight="1" s="14">
      <c r="A3300" s="24" t="n">
        <v>52888</v>
      </c>
      <c r="B3300" s="24" t="inlineStr">
        <is>
          <t>METFORMIN HYDROCHLORIDE TABLET ORAL 850 mg</t>
        </is>
      </c>
      <c r="C3300" s="25">
        <f>IF(COUNTIF('کدهای پیام‌داروساز'!$A$2:$A$2442,A3300)&gt;0,"بله","خیر")</f>
        <v/>
      </c>
    </row>
    <row r="3301" ht="15" customHeight="1" s="14">
      <c r="A3301" s="24" t="n">
        <v>52889</v>
      </c>
      <c r="B3301" s="24" t="inlineStr">
        <is>
          <t>TADALAFIL TABLET ORAL 2.5 mg</t>
        </is>
      </c>
      <c r="C3301" s="25">
        <f>IF(COUNTIF('کدهای پیام‌داروساز'!$A$2:$A$2442,A3301)&gt;0,"بله","خیر")</f>
        <v/>
      </c>
    </row>
    <row r="3302" ht="15" customHeight="1" s="14">
      <c r="A3302" s="24" t="n">
        <v>52892</v>
      </c>
      <c r="B3302" s="24" t="inlineStr">
        <is>
          <t>ALPRAZOLAM TABLET, EXTENDED RELEASE ORAL 2 mg</t>
        </is>
      </c>
      <c r="C3302" s="25">
        <f>IF(COUNTIF('کدهای پیام‌داروساز'!$A$2:$A$2442,A3302)&gt;0,"بله","خیر")</f>
        <v/>
      </c>
    </row>
    <row r="3303" ht="15" customHeight="1" s="14">
      <c r="A3303" s="24" t="n">
        <v>52893</v>
      </c>
      <c r="B3303" s="24" t="inlineStr">
        <is>
          <t>CARFILZOMIB INJECTION, POWDER, FOR SOLUTION PARENTERAL 30 mg</t>
        </is>
      </c>
      <c r="C3303" s="25">
        <f>IF(COUNTIF('کدهای پیام‌داروساز'!$A$2:$A$2442,A3303)&gt;0,"بله","خیر")</f>
        <v/>
      </c>
    </row>
    <row r="3304" ht="15" customHeight="1" s="14">
      <c r="A3304" s="24" t="n">
        <v>52895</v>
      </c>
      <c r="B3304" s="24" t="inlineStr">
        <is>
          <t>COVID-19 VACCINE, RECOMBINANT (Protein Subunit) INJECTION, EMULSION INTRAMUSCULAR 25 ug/0.5mL 16 {dose}</t>
        </is>
      </c>
      <c r="C3304" s="25">
        <f>IF(COUNTIF('کدهای پیام‌داروساز'!$A$2:$A$2442,A3304)&gt;0,"بله","خیر")</f>
        <v/>
      </c>
    </row>
    <row r="3305" ht="15" customHeight="1" s="14">
      <c r="A3305" s="24" t="n">
        <v>52896</v>
      </c>
      <c r="B3305" s="24" t="inlineStr">
        <is>
          <t>AMINO ACID 10% (3) INJECTION, SOLUTION INTRAVENOUS 5.8 mg/12 mg/16.925 mg/2 mg/3.5 mg/8.2 mg/3 mg/8.7 mg/8.2 mg/9.8 mg/6.2 mg/0.4 mg/5.305 mg/3 mg/7.6 mg/0.6 mg/3.155 mg/2.01 mg/1mL 250 mL</t>
        </is>
      </c>
      <c r="C3305" s="25">
        <f>IF(COUNTIF('کدهای پیام‌داروساز'!$A$2:$A$2442,A3305)&gt;0,"بله","خیر")</f>
        <v/>
      </c>
    </row>
    <row r="3306" ht="15" customHeight="1" s="14">
      <c r="A3306" s="24" t="n">
        <v>52897</v>
      </c>
      <c r="B3306" s="24" t="inlineStr">
        <is>
          <t>AMINO ACID 10% (3) INJECTION, SOLUTION INTRAVENOUS 5.8 mg/12 mg/16.925 mg/2 mg/3.5 mg/8.2 mg/3 mg/8.7 mg/8.2 mg/9.8 mg/6.2 mg/0.4 mg/5.305 mg/3 mg/7.6 mg/0.6 mg/3.155 mg/2.01 mg/1mL 500 mL</t>
        </is>
      </c>
      <c r="C3306" s="25">
        <f>IF(COUNTIF('کدهای پیام‌داروساز'!$A$2:$A$2442,A3306)&gt;0,"بله","خیر")</f>
        <v/>
      </c>
    </row>
    <row r="3307" ht="15" customHeight="1" s="14">
      <c r="A3307" s="24" t="n">
        <v>52898</v>
      </c>
      <c r="B3307" s="24" t="inlineStr">
        <is>
          <t>TRAMADOL HYDROCHLORIDE TABLET, EXTENDED RELEASE ORAL 300 mg</t>
        </is>
      </c>
      <c r="C3307" s="25">
        <f>IF(COUNTIF('کدهای پیام‌داروساز'!$A$2:$A$2442,A3307)&gt;0,"بله","خیر")</f>
        <v/>
      </c>
    </row>
    <row r="3308" ht="15" customHeight="1" s="14">
      <c r="A3308" s="24" t="n">
        <v>52899</v>
      </c>
      <c r="B3308" s="24" t="inlineStr">
        <is>
          <t>SODIUM PICOSULFATE / MAGNESIUM OXIDE / CITRIC ACID POWDER, FOR SOLUTION ORAL 10 mg/3.5 g/12 g</t>
        </is>
      </c>
      <c r="C3308" s="25">
        <f>IF(COUNTIF('کدهای پیام‌داروساز'!$A$2:$A$2442,A3308)&gt;0,"بله","خیر")</f>
        <v/>
      </c>
    </row>
    <row r="3309" ht="15" customHeight="1" s="14">
      <c r="A3309" s="24" t="n">
        <v>52900</v>
      </c>
      <c r="B3309" s="24" t="inlineStr">
        <is>
          <t>TRAMETINIB (AS DIMETHYL SULFOXIDE) TABLET ORAL 0.5 mg</t>
        </is>
      </c>
      <c r="C3309" s="25">
        <f>IF(COUNTIF('کدهای پیام‌داروساز'!$A$2:$A$2442,A3309)&gt;0,"بله","خیر")</f>
        <v/>
      </c>
    </row>
    <row r="3310" ht="15" customHeight="1" s="14">
      <c r="A3310" s="24" t="n">
        <v>52901</v>
      </c>
      <c r="B3310" s="24" t="inlineStr">
        <is>
          <t>COVID-19 VACCINE, WHOLE VIRION, INACTIVATED, VERO CELL-DERIVED INJECTION PARENTERAL  4 {dose}</t>
        </is>
      </c>
      <c r="C3310" s="25">
        <f>IF(COUNTIF('کدهای پیام‌داروساز'!$A$2:$A$2442,A3310)&gt;0,"بله","خیر")</f>
        <v/>
      </c>
    </row>
    <row r="3311" ht="15" customHeight="1" s="14">
      <c r="A3311" s="24" t="n">
        <v>52902</v>
      </c>
      <c r="B3311" s="24" t="inlineStr">
        <is>
          <t>IBUPROFEN / OXYCODONE HYDROCHLORIDE TABLET ORAL 400 mg/5 mg</t>
        </is>
      </c>
      <c r="C3311" s="25">
        <f>IF(COUNTIF('کدهای پیام‌داروساز'!$A$2:$A$2442,A3311)&gt;0,"بله","خیر")</f>
        <v/>
      </c>
    </row>
    <row r="3312" ht="15" customHeight="1" s="14">
      <c r="A3312" s="24" t="n">
        <v>52903</v>
      </c>
      <c r="B3312" s="24" t="inlineStr">
        <is>
          <t>ADULT COLD PREPARATIONS (7-22) TABLET ORAL 15 mg/2 mg/5 mg/325 mg</t>
        </is>
      </c>
      <c r="C3312" s="25">
        <f>IF(COUNTIF('کدهای پیام‌داروساز'!$A$2:$A$2442,A3312)&gt;0,"بله","خیر")</f>
        <v/>
      </c>
    </row>
    <row r="3313" ht="15" customHeight="1" s="14">
      <c r="A3313" s="24" t="n">
        <v>52904</v>
      </c>
      <c r="B3313" s="24" t="inlineStr">
        <is>
          <t>ADULT COLD PREPARATIONS (7-10) TABLET ORAL 15 mg/2 mg/30 mg/325 mg</t>
        </is>
      </c>
      <c r="C3313" s="25">
        <f>IF(COUNTIF('کدهای پیام‌داروساز'!$A$2:$A$2442,A3313)&gt;0,"بله","خیر")</f>
        <v/>
      </c>
    </row>
    <row r="3314" ht="15" customHeight="1" s="14">
      <c r="A3314" s="24" t="n">
        <v>52905</v>
      </c>
      <c r="B3314" s="24" t="inlineStr">
        <is>
          <t>NATAMYCIN SOLUTION, DROPS OPHTHALMIC 5 % 5 mL</t>
        </is>
      </c>
      <c r="C3314" s="25">
        <f>IF(COUNTIF('کدهای پیام‌داروساز'!$A$2:$A$2442,A3314)&gt;0,"بله","خیر")</f>
        <v/>
      </c>
    </row>
    <row r="3315" ht="15" customHeight="1" s="14">
      <c r="A3315" s="24" t="n">
        <v>52906</v>
      </c>
      <c r="B3315" s="24" t="inlineStr">
        <is>
          <t>PYRVINIUM SUSPENSION ORAL 50 mg/5mL 50 mL</t>
        </is>
      </c>
      <c r="C3315" s="25">
        <f>IF(COUNTIF('کدهای پیام‌داروساز'!$A$2:$A$2442,A3315)&gt;0,"بله","خیر")</f>
        <v/>
      </c>
    </row>
    <row r="3316" ht="15" customHeight="1" s="14">
      <c r="A3316" s="24" t="n">
        <v>52907</v>
      </c>
      <c r="B3316" s="24" t="inlineStr">
        <is>
          <t>PYRVINIUM SUSPENSION ORAL 50 mg/5mL 25 mL</t>
        </is>
      </c>
      <c r="C3316" s="25">
        <f>IF(COUNTIF('کدهای پیام‌داروساز'!$A$2:$A$2442,A3316)&gt;0,"بله","خیر")</f>
        <v/>
      </c>
    </row>
    <row r="3317" ht="15" customHeight="1" s="14">
      <c r="A3317" s="24" t="n">
        <v>52908</v>
      </c>
      <c r="B3317" s="24" t="inlineStr">
        <is>
          <t>FEXOFENADINE HYDROCHLORIDE SUSPENSION ORAL 30 mg/5mL 100 mL</t>
        </is>
      </c>
      <c r="C3317" s="25">
        <f>IF(COUNTIF('کدهای پیام‌داروساز'!$A$2:$A$2442,A3317)&gt;0,"بله","خیر")</f>
        <v/>
      </c>
    </row>
    <row r="3318" ht="15" customHeight="1" s="14">
      <c r="A3318" s="24" t="n">
        <v>52909</v>
      </c>
      <c r="B3318" s="24" t="inlineStr">
        <is>
          <t>ARTIFICIAL TEARS (HYALURONATE SODIUM) SOLUTION, DROPS OPHTHALMIC 0.15 % 0.5 mL</t>
        </is>
      </c>
      <c r="C3318" s="25">
        <f>IF(COUNTIF('کدهای پیام‌داروساز'!$A$2:$A$2442,A3318)&gt;0,"بله","خیر")</f>
        <v/>
      </c>
    </row>
    <row r="3319" ht="15" customHeight="1" s="14">
      <c r="A3319" s="24" t="n">
        <v>52910</v>
      </c>
      <c r="B3319" s="24" t="inlineStr">
        <is>
          <t>ARTIFICIAL TEARS (HYALURONATE SODIUM) SOLUTION, DROPS OPHTHALMIC 0.15 % 10 mL</t>
        </is>
      </c>
      <c r="C3319" s="25">
        <f>IF(COUNTIF('کدهای پیام‌داروساز'!$A$2:$A$2442,A3319)&gt;0,"بله","خیر")</f>
        <v/>
      </c>
    </row>
    <row r="3320" ht="15" customHeight="1" s="14">
      <c r="A3320" s="24" t="n">
        <v>52912</v>
      </c>
      <c r="B3320" s="24" t="inlineStr">
        <is>
          <t>LIPID INFUSION 20% (3) INJECTION, EMULSION INTRAVENOUS 80 mg/100 mg/20 mg/1mL 100 mL</t>
        </is>
      </c>
      <c r="C3320" s="25">
        <f>IF(COUNTIF('کدهای پیام‌داروساز'!$A$2:$A$2442,A3320)&gt;0,"بله","خیر")</f>
        <v/>
      </c>
    </row>
    <row r="3321" ht="15" customHeight="1" s="14">
      <c r="A3321" s="24" t="n">
        <v>52913</v>
      </c>
      <c r="B3321" s="24" t="inlineStr">
        <is>
          <t>LIPID INFUSION 20% (3) INJECTION, EMULSION INTRAVENOUS 80 mg/100 mg/20 mg/1mL 250 mL</t>
        </is>
      </c>
      <c r="C3321" s="25">
        <f>IF(COUNTIF('کدهای پیام‌داروساز'!$A$2:$A$2442,A3321)&gt;0,"بله","خیر")</f>
        <v/>
      </c>
    </row>
    <row r="3322" ht="15" customHeight="1" s="14">
      <c r="A3322" s="24" t="n">
        <v>52914</v>
      </c>
      <c r="B3322" s="24" t="inlineStr">
        <is>
          <t>LIPID INFUSION 20% (3) INJECTION, EMULSION INTRAVENOUS 80 mg/100 mg/20 mg/1mL 500 mL</t>
        </is>
      </c>
      <c r="C3322" s="25">
        <f>IF(COUNTIF('کدهای پیام‌داروساز'!$A$2:$A$2442,A3322)&gt;0,"بله","خیر")</f>
        <v/>
      </c>
    </row>
    <row r="3323" ht="15" customHeight="1" s="14">
      <c r="A3323" s="24" t="n">
        <v>52915</v>
      </c>
      <c r="B3323" s="24" t="inlineStr">
        <is>
          <t>COVID-19 VACCINE, RECOMBINANT (Protein Subunit) INJECTION, EMULSION INTRAMUSCULAR 10 ug/0.2mL 5 {dose}</t>
        </is>
      </c>
      <c r="C3323" s="25">
        <f>IF(COUNTIF('کدهای پیام‌داروساز'!$A$2:$A$2442,A3323)&gt;0,"بله","خیر")</f>
        <v/>
      </c>
    </row>
    <row r="3324" ht="15" customHeight="1" s="14">
      <c r="A3324" s="24" t="n">
        <v>52917</v>
      </c>
      <c r="B3324" s="24" t="inlineStr">
        <is>
          <t>INSULIN DEGLUDEC INJECTION, SOLUTION PARENTERAL 100 [iU]/1mL 3 mL</t>
        </is>
      </c>
      <c r="C3324" s="25">
        <f>IF(COUNTIF('کدهای پیام‌داروساز'!$A$2:$A$2442,A3324)&gt;0,"بله","خیر")</f>
        <v/>
      </c>
    </row>
    <row r="3325" ht="15" customHeight="1" s="14">
      <c r="A3325" s="24" t="n">
        <v>52918</v>
      </c>
      <c r="B3325" s="24" t="inlineStr">
        <is>
          <t>INSULIN DEGLUDEC / INSULIN ASPART INJECTION, SOLUTION PARENTERAL 70 [iU]/30 [iU]/1mL 3 mL</t>
        </is>
      </c>
      <c r="C3325" s="25">
        <f>IF(COUNTIF('کدهای پیام‌داروساز'!$A$2:$A$2442,A3325)&gt;0,"بله","خیر")</f>
        <v/>
      </c>
    </row>
    <row r="3326" ht="15" customHeight="1" s="14">
      <c r="A3326" s="24" t="n">
        <v>52919</v>
      </c>
      <c r="B3326" s="24" t="inlineStr">
        <is>
          <t>ABEMACICLIB TABLET ORAL 150 mg</t>
        </is>
      </c>
      <c r="C3326" s="25">
        <f>IF(COUNTIF('کدهای پیام‌داروساز'!$A$2:$A$2442,A3326)&gt;0,"بله","خیر")</f>
        <v/>
      </c>
    </row>
    <row r="3327" ht="15" customHeight="1" s="14">
      <c r="A3327" s="24" t="n">
        <v>52920</v>
      </c>
      <c r="B3327" s="24" t="inlineStr">
        <is>
          <t>RISDIPLAM POWDER, FOR SOLUTION ORAL 0.75 mg/1mL 80 mL</t>
        </is>
      </c>
      <c r="C3327" s="25">
        <f>IF(COUNTIF('کدهای پیام‌داروساز'!$A$2:$A$2442,A3327)&gt;0,"بله","خیر")</f>
        <v/>
      </c>
    </row>
    <row r="3328" ht="15" customHeight="1" s="14">
      <c r="A3328" s="24" t="n">
        <v>52921</v>
      </c>
      <c r="B3328" s="24" t="inlineStr">
        <is>
          <t>METFORMIN HYDROCHLORIDE SOLUTION ORAL 500 mg/5mL 250 mL</t>
        </is>
      </c>
      <c r="C3328" s="25">
        <f>IF(COUNTIF('کدهای پیام‌داروساز'!$A$2:$A$2442,A3328)&gt;0,"بله","خیر")</f>
        <v/>
      </c>
    </row>
    <row r="3329" ht="15" customHeight="1" s="14">
      <c r="A3329" s="24" t="n">
        <v>52922</v>
      </c>
      <c r="B3329" s="24" t="inlineStr">
        <is>
          <t>ACETAMINOPHEN / CODEINE PHOSPHATE TABLET ORAL 500 mg/8 mg</t>
        </is>
      </c>
      <c r="C3329" s="25">
        <f>IF(COUNTIF('کدهای پیام‌داروساز'!$A$2:$A$2442,A3329)&gt;0,"بله","خیر")</f>
        <v/>
      </c>
    </row>
    <row r="3330" ht="15" customHeight="1" s="14">
      <c r="A3330" s="24" t="n">
        <v>52923</v>
      </c>
      <c r="B3330" s="24" t="inlineStr">
        <is>
          <t>BRIGATINIB TABLET ORAL 90 mg</t>
        </is>
      </c>
      <c r="C3330" s="25">
        <f>IF(COUNTIF('کدهای پیام‌داروساز'!$A$2:$A$2442,A3330)&gt;0,"بله","خیر")</f>
        <v/>
      </c>
    </row>
    <row r="3331" ht="15" customHeight="1" s="14">
      <c r="A3331" s="24" t="n">
        <v>52924</v>
      </c>
      <c r="B3331" s="24" t="inlineStr">
        <is>
          <t>LIDOCAINE / TETRACAINE CREAM TOPICAL 7 %/7 % 30 g</t>
        </is>
      </c>
      <c r="C3331" s="25">
        <f>IF(COUNTIF('کدهای پیام‌داروساز'!$A$2:$A$2442,A3331)&gt;0,"بله","خیر")</f>
        <v/>
      </c>
    </row>
    <row r="3332" ht="15" customHeight="1" s="14">
      <c r="A3332" s="24" t="n">
        <v>52925</v>
      </c>
      <c r="B3332" s="24" t="inlineStr">
        <is>
          <t>POLYETHYLENE GLYCOL - ELECTROLYTE SOLUTION ORAL 13.125 g/0.3508 g/0.1786 g/0.0502 g/25mL 200 mL</t>
        </is>
      </c>
      <c r="C3332" s="25">
        <f>IF(COUNTIF('کدهای پیام‌داروساز'!$A$2:$A$2442,A3332)&gt;0,"بله","خیر")</f>
        <v/>
      </c>
    </row>
    <row r="3333" ht="15" customHeight="1" s="14">
      <c r="A3333" s="24" t="n">
        <v>52926</v>
      </c>
      <c r="B3333" s="24" t="inlineStr">
        <is>
          <t>COVID-19 VACCINE, RECOMBINANT (Protein Subunit) INJECTION, EMULSION INTRAMUSCULAR 25 ug/0.5mL 1 {dose}</t>
        </is>
      </c>
      <c r="C3333" s="25">
        <f>IF(COUNTIF('کدهای پیام‌داروساز'!$A$2:$A$2442,A3333)&gt;0,"بله","خیر")</f>
        <v/>
      </c>
    </row>
    <row r="3334" ht="15" customHeight="1" s="14">
      <c r="A3334" s="24" t="n">
        <v>52927</v>
      </c>
      <c r="B3334" s="24" t="inlineStr">
        <is>
          <t>COVID-19 VACCINE, RECOMBINANT (Protein Subunit) INJECTION, EMULSION INTRAMUSCULAR 25 ug/0.5mL 4 {dose}</t>
        </is>
      </c>
      <c r="C3334" s="25">
        <f>IF(COUNTIF('کدهای پیام‌داروساز'!$A$2:$A$2442,A3334)&gt;0,"بله","خیر")</f>
        <v/>
      </c>
    </row>
    <row r="3335" ht="15" customHeight="1" s="14">
      <c r="A3335" s="24" t="n">
        <v>52928</v>
      </c>
      <c r="B3335" s="24" t="inlineStr">
        <is>
          <t>LINEZOLID INJECTION, SOLUTION PARENTERAL 2 mg/1mL 100 mL</t>
        </is>
      </c>
      <c r="C3335" s="25">
        <f>IF(COUNTIF('کدهای پیام‌داروساز'!$A$2:$A$2442,A3335)&gt;0,"بله","خیر")</f>
        <v/>
      </c>
    </row>
    <row r="3336" ht="15" customHeight="1" s="14">
      <c r="A3336" s="24" t="n">
        <v>52929</v>
      </c>
      <c r="B3336" s="24" t="inlineStr">
        <is>
          <t>COVID-19 VACCINE, RECOMBINANT INJECTION, SUSPENSION INTRAMUSCULAR 80 ug/0.5mL 10 {dose}</t>
        </is>
      </c>
      <c r="C3336" s="25">
        <f>IF(COUNTIF('کدهای پیام‌داروساز'!$A$2:$A$2442,A3336)&gt;0,"بله","خیر")</f>
        <v/>
      </c>
    </row>
    <row r="3337" ht="15" customHeight="1" s="14">
      <c r="A3337" s="24" t="n">
        <v>52930</v>
      </c>
      <c r="B3337" s="24" t="inlineStr">
        <is>
          <t>ANAGRELIDE HYDROCHLORIDE CAPSULE ORAL 1 mg</t>
        </is>
      </c>
      <c r="C3337" s="25">
        <f>IF(COUNTIF('کدهای پیام‌داروساز'!$A$2:$A$2442,A3337)&gt;0,"بله","خیر")</f>
        <v/>
      </c>
    </row>
    <row r="3338" ht="15" customHeight="1" s="14">
      <c r="A3338" s="24" t="n">
        <v>52931</v>
      </c>
      <c r="B3338" s="24" t="inlineStr">
        <is>
          <t>SELUMETINIB (AS HYDROGEN SULFATE) CAPSULE ORAL 25 mg</t>
        </is>
      </c>
      <c r="C3338" s="25">
        <f>IF(COUNTIF('کدهای پیام‌داروساز'!$A$2:$A$2442,A3338)&gt;0,"بله","خیر")</f>
        <v/>
      </c>
    </row>
    <row r="3339" ht="15" customHeight="1" s="14">
      <c r="A3339" s="24" t="n">
        <v>52932</v>
      </c>
      <c r="B3339" s="24" t="inlineStr">
        <is>
          <t>TERIFLUNOMIDE TABLET ORAL 7 mg</t>
        </is>
      </c>
      <c r="C3339" s="25">
        <f>IF(COUNTIF('کدهای پیام‌داروساز'!$A$2:$A$2442,A3339)&gt;0,"بله","خیر")</f>
        <v/>
      </c>
    </row>
    <row r="3340" ht="15" customHeight="1" s="14">
      <c r="A3340" s="24" t="n">
        <v>52933</v>
      </c>
      <c r="B3340" s="24" t="inlineStr">
        <is>
          <t>COAGULATION FACTOR VIII, Long Acting INJECTION, POWDER, LYOPHILIZED PARENTERAL 500 [iU]</t>
        </is>
      </c>
      <c r="C3340" s="25">
        <f>IF(COUNTIF('کدهای پیام‌داروساز'!$A$2:$A$2442,A3340)&gt;0,"بله","خیر")</f>
        <v/>
      </c>
    </row>
    <row r="3341" ht="15" customHeight="1" s="14">
      <c r="A3341" s="24" t="n">
        <v>52935</v>
      </c>
      <c r="B3341" s="24" t="inlineStr">
        <is>
          <t>COVID-19 VACCINE, RECOMBINANT INJECTION, SUSPENSION INTRAMUSCULAR 80 ug/0.5mL 1 {dose}</t>
        </is>
      </c>
      <c r="C3341" s="25">
        <f>IF(COUNTIF('کدهای پیام‌داروساز'!$A$2:$A$2442,A3341)&gt;0,"بله","خیر")</f>
        <v/>
      </c>
    </row>
    <row r="3342" ht="15" customHeight="1" s="14">
      <c r="A3342" s="24" t="n">
        <v>52936</v>
      </c>
      <c r="B3342" s="24" t="inlineStr">
        <is>
          <t>CALCIUM FOLINATE INJECTION, POWDER PARENTERAL 200 mg</t>
        </is>
      </c>
      <c r="C3342" s="25">
        <f>IF(COUNTIF('کدهای پیام‌داروساز'!$A$2:$A$2442,A3342)&gt;0,"بله","خیر")</f>
        <v/>
      </c>
    </row>
    <row r="3343" ht="15" customHeight="1" s="14">
      <c r="A3343" s="24" t="n">
        <v>52937</v>
      </c>
      <c r="B3343" s="24" t="inlineStr">
        <is>
          <t>BARICITINIB TABLET ORAL 1 mg</t>
        </is>
      </c>
      <c r="C3343" s="25">
        <f>IF(COUNTIF('کدهای پیام‌داروساز'!$A$2:$A$2442,A3343)&gt;0,"بله","خیر")</f>
        <v/>
      </c>
    </row>
    <row r="3344" ht="15" customHeight="1" s="14">
      <c r="A3344" s="24" t="n">
        <v>52939</v>
      </c>
      <c r="B3344" s="24" t="inlineStr">
        <is>
          <t>DEXTRAN / SODIUM CHLORIDE INJECTION PARENTERAL 6 %/0.9 % 2 mL</t>
        </is>
      </c>
      <c r="C3344" s="25">
        <f>IF(COUNTIF('کدهای پیام‌داروساز'!$A$2:$A$2442,A3344)&gt;0,"بله","خیر")</f>
        <v/>
      </c>
    </row>
    <row r="3345" ht="15" customHeight="1" s="14">
      <c r="A3345" s="24" t="n">
        <v>52940</v>
      </c>
      <c r="B3345" s="24" t="inlineStr">
        <is>
          <t>METFORMIN HYDROCHLORIDE / LINAGLIPTIN TABLET, EXTENDED RELEASE ORAL 1000 mg/2.5 mg</t>
        </is>
      </c>
      <c r="C3345" s="25">
        <f>IF(COUNTIF('کدهای پیام‌داروساز'!$A$2:$A$2442,A3345)&gt;0,"بله","خیر")</f>
        <v/>
      </c>
    </row>
    <row r="3346" ht="15" customHeight="1" s="14">
      <c r="A3346" s="24" t="n">
        <v>52941</v>
      </c>
      <c r="B3346" s="24" t="inlineStr">
        <is>
          <t>METFORMIN HYDROCHLORIDE / LINAGLIPTIN TABLET, EXTENDED RELEASE ORAL 1000 mg/5 mg</t>
        </is>
      </c>
      <c r="C3346" s="25">
        <f>IF(COUNTIF('کدهای پیام‌داروساز'!$A$2:$A$2442,A3346)&gt;0,"بله","خیر")</f>
        <v/>
      </c>
    </row>
    <row r="3347" ht="15" customHeight="1" s="14">
      <c r="A3347" s="24" t="n">
        <v>52942</v>
      </c>
      <c r="B3347" s="24" t="inlineStr">
        <is>
          <t>MOLNUPIRAVIR CAPSULE ORAL 200 mg</t>
        </is>
      </c>
      <c r="C3347" s="25">
        <f>IF(COUNTIF('کدهای پیام‌داروساز'!$A$2:$A$2442,A3347)&gt;0,"بله","خیر")</f>
        <v/>
      </c>
    </row>
    <row r="3348" ht="15" customHeight="1" s="14">
      <c r="A3348" s="24" t="n">
        <v>52944</v>
      </c>
      <c r="B3348" s="24" t="inlineStr">
        <is>
          <t>RIPASUDIL SOLUTION, DROPS OPHTHALMIC 0.4 % 5 mL</t>
        </is>
      </c>
      <c r="C3348" s="25">
        <f>IF(COUNTIF('کدهای پیام‌داروساز'!$A$2:$A$2442,A3348)&gt;0,"بله","خیر")</f>
        <v/>
      </c>
    </row>
    <row r="3349" ht="15" customHeight="1" s="14">
      <c r="A3349" s="24" t="n">
        <v>52945</v>
      </c>
      <c r="B3349" s="24" t="inlineStr">
        <is>
          <t>IRBESARTAN TABLET ORAL 150 mg</t>
        </is>
      </c>
      <c r="C3349" s="25">
        <f>IF(COUNTIF('کدهای پیام‌داروساز'!$A$2:$A$2442,A3349)&gt;0,"بله","خیر")</f>
        <v/>
      </c>
    </row>
    <row r="3350" ht="15" customHeight="1" s="14">
      <c r="A3350" s="24" t="n">
        <v>52947</v>
      </c>
      <c r="B3350" s="24" t="inlineStr">
        <is>
          <t>EMICIZUMAB INJECTION, SOLUTION PARENTERAL 30 mg/1mL 1 mL</t>
        </is>
      </c>
      <c r="C3350" s="25">
        <f>IF(COUNTIF('کدهای پیام‌داروساز'!$A$2:$A$2442,A3350)&gt;0,"بله","خیر")</f>
        <v/>
      </c>
    </row>
    <row r="3351" ht="15" customHeight="1" s="14">
      <c r="A3351" s="24" t="n">
        <v>52948</v>
      </c>
      <c r="B3351" s="24" t="inlineStr">
        <is>
          <t>EMICIZUMAB INJECTION, SOLUTION PARENTERAL 150 mg/1mL 0.4 mL</t>
        </is>
      </c>
      <c r="C3351" s="25">
        <f>IF(COUNTIF('کدهای پیام‌داروساز'!$A$2:$A$2442,A3351)&gt;0,"بله","خیر")</f>
        <v/>
      </c>
    </row>
    <row r="3352" ht="15" customHeight="1" s="14">
      <c r="A3352" s="24" t="n">
        <v>52949</v>
      </c>
      <c r="B3352" s="24" t="inlineStr">
        <is>
          <t>EMICIZUMAB INJECTION, SOLUTION PARENTERAL 150 mg/1mL 0.7 mL</t>
        </is>
      </c>
      <c r="C3352" s="25">
        <f>IF(COUNTIF('کدهای پیام‌داروساز'!$A$2:$A$2442,A3352)&gt;0,"بله","خیر")</f>
        <v/>
      </c>
    </row>
    <row r="3353" ht="15" customHeight="1" s="14">
      <c r="A3353" s="24" t="n">
        <v>52950</v>
      </c>
      <c r="B3353" s="24" t="inlineStr">
        <is>
          <t>EMICIZUMAB INJECTION, SOLUTION PARENTERAL 150 mg/1mL 1 mL</t>
        </is>
      </c>
      <c r="C3353" s="25">
        <f>IF(COUNTIF('کدهای پیام‌داروساز'!$A$2:$A$2442,A3353)&gt;0,"بله","خیر")</f>
        <v/>
      </c>
    </row>
    <row r="3354" ht="15" customHeight="1" s="14">
      <c r="A3354" s="24" t="n">
        <v>52951</v>
      </c>
      <c r="B3354" s="24" t="inlineStr">
        <is>
          <t>CABOZANTINIB (AS (S)-MALATE) TABLET ORAL 20 mg</t>
        </is>
      </c>
      <c r="C3354" s="25">
        <f>IF(COUNTIF('کدهای پیام‌داروساز'!$A$2:$A$2442,A3354)&gt;0,"بله","خیر")</f>
        <v/>
      </c>
    </row>
    <row r="3355" ht="15" customHeight="1" s="14">
      <c r="A3355" s="24" t="n">
        <v>52952</v>
      </c>
      <c r="B3355" s="24" t="inlineStr">
        <is>
          <t>PIRFENIDONE TABLET ORAL 267 mg</t>
        </is>
      </c>
      <c r="C3355" s="25">
        <f>IF(COUNTIF('کدهای پیام‌داروساز'!$A$2:$A$2442,A3355)&gt;0,"بله","خیر")</f>
        <v/>
      </c>
    </row>
    <row r="3356" ht="15" customHeight="1" s="14">
      <c r="A3356" s="24" t="n">
        <v>52953</v>
      </c>
      <c r="B3356" s="24" t="inlineStr">
        <is>
          <t>PIRFENIDONE TABLET ORAL 534 mg</t>
        </is>
      </c>
      <c r="C3356" s="25">
        <f>IF(COUNTIF('کدهای پیام‌داروساز'!$A$2:$A$2442,A3356)&gt;0,"بله","خیر")</f>
        <v/>
      </c>
    </row>
    <row r="3357" ht="15" customHeight="1" s="14">
      <c r="A3357" s="24" t="n">
        <v>52954</v>
      </c>
      <c r="B3357" s="24" t="inlineStr">
        <is>
          <t>VEDOLIZUMAB INJECTION, POWDER, LYOPHILIZED, FOR SOLUTION PARENTERAL 300 mg</t>
        </is>
      </c>
      <c r="C3357" s="25">
        <f>IF(COUNTIF('کدهای پیام‌داروساز'!$A$2:$A$2442,A3357)&gt;0,"بله","خیر")</f>
        <v/>
      </c>
    </row>
    <row r="3358" ht="15" customHeight="1" s="14">
      <c r="A3358" s="24" t="n">
        <v>52955</v>
      </c>
      <c r="B3358" s="24" t="inlineStr">
        <is>
          <t>LIDOCAINE CREAM TOPICAL 4 % 30 g</t>
        </is>
      </c>
      <c r="C3358" s="25">
        <f>IF(COUNTIF('کدهای پیام‌داروساز'!$A$2:$A$2442,A3358)&gt;0,"بله","خیر")</f>
        <v/>
      </c>
    </row>
    <row r="3359" ht="15" customHeight="1" s="14">
      <c r="A3359" s="24" t="n">
        <v>52956</v>
      </c>
      <c r="B3359" s="24" t="inlineStr">
        <is>
          <t>POLIOMYELITIS VACCINE (NOVEL TYPE 2) SUSPENSION ORAL 20 {dose}</t>
        </is>
      </c>
      <c r="C3359" s="25">
        <f>IF(COUNTIF('کدهای پیام‌داروساز'!$A$2:$A$2442,A3359)&gt;0,"بله","خیر")</f>
        <v/>
      </c>
    </row>
    <row r="3360" ht="15" customHeight="1" s="14">
      <c r="A3360" s="24" t="n">
        <v>52957</v>
      </c>
      <c r="B3360" s="24" t="inlineStr">
        <is>
          <t>ETHOSUXIMIDE SYRUP ORAL 250 mg/5mL 100 mL</t>
        </is>
      </c>
      <c r="C3360" s="25">
        <f>IF(COUNTIF('کدهای پیام‌داروساز'!$A$2:$A$2442,A3360)&gt;0,"بله","خیر")</f>
        <v/>
      </c>
    </row>
    <row r="3361" ht="15" customHeight="1" s="14">
      <c r="A3361" s="24" t="n">
        <v>52958</v>
      </c>
      <c r="B3361" s="24" t="inlineStr">
        <is>
          <t>CLADRIBINE TABLET ORAL 10 mg</t>
        </is>
      </c>
      <c r="C3361" s="25">
        <f>IF(COUNTIF('کدهای پیام‌داروساز'!$A$2:$A$2442,A3361)&gt;0,"بله","خیر")</f>
        <v/>
      </c>
    </row>
    <row r="3362" ht="15" customHeight="1" s="14">
      <c r="A3362" s="24" t="n">
        <v>52962</v>
      </c>
      <c r="B3362" s="24" t="inlineStr">
        <is>
          <t>BLOOD PLASMA, FRESH FROZEN INJECTION PARENTERAL</t>
        </is>
      </c>
      <c r="C3362" s="25">
        <f>IF(COUNTIF('کدهای پیام‌داروساز'!$A$2:$A$2442,A3362)&gt;0,"بله","خیر")</f>
        <v/>
      </c>
    </row>
    <row r="3363" ht="15" customHeight="1" s="14">
      <c r="A3363" s="24" t="n">
        <v>52964</v>
      </c>
      <c r="B3363" s="24" t="inlineStr">
        <is>
          <t>THROMBOCYTES (PLATELET, CONCENTRATED) INJECTION PARENTERAL</t>
        </is>
      </c>
      <c r="C3363" s="25">
        <f>IF(COUNTIF('کدهای پیام‌داروساز'!$A$2:$A$2442,A3363)&gt;0,"بله","خیر")</f>
        <v/>
      </c>
    </row>
    <row r="3364" ht="15" customHeight="1" s="14">
      <c r="A3364" s="24" t="n">
        <v>52965</v>
      </c>
      <c r="B3364" s="24" t="inlineStr">
        <is>
          <t>THROMBOCYTES (PLATELET, IRRADIATED) INJECTION PARENTERAL</t>
        </is>
      </c>
      <c r="C3364" s="25">
        <f>IF(COUNTIF('کدهای پیام‌داروساز'!$A$2:$A$2442,A3364)&gt;0,"بله","خیر")</f>
        <v/>
      </c>
    </row>
    <row r="3365" ht="15" customHeight="1" s="14">
      <c r="A3365" s="24" t="n">
        <v>52966</v>
      </c>
      <c r="B3365" s="24" t="inlineStr">
        <is>
          <t>THROMBOCYTES (PLATELET, PHRESIS) INJECTION PARENTERAL</t>
        </is>
      </c>
      <c r="C3365" s="25">
        <f>IF(COUNTIF('کدهای پیام‌داروساز'!$A$2:$A$2442,A3365)&gt;0,"بله","خیر")</f>
        <v/>
      </c>
    </row>
    <row r="3366" ht="15" customHeight="1" s="14">
      <c r="A3366" s="24" t="n">
        <v>52967</v>
      </c>
      <c r="B3366" s="24" t="inlineStr">
        <is>
          <t>THROMBOCYTES (PLATELET, PHRESIS AND IRRADIATED) INJECTION PARENTERAL</t>
        </is>
      </c>
      <c r="C3366" s="25">
        <f>IF(COUNTIF('کدهای پیام‌داروساز'!$A$2:$A$2442,A3366)&gt;0,"بله","خیر")</f>
        <v/>
      </c>
    </row>
    <row r="3367" ht="15" customHeight="1" s="14">
      <c r="A3367" s="24" t="n">
        <v>52968</v>
      </c>
      <c r="B3367" s="24" t="inlineStr">
        <is>
          <t>BETAMETHASONE (AS VALERATE) / NEOMYCIN SULFATE OINTMENT TOPICAL 0.1 %/0.5 % 30 g</t>
        </is>
      </c>
      <c r="C3367" s="25">
        <f>IF(COUNTIF('کدهای پیام‌داروساز'!$A$2:$A$2442,A3367)&gt;0,"بله","خیر")</f>
        <v/>
      </c>
    </row>
    <row r="3368" ht="15" customHeight="1" s="14">
      <c r="A3368" s="24" t="n">
        <v>52972</v>
      </c>
      <c r="B3368" s="24" t="inlineStr">
        <is>
          <t>ERYTHROCYTES (RED BLOOD CELL) INJECTION PARENTERAL</t>
        </is>
      </c>
      <c r="C3368" s="25">
        <f>IF(COUNTIF('کدهای پیام‌داروساز'!$A$2:$A$2442,A3368)&gt;0,"بله","خیر")</f>
        <v/>
      </c>
    </row>
    <row r="3369" ht="15" customHeight="1" s="14">
      <c r="A3369" s="24" t="n">
        <v>52976</v>
      </c>
      <c r="B3369" s="24" t="inlineStr">
        <is>
          <t>ERYTHROCYTES (RED BLOOD CELL, IRRADIATED) INJECTION PARENTERAL</t>
        </is>
      </c>
      <c r="C3369" s="25">
        <f>IF(COUNTIF('کدهای پیام‌داروساز'!$A$2:$A$2442,A3369)&gt;0,"بله","خیر")</f>
        <v/>
      </c>
    </row>
    <row r="3370" ht="15" customHeight="1" s="14">
      <c r="A3370" s="24" t="n">
        <v>52977</v>
      </c>
      <c r="B3370" s="24" t="inlineStr">
        <is>
          <t>ERYTHROCYTES (RED BLOOD CELL, WASHED AND IRRADIATED) INJECTION PARENTERAL  270 mL</t>
        </is>
      </c>
      <c r="C3370" s="25">
        <f>IF(COUNTIF('کدهای پیام‌داروساز'!$A$2:$A$2442,A3370)&gt;0,"بله","خیر")</f>
        <v/>
      </c>
    </row>
    <row r="3371" ht="15" customHeight="1" s="14">
      <c r="A3371" s="24" t="n">
        <v>52978</v>
      </c>
      <c r="B3371" s="24" t="inlineStr">
        <is>
          <t>CLOBETASOL PROPIONATE OINTMENT TOPICAL 0.05 % 30 g</t>
        </is>
      </c>
      <c r="C3371" s="25">
        <f>IF(COUNTIF('کدهای پیام‌داروساز'!$A$2:$A$2442,A3371)&gt;0,"بله","خیر")</f>
        <v/>
      </c>
    </row>
    <row r="3372" ht="15" customHeight="1" s="14">
      <c r="A3372" s="24" t="n">
        <v>52979</v>
      </c>
      <c r="B3372" s="24" t="inlineStr">
        <is>
          <t>TETRACYCLINE HYDROCHLORIDE OINTMENT TOPICAL 3 % 30 g</t>
        </is>
      </c>
      <c r="C3372" s="25">
        <f>IF(COUNTIF('کدهای پیام‌داروساز'!$A$2:$A$2442,A3372)&gt;0,"بله","خیر")</f>
        <v/>
      </c>
    </row>
    <row r="3373" ht="15" customHeight="1" s="14">
      <c r="A3373" s="24" t="n">
        <v>52980</v>
      </c>
      <c r="B3373" s="24" t="inlineStr">
        <is>
          <t>TRIAMCINOLONE NN OINTMENT TOPICAL 1 mg/2.5 mg/100000 [iU]/1g 30 g</t>
        </is>
      </c>
      <c r="C3373" s="25">
        <f>IF(COUNTIF('کدهای پیام‌داروساز'!$A$2:$A$2442,A3373)&gt;0,"بله","خیر")</f>
        <v/>
      </c>
    </row>
    <row r="3374" ht="15" customHeight="1" s="14">
      <c r="A3374" s="24" t="n">
        <v>52981</v>
      </c>
      <c r="B3374" s="24" t="inlineStr">
        <is>
          <t>ERYTHROCYTES (RED BLOOD CELL, LEUCOCYTE REDUCED) INJECTION PARENTERAL</t>
        </is>
      </c>
      <c r="C3374" s="25">
        <f>IF(COUNTIF('کدهای پیام‌داروساز'!$A$2:$A$2442,A3374)&gt;0,"بله","خیر")</f>
        <v/>
      </c>
    </row>
    <row r="3375" ht="15" customHeight="1" s="14">
      <c r="A3375" s="24" t="n">
        <v>52982</v>
      </c>
      <c r="B3375" s="24" t="inlineStr">
        <is>
          <t>ERYTHROCYTES (RED BLOOD CELL, LEUCOCYTE REDUCED AND WASHED) INJECTION PARENTERAL  270 mL</t>
        </is>
      </c>
      <c r="C3375" s="25">
        <f>IF(COUNTIF('کدهای پیام‌داروساز'!$A$2:$A$2442,A3375)&gt;0,"بله","خیر")</f>
        <v/>
      </c>
    </row>
    <row r="3376" ht="15" customHeight="1" s="14">
      <c r="A3376" s="24" t="n">
        <v>52983</v>
      </c>
      <c r="B3376" s="24" t="inlineStr">
        <is>
          <t>BLOOD AND BLOOD FORMING ORGANS (WHOLE BLOOD) INJECTION PARENTERAL</t>
        </is>
      </c>
      <c r="C3376" s="25">
        <f>IF(COUNTIF('کدهای پیام‌داروساز'!$A$2:$A$2442,A3376)&gt;0,"بله","خیر")</f>
        <v/>
      </c>
    </row>
    <row r="3377" ht="15" customHeight="1" s="14">
      <c r="A3377" s="24" t="n">
        <v>52984</v>
      </c>
      <c r="B3377" s="24" t="inlineStr">
        <is>
          <t>IBUPROFEN SUPPOSITORY RECTAL 60 mg</t>
        </is>
      </c>
      <c r="C3377" s="25">
        <f>IF(COUNTIF('کدهای پیام‌داروساز'!$A$2:$A$2442,A3377)&gt;0,"بله","خیر")</f>
        <v/>
      </c>
    </row>
    <row r="3378" ht="15" customHeight="1" s="14">
      <c r="A3378" s="24" t="n">
        <v>52985</v>
      </c>
      <c r="B3378" s="24" t="inlineStr">
        <is>
          <t>IBUPROFEN SUPPOSITORY RECTAL 75 mg</t>
        </is>
      </c>
      <c r="C3378" s="25">
        <f>IF(COUNTIF('کدهای پیام‌داروساز'!$A$2:$A$2442,A3378)&gt;0,"بله","خیر")</f>
        <v/>
      </c>
    </row>
    <row r="3379" ht="15" customHeight="1" s="14">
      <c r="A3379" s="24" t="n">
        <v>52986</v>
      </c>
      <c r="B3379" s="24" t="inlineStr">
        <is>
          <t>IBUPROFEN SUPPOSITORY RECTAL 150 mg</t>
        </is>
      </c>
      <c r="C3379" s="25">
        <f>IF(COUNTIF('کدهای پیام‌داروساز'!$A$2:$A$2442,A3379)&gt;0,"بله","خیر")</f>
        <v/>
      </c>
    </row>
    <row r="3380" ht="15" customHeight="1" s="14">
      <c r="A3380" s="24" t="n">
        <v>52988</v>
      </c>
      <c r="B3380" s="24" t="inlineStr">
        <is>
          <t>BETAMETHASONE (AS VALERATE) CREAM TOPICAL 0.1 % 500 g</t>
        </is>
      </c>
      <c r="C3380" s="25">
        <f>IF(COUNTIF('کدهای پیام‌داروساز'!$A$2:$A$2442,A3380)&gt;0,"بله","خیر")</f>
        <v/>
      </c>
    </row>
    <row r="3381" ht="15" customHeight="1" s="14">
      <c r="A3381" s="24" t="n">
        <v>52989</v>
      </c>
      <c r="B3381" s="24" t="inlineStr">
        <is>
          <t>ACETAMINOPHEN INJECTION, SOLUTION INTRAVENOUS 10 mg/1mL 10 mL</t>
        </is>
      </c>
      <c r="C3381" s="25">
        <f>IF(COUNTIF('کدهای پیام‌داروساز'!$A$2:$A$2442,A3381)&gt;0,"بله","خیر")</f>
        <v/>
      </c>
    </row>
    <row r="3382" ht="15" customHeight="1" s="14">
      <c r="A3382" s="24" t="n">
        <v>52990</v>
      </c>
      <c r="B3382" s="24" t="inlineStr">
        <is>
          <t>DESLORATADINE SYRUP ORAL 2.5 mg/5 mL 60 mL</t>
        </is>
      </c>
      <c r="C3382" s="25">
        <f>IF(COUNTIF('کدهای پیام‌داروساز'!$A$2:$A$2442,A3382)&gt;0,"بله","خیر")</f>
        <v/>
      </c>
    </row>
    <row r="3383" ht="15" customHeight="1" s="14">
      <c r="A3383" s="24" t="n">
        <v>52991</v>
      </c>
      <c r="B3383" s="24" t="inlineStr">
        <is>
          <t>IBRUTINIB TABLET ORAL 280 mg</t>
        </is>
      </c>
      <c r="C3383" s="25">
        <f>IF(COUNTIF('کدهای پیام‌داروساز'!$A$2:$A$2442,A3383)&gt;0,"بله","خیر")</f>
        <v/>
      </c>
    </row>
    <row r="3384" ht="15" customHeight="1" s="14">
      <c r="A3384" s="24" t="n">
        <v>52992</v>
      </c>
      <c r="B3384" s="24" t="inlineStr">
        <is>
          <t>IBRUTINIB TABLET ORAL 420 mg</t>
        </is>
      </c>
      <c r="C3384" s="25">
        <f>IF(COUNTIF('کدهای پیام‌داروساز'!$A$2:$A$2442,A3384)&gt;0,"بله","خیر")</f>
        <v/>
      </c>
    </row>
    <row r="3385" ht="15" customHeight="1" s="14">
      <c r="A3385" s="24" t="n">
        <v>52993</v>
      </c>
      <c r="B3385" s="24" t="inlineStr">
        <is>
          <t>IBRUTINIB TABLET ORAL 560 mg</t>
        </is>
      </c>
      <c r="C3385" s="25">
        <f>IF(COUNTIF('کدهای پیام‌داروساز'!$A$2:$A$2442,A3385)&gt;0,"بله","خیر")</f>
        <v/>
      </c>
    </row>
    <row r="3386" ht="15" customHeight="1" s="14">
      <c r="A3386" s="24" t="n">
        <v>52996</v>
      </c>
      <c r="B3386" s="24" t="inlineStr">
        <is>
          <t>ROTAVIRUS VACCINE, PENTAVALENT, LIVE POWDER, FOR SUSPENSION ORAL  2.5 mL</t>
        </is>
      </c>
      <c r="C3386" s="25">
        <f>IF(COUNTIF('کدهای پیام‌داروساز'!$A$2:$A$2442,A3386)&gt;0,"بله","خیر")</f>
        <v/>
      </c>
    </row>
    <row r="3387" ht="15" customHeight="1" s="14">
      <c r="A3387" s="24" t="n">
        <v>52997</v>
      </c>
      <c r="B3387" s="24" t="inlineStr">
        <is>
          <t>ROTAVIRUS VACCINE, PENTAVALENT, LIVE POWDER, FOR SUSPENSION ORAL  5 mL</t>
        </is>
      </c>
      <c r="C3387" s="25">
        <f>IF(COUNTIF('کدهای پیام‌داروساز'!$A$2:$A$2442,A3387)&gt;0,"بله","خیر")</f>
        <v/>
      </c>
    </row>
    <row r="3388" ht="15" customHeight="1" s="14">
      <c r="A3388" s="24" t="n">
        <v>52998</v>
      </c>
      <c r="B3388" s="24" t="inlineStr">
        <is>
          <t>NUSINERSEN (AS SODIUM) INJECTION, SOLUTION PARENTERAL 2.4 mg/1mL 5 mL</t>
        </is>
      </c>
      <c r="C3388" s="25">
        <f>IF(COUNTIF('کدهای پیام‌داروساز'!$A$2:$A$2442,A3388)&gt;0,"بله","خیر")</f>
        <v/>
      </c>
    </row>
    <row r="3389" ht="15" customHeight="1" s="14">
      <c r="A3389" s="24" t="n">
        <v>53000</v>
      </c>
      <c r="B3389" s="24" t="inlineStr">
        <is>
          <t>FAMOTIDINE POWDER, FOR SUSPENSION ORAL 40 mg/5mL 50 mL</t>
        </is>
      </c>
      <c r="C3389" s="25">
        <f>IF(COUNTIF('کدهای پیام‌داروساز'!$A$2:$A$2442,A3389)&gt;0,"بله","خیر")</f>
        <v/>
      </c>
    </row>
    <row r="3390" ht="15" customHeight="1" s="14">
      <c r="A3390" s="24" t="n">
        <v>53002</v>
      </c>
      <c r="B3390" s="24" t="inlineStr">
        <is>
          <t>POMALIDOMIDE CAPSULE ORAL 3 mg</t>
        </is>
      </c>
      <c r="C3390" s="25">
        <f>IF(COUNTIF('کدهای پیام‌داروساز'!$A$2:$A$2442,A3390)&gt;0,"بله","خیر")</f>
        <v/>
      </c>
    </row>
    <row r="3391" ht="15" customHeight="1" s="14">
      <c r="A3391" s="24" t="n">
        <v>53003</v>
      </c>
      <c r="B3391" s="24" t="inlineStr">
        <is>
          <t>POMALIDOMIDE CAPSULE ORAL 2 mg</t>
        </is>
      </c>
      <c r="C3391" s="25">
        <f>IF(COUNTIF('کدهای پیام‌داروساز'!$A$2:$A$2442,A3391)&gt;0,"بله","خیر")</f>
        <v/>
      </c>
    </row>
    <row r="3392" ht="15" customHeight="1" s="14">
      <c r="A3392" s="24" t="n">
        <v>53004</v>
      </c>
      <c r="B3392" s="24" t="inlineStr">
        <is>
          <t>POMALIDOMIDE CAPSULE ORAL 1 mg</t>
        </is>
      </c>
      <c r="C3392" s="25">
        <f>IF(COUNTIF('کدهای پیام‌داروساز'!$A$2:$A$2442,A3392)&gt;0,"بله","خیر")</f>
        <v/>
      </c>
    </row>
    <row r="3393" ht="15" customHeight="1" s="14">
      <c r="A3393" s="24" t="n">
        <v>53006</v>
      </c>
      <c r="B3393" s="24" t="inlineStr">
        <is>
          <t>TELMISARTAN TABLET ORAL 20 mg</t>
        </is>
      </c>
      <c r="C3393" s="25">
        <f>IF(COUNTIF('کدهای پیام‌داروساز'!$A$2:$A$2442,A3393)&gt;0,"بله","خیر")</f>
        <v/>
      </c>
    </row>
    <row r="3394" ht="15" customHeight="1" s="14">
      <c r="A3394" s="24" t="n">
        <v>53007</v>
      </c>
      <c r="B3394" s="24" t="inlineStr">
        <is>
          <t>TELMISARTAN TABLET ORAL 40 mg</t>
        </is>
      </c>
      <c r="C3394" s="25">
        <f>IF(COUNTIF('کدهای پیام‌داروساز'!$A$2:$A$2442,A3394)&gt;0,"بله","خیر")</f>
        <v/>
      </c>
    </row>
    <row r="3395" ht="15" customHeight="1" s="14">
      <c r="A3395" s="24" t="n">
        <v>53008</v>
      </c>
      <c r="B3395" s="24" t="inlineStr">
        <is>
          <t>TELMISARTAN TABLET ORAL 80 mg</t>
        </is>
      </c>
      <c r="C3395" s="25">
        <f>IF(COUNTIF('کدهای پیام‌داروساز'!$A$2:$A$2442,A3395)&gt;0,"بله","خیر")</f>
        <v/>
      </c>
    </row>
    <row r="3396" ht="15" customHeight="1" s="14">
      <c r="A3396" s="24" t="n">
        <v>53010</v>
      </c>
      <c r="B3396" s="24" t="inlineStr">
        <is>
          <t>BUPIVACAINE HYDROCHLORIDE INJECTION PARENTERAL 0.5 % 4 mL</t>
        </is>
      </c>
      <c r="C3396" s="25">
        <f>IF(COUNTIF('کدهای پیام‌داروساز'!$A$2:$A$2442,A3396)&gt;0,"بله","خیر")</f>
        <v/>
      </c>
    </row>
    <row r="3397" ht="15" customHeight="1" s="14">
      <c r="A3397" s="24" t="n">
        <v>53011</v>
      </c>
      <c r="B3397" s="24" t="inlineStr">
        <is>
          <t>FAMOTIDINE POWDER, FOR SUSPENSION ORAL 40 mg/5mL 120 mL</t>
        </is>
      </c>
      <c r="C3397" s="25">
        <f>IF(COUNTIF('کدهای پیام‌داروساز'!$A$2:$A$2442,A3397)&gt;0,"بله","خیر")</f>
        <v/>
      </c>
    </row>
    <row r="3398" ht="15" customHeight="1" s="14">
      <c r="A3398" s="24" t="n">
        <v>53012</v>
      </c>
      <c r="B3398" s="24" t="inlineStr">
        <is>
          <t>DAPAGLIFLOZIN (AS PROPANEDIOL) / METFORMIN HYDROCHLORIDE TABLET ORAL 5 mg/850 mg</t>
        </is>
      </c>
      <c r="C3398" s="25">
        <f>IF(COUNTIF('کدهای پیام‌داروساز'!$A$2:$A$2442,A3398)&gt;0,"بله","خیر")</f>
        <v/>
      </c>
    </row>
    <row r="3399" ht="15" customHeight="1" s="14">
      <c r="A3399" s="24" t="n">
        <v>53013</v>
      </c>
      <c r="B3399" s="24" t="inlineStr">
        <is>
          <t>DAPAGLIFLOZIN (AS PROPANEDIOL) / METFORMIN HYDROCHLORIDE TABLET ORAL 5 mg/1000 mg</t>
        </is>
      </c>
      <c r="C3399" s="25">
        <f>IF(COUNTIF('کدهای پیام‌داروساز'!$A$2:$A$2442,A3399)&gt;0,"بله","خیر")</f>
        <v/>
      </c>
    </row>
    <row r="3400" ht="15" customHeight="1" s="14">
      <c r="A3400" s="24" t="n">
        <v>53016</v>
      </c>
      <c r="B3400" s="24" t="inlineStr">
        <is>
          <t>RANOLAZINE TABLET, EXTENDED RELEASE ORAL 1000 mg</t>
        </is>
      </c>
      <c r="C3400" s="25">
        <f>IF(COUNTIF('کدهای پیام‌داروساز'!$A$2:$A$2442,A3400)&gt;0,"بله","خیر")</f>
        <v/>
      </c>
    </row>
    <row r="3401" ht="15" customHeight="1" s="14">
      <c r="A3401" s="24" t="n">
        <v>53017</v>
      </c>
      <c r="B3401" s="24" t="inlineStr">
        <is>
          <t>INOTUZUMAB OZOGAMICIN INJECTION, POWDER, LYOPHILIZED, FOR SOLUTION PARENTERAL 1 mg</t>
        </is>
      </c>
      <c r="C3401" s="25">
        <f>IF(COUNTIF('کدهای پیام‌داروساز'!$A$2:$A$2442,A3401)&gt;0,"بله","خیر")</f>
        <v/>
      </c>
    </row>
    <row r="3402" ht="15" customHeight="1" s="14">
      <c r="A3402" s="24" t="n">
        <v>53018</v>
      </c>
      <c r="B3402" s="24" t="inlineStr">
        <is>
          <t>MINOCYCLINE (AS HYDROCHLORIDE) CAPSULE ORAL 100 mg</t>
        </is>
      </c>
      <c r="C3402" s="25">
        <f>IF(COUNTIF('کدهای پیام‌داروساز'!$A$2:$A$2442,A3402)&gt;0,"بله","خیر")</f>
        <v/>
      </c>
    </row>
    <row r="3403" ht="15" customHeight="1" s="14">
      <c r="A3403" s="24" t="n">
        <v>53019</v>
      </c>
      <c r="B3403" s="24" t="inlineStr">
        <is>
          <t>PILOCARPINE HYDROCHLORIDE SOLUTION, DROPS OPHTHALMIC 1.25 % 2.5 mL</t>
        </is>
      </c>
      <c r="C3403" s="25">
        <f>IF(COUNTIF('کدهای پیام‌داروساز'!$A$2:$A$2442,A3403)&gt;0,"بله","خیر")</f>
        <v/>
      </c>
    </row>
    <row r="3404" ht="15" customHeight="1" s="14">
      <c r="A3404" s="24" t="n">
        <v>53020</v>
      </c>
      <c r="B3404" s="24" t="inlineStr">
        <is>
          <t>INFLUENZA VACCINE, RECOMBINANT, TETRAVALENT INJECTION PARENTERAL 1 {dose} 0.5 mL</t>
        </is>
      </c>
      <c r="C3404" s="25">
        <f>IF(COUNTIF('کدهای پیام‌داروساز'!$A$2:$A$2442,A3404)&gt;0,"بله","خیر")</f>
        <v/>
      </c>
    </row>
    <row r="3405" ht="15" customHeight="1" s="14">
      <c r="A3405" s="24" t="n">
        <v>53021</v>
      </c>
      <c r="B3405" s="24" t="inlineStr">
        <is>
          <t>RIFAMPICIN SUSPENSION ORAL 20 mg/1mL 200 mL</t>
        </is>
      </c>
      <c r="C3405" s="25">
        <f>IF(COUNTIF('کدهای پیام‌داروساز'!$A$2:$A$2442,A3405)&gt;0,"بله","خیر")</f>
        <v/>
      </c>
    </row>
    <row r="3406" ht="15" customHeight="1" s="14">
      <c r="A3406" s="24" t="n">
        <v>53022</v>
      </c>
      <c r="B3406" s="24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1206 mL</t>
        </is>
      </c>
      <c r="C3406" s="25">
        <f>IF(COUNTIF('کدهای پیام‌داروساز'!$A$2:$A$2442,A3406)&gt;0,"بله","خیر")</f>
        <v/>
      </c>
    </row>
    <row r="3407" ht="15" customHeight="1" s="14">
      <c r="A3407" s="24" t="n">
        <v>53023</v>
      </c>
      <c r="B3407" s="24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1448 mL</t>
        </is>
      </c>
      <c r="C3407" s="25">
        <f>IF(COUNTIF('کدهای پیام‌داروساز'!$A$2:$A$2442,A3407)&gt;0,"بله","خیر")</f>
        <v/>
      </c>
    </row>
    <row r="3408" ht="15" customHeight="1" s="14">
      <c r="A3408" s="24" t="n">
        <v>53024</v>
      </c>
      <c r="B3408" s="24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1904 mL</t>
        </is>
      </c>
      <c r="C3408" s="25">
        <f>IF(COUNTIF('کدهای پیام‌داروساز'!$A$2:$A$2442,A3408)&gt;0,"بله","خیر")</f>
        <v/>
      </c>
    </row>
    <row r="3409" ht="15" customHeight="1" s="14">
      <c r="A3409" s="24" t="n">
        <v>53025</v>
      </c>
      <c r="B3409" s="24" t="inlineStr">
        <is>
          <t>ACETAMINOPHEN / CAFFEINE / IBUPROFEN TABLET ORAL 325 mg/40 mg/200 mg</t>
        </is>
      </c>
      <c r="C3409" s="25">
        <f>IF(COUNTIF('کدهای پیام‌داروساز'!$A$2:$A$2442,A3409)&gt;0,"بله","خیر")</f>
        <v/>
      </c>
    </row>
    <row r="3410" ht="15" customHeight="1" s="14">
      <c r="A3410" s="24" t="n">
        <v>53026</v>
      </c>
      <c r="B3410" s="24" t="inlineStr">
        <is>
          <t>PAPAVERINE HYDROCHLORIDE INJECTION PARENTERAL 20 mg/1mL 2 mL</t>
        </is>
      </c>
      <c r="C3410" s="25">
        <f>IF(COUNTIF('کدهای پیام‌داروساز'!$A$2:$A$2442,A3410)&gt;0,"بله","خیر")</f>
        <v/>
      </c>
    </row>
    <row r="3411" ht="15" customHeight="1" s="14">
      <c r="A3411" s="24" t="n">
        <v>53027</v>
      </c>
      <c r="B3411" s="24" t="inlineStr">
        <is>
          <t>DEXTROMETHORPHAN / GUAIFENESIN SYRUP ORAL 5 mg/100 mg/5mL 60 mL</t>
        </is>
      </c>
      <c r="C3411" s="25">
        <f>IF(COUNTIF('کدهای پیام‌داروساز'!$A$2:$A$2442,A3411)&gt;0,"بله","خیر")</f>
        <v/>
      </c>
    </row>
    <row r="3412" ht="15" customHeight="1" s="14">
      <c r="A3412" s="24" t="n">
        <v>53028</v>
      </c>
      <c r="B3412" s="24" t="inlineStr">
        <is>
          <t>CHLOROQUINE (AS PHOSPHATE) SUSPENSION ORAL 50 mg/5mL 60 mL</t>
        </is>
      </c>
      <c r="C3412" s="25">
        <f>IF(COUNTIF('کدهای پیام‌داروساز'!$A$2:$A$2442,A3412)&gt;0,"بله","خیر")</f>
        <v/>
      </c>
    </row>
    <row r="3413" ht="15" customHeight="1" s="14">
      <c r="A3413" s="24" t="n">
        <v>53029</v>
      </c>
      <c r="B3413" s="24" t="inlineStr">
        <is>
          <t>STIRIPENTOL POWDER, FOR SUSPENSION ORAL 250 mg</t>
        </is>
      </c>
      <c r="C3413" s="25">
        <f>IF(COUNTIF('کدهای پیام‌داروساز'!$A$2:$A$2442,A3413)&gt;0,"بله","خیر")</f>
        <v/>
      </c>
    </row>
    <row r="3414" ht="15" customHeight="1" s="14">
      <c r="A3414" s="24" t="n">
        <v>53030</v>
      </c>
      <c r="B3414" s="24" t="inlineStr">
        <is>
          <t>DABRAFENIB (AS MESILATE) CAPSULE ORAL 75 mg</t>
        </is>
      </c>
      <c r="C3414" s="25">
        <f>IF(COUNTIF('کدهای پیام‌داروساز'!$A$2:$A$2442,A3414)&gt;0,"بله","خیر")</f>
        <v/>
      </c>
    </row>
    <row r="3415" ht="15" customHeight="1" s="14">
      <c r="A3415" s="24" t="n">
        <v>53031</v>
      </c>
      <c r="B3415" s="24" t="inlineStr">
        <is>
          <t>ISOTRETINOIN CAPSULE, LIQUID FILLED ORAL 10 mg</t>
        </is>
      </c>
      <c r="C3415" s="25">
        <f>IF(COUNTIF('کدهای پیام‌داروساز'!$A$2:$A$2442,A3415)&gt;0,"بله","خیر")</f>
        <v/>
      </c>
    </row>
    <row r="3416" ht="15" customHeight="1" s="14">
      <c r="A3416" s="24" t="n">
        <v>53036</v>
      </c>
      <c r="B3416" s="24" t="inlineStr">
        <is>
          <t>CHARCOAL ACTIVATED SUSPENSION ORAL 200 mg/1mL 125 mL</t>
        </is>
      </c>
      <c r="C3416" s="25">
        <f>IF(COUNTIF('کدهای پیام‌داروساز'!$A$2:$A$2442,A3416)&gt;0,"بله","خیر")</f>
        <v/>
      </c>
    </row>
    <row r="3417" ht="15" customHeight="1" s="14">
      <c r="A3417" s="24" t="n">
        <v>53037</v>
      </c>
      <c r="B3417" s="24" t="inlineStr">
        <is>
          <t>IVOSIDENIB TABLET ORAL 250 mg</t>
        </is>
      </c>
      <c r="C3417" s="25">
        <f>IF(COUNTIF('کدهای پیام‌داروساز'!$A$2:$A$2442,A3417)&gt;0,"بله","خیر")</f>
        <v/>
      </c>
    </row>
    <row r="3418" ht="15" customHeight="1" s="14">
      <c r="A3418" s="24" t="n">
        <v>53038</v>
      </c>
      <c r="B3418" s="24" t="inlineStr">
        <is>
          <t>IBUPROFEN / METHOCARBAMOL TABLET ORAL 200 mg/500 mg</t>
        </is>
      </c>
      <c r="C3418" s="25">
        <f>IF(COUNTIF('کدهای پیام‌داروساز'!$A$2:$A$2442,A3418)&gt;0,"بله","خیر")</f>
        <v/>
      </c>
    </row>
    <row r="3419" ht="15" customHeight="1" s="14">
      <c r="A3419" s="24" t="n">
        <v>53039</v>
      </c>
      <c r="B3419" s="24" t="inlineStr">
        <is>
          <t>DOMPERIDONE SUSPENSION ORAL 1 mg/1 mL 250 mL</t>
        </is>
      </c>
      <c r="C3419" s="25">
        <f>IF(COUNTIF('کدهای پیام‌داروساز'!$A$2:$A$2442,A3419)&gt;0,"بله","خیر")</f>
        <v/>
      </c>
    </row>
    <row r="3420" ht="15" customHeight="1" s="14">
      <c r="A3420" s="24" t="n">
        <v>53040</v>
      </c>
      <c r="B3420" s="24" t="inlineStr">
        <is>
          <t>TRAMETINIB (AS DIMETHYL SULFOXIDE) TABLET ORAL 2 mg</t>
        </is>
      </c>
      <c r="C3420" s="25">
        <f>IF(COUNTIF('کدهای پیام‌داروساز'!$A$2:$A$2442,A3420)&gt;0,"بله","خیر")</f>
        <v/>
      </c>
    </row>
    <row r="3421" ht="15" customHeight="1" s="14">
      <c r="A3421" s="24" t="n">
        <v>53041</v>
      </c>
      <c r="B3421" s="24" t="inlineStr">
        <is>
          <t>FUROSEMIDE SOLUTION ORAL 40 mg/5mL 60 mL</t>
        </is>
      </c>
      <c r="C3421" s="25">
        <f>IF(COUNTIF('کدهای پیام‌داروساز'!$A$2:$A$2442,A3421)&gt;0,"بله","خیر")</f>
        <v/>
      </c>
    </row>
    <row r="3422" ht="15" customHeight="1" s="14">
      <c r="A3422" s="24" t="n">
        <v>53042</v>
      </c>
      <c r="B3422" s="24" t="inlineStr">
        <is>
          <t>GERMANIUM (68 Ge) / GALLIUM (68 Ga) SOLUTION INTRAVENOUS 30 mCi 3 mL</t>
        </is>
      </c>
      <c r="C3422" s="25">
        <f>IF(COUNTIF('کدهای پیام‌داروساز'!$A$2:$A$2442,A3422)&gt;0,"بله","خیر")</f>
        <v/>
      </c>
    </row>
    <row r="3423" ht="15" customHeight="1" s="14">
      <c r="A3423" s="24" t="n">
        <v>53043</v>
      </c>
      <c r="B3423" s="24" t="inlineStr">
        <is>
          <t>GERMANIUM (68 Ge) / GALLIUM (68 Ga) SOLUTION INTRAVENOUS 50 mCi 3 mL</t>
        </is>
      </c>
      <c r="C3423" s="25">
        <f>IF(COUNTIF('کدهای پیام‌داروساز'!$A$2:$A$2442,A3423)&gt;0,"بله","خیر")</f>
        <v/>
      </c>
    </row>
    <row r="3424" ht="15" customHeight="1" s="14">
      <c r="A3424" s="24" t="n">
        <v>53044</v>
      </c>
      <c r="B3424" s="24" t="inlineStr">
        <is>
          <t>GERMANIUM (68 Ge) / GALLIUM (68 Ga) SOLUTION INTRAVENOUS 100 mCi 3 mL</t>
        </is>
      </c>
      <c r="C3424" s="25">
        <f>IF(COUNTIF('کدهای پیام‌داروساز'!$A$2:$A$2442,A3424)&gt;0,"بله","خیر")</f>
        <v/>
      </c>
    </row>
    <row r="3425" ht="15" customHeight="1" s="14">
      <c r="A3425" s="24" t="n">
        <v>53045</v>
      </c>
      <c r="B3425" s="24" t="inlineStr">
        <is>
          <t>HUMAN AUTOLOGOUS SKIN MELANOCYTE &amp; KERATINOCYTE CELLS INJECTION, SUSPENSION INTRAEPIDERMAL 4 mL</t>
        </is>
      </c>
      <c r="C3425" s="25">
        <f>IF(COUNTIF('کدهای پیام‌داروساز'!$A$2:$A$2442,A3425)&gt;0,"بله","خیر")</f>
        <v/>
      </c>
    </row>
    <row r="3426" ht="15" customHeight="1" s="14">
      <c r="A3426" s="24" t="n">
        <v>53046</v>
      </c>
      <c r="B3426" s="24" t="inlineStr">
        <is>
          <t>CODEINE PHOSPHATE / GUAIFENESIN SYRUP ORAL 8 mg/200 mg/5 mL 60 mL</t>
        </is>
      </c>
      <c r="C3426" s="25">
        <f>IF(COUNTIF('کدهای پیام‌داروساز'!$A$2:$A$2442,A3426)&gt;0,"بله","خیر")</f>
        <v/>
      </c>
    </row>
    <row r="3427" ht="15" customHeight="1" s="14">
      <c r="A3427" s="24" t="n">
        <v>53047</v>
      </c>
      <c r="B3427" s="24" t="inlineStr">
        <is>
          <t>CODEINE PHOSPHATE / GUAIFENESIN SYRUP ORAL 7.5 mg/225 mg/5 mL 60 mL</t>
        </is>
      </c>
      <c r="C3427" s="25">
        <f>IF(COUNTIF('کدهای پیام‌داروساز'!$A$2:$A$2442,A3427)&gt;0,"بله","خیر")</f>
        <v/>
      </c>
    </row>
    <row r="3428" ht="15" customHeight="1" s="14">
      <c r="A3428" s="24" t="n">
        <v>53048</v>
      </c>
      <c r="B3428" s="24" t="inlineStr">
        <is>
          <t>ISOFLURANE INHALANT RESPIRATORY 100 % 250 mL</t>
        </is>
      </c>
      <c r="C3428" s="25">
        <f>IF(COUNTIF('کدهای پیام‌داروساز'!$A$2:$A$2442,A3428)&gt;0,"بله","خیر")</f>
        <v/>
      </c>
    </row>
    <row r="3429" ht="15" customHeight="1" s="14">
      <c r="A3429" s="24" t="n">
        <v>53049</v>
      </c>
      <c r="B3429" s="24" t="inlineStr">
        <is>
          <t>MEFENAMIC ACID TABLET ORAL 500 mg</t>
        </is>
      </c>
      <c r="C3429" s="25">
        <f>IF(COUNTIF('کدهای پیام‌داروساز'!$A$2:$A$2442,A3429)&gt;0,"بله","خیر")</f>
        <v/>
      </c>
    </row>
    <row r="3430" ht="15" customHeight="1" s="14">
      <c r="A3430" s="24" t="n">
        <v>53050</v>
      </c>
      <c r="B3430" s="24" t="inlineStr">
        <is>
          <t>DICLOFENAC SODIUM TABLET, EXTENDED RELEASE ORAL 150 mg</t>
        </is>
      </c>
      <c r="C3430" s="25">
        <f>IF(COUNTIF('کدهای پیام‌داروساز'!$A$2:$A$2442,A3430)&gt;0,"بله","خیر")</f>
        <v/>
      </c>
    </row>
    <row r="3431" ht="15" customHeight="1" s="14">
      <c r="A3431" s="24" t="n">
        <v>53051</v>
      </c>
      <c r="B3431" s="24" t="inlineStr">
        <is>
          <t>PRALIDOXIME IODIDE INJECTION, SOLUTION PARENTERAL 25 mg/1 mL 20 mL</t>
        </is>
      </c>
      <c r="C3431" s="25">
        <f>IF(COUNTIF('کدهای پیام‌داروساز'!$A$2:$A$2442,A3431)&gt;0,"بله","خیر")</f>
        <v/>
      </c>
    </row>
    <row r="3432" ht="15" customHeight="1" s="14">
      <c r="A3432" s="24" t="n">
        <v>53052</v>
      </c>
      <c r="B3432" s="24" t="inlineStr">
        <is>
          <t>IFOSFAMIDE INJECTION, SOLUTION PARENTERAL 40 mg/1mL 50 mL</t>
        </is>
      </c>
      <c r="C3432" s="25">
        <f>IF(COUNTIF('کدهای پیام‌داروساز'!$A$2:$A$2442,A3432)&gt;0,"بله","خیر")</f>
        <v/>
      </c>
    </row>
    <row r="3433" ht="15" customHeight="1" s="14">
      <c r="A3433" s="24" t="n">
        <v>53053</v>
      </c>
      <c r="B3433" s="24" t="inlineStr">
        <is>
          <t>AMOXICILLIN POWDER, FOR SUSPENSION ORAL 125 mg/5mL 30 mL</t>
        </is>
      </c>
      <c r="C3433" s="25">
        <f>IF(COUNTIF('کدهای پیام‌داروساز'!$A$2:$A$2442,A3433)&gt;0,"بله","خیر")</f>
        <v/>
      </c>
    </row>
    <row r="3434" ht="15" customHeight="1" s="14">
      <c r="A3434" s="24" t="n">
        <v>53055</v>
      </c>
      <c r="B3434" s="24" t="inlineStr">
        <is>
          <t>CEFALEXIN POWDER, FOR SUSPENSION ORAL 125 mg/5mL 30 mL</t>
        </is>
      </c>
      <c r="C3434" s="25">
        <f>IF(COUNTIF('کدهای پیام‌داروساز'!$A$2:$A$2442,A3434)&gt;0,"بله","خیر")</f>
        <v/>
      </c>
    </row>
    <row r="3435" ht="15" customHeight="1" s="14">
      <c r="A3435" s="24" t="n">
        <v>53056</v>
      </c>
      <c r="B3435" s="24" t="inlineStr">
        <is>
          <t>CO-AMOXICLAV POWDER, FOR SUSPENSION ORAL 400 mg/57 mg/5 mL 30 mL</t>
        </is>
      </c>
      <c r="C3435" s="25">
        <f>IF(COUNTIF('کدهای پیام‌داروساز'!$A$2:$A$2442,A3435)&gt;0,"بله","خیر")</f>
        <v/>
      </c>
    </row>
    <row r="3436" ht="15" customHeight="1" s="14">
      <c r="A3436" s="24" t="n">
        <v>53057</v>
      </c>
      <c r="B3436" s="24" t="inlineStr">
        <is>
          <t>CO-AMOXICLAV POWDER, FOR SUSPENSION ORAL 200 mg/28.5 mg/5 mL 30 mL</t>
        </is>
      </c>
      <c r="C3436" s="25">
        <f>IF(COUNTIF('کدهای پیام‌داروساز'!$A$2:$A$2442,A3436)&gt;0,"بله","خیر")</f>
        <v/>
      </c>
    </row>
    <row r="3437" ht="15" customHeight="1" s="14">
      <c r="A3437" s="24" t="n">
        <v>53058</v>
      </c>
      <c r="B3437" s="24" t="inlineStr">
        <is>
          <t>CLOBETASOL PROPIONATE LOTION TOPICAL 0.05 % 30 mL</t>
        </is>
      </c>
      <c r="C3437" s="25">
        <f>IF(COUNTIF('کدهای پیام‌داروساز'!$A$2:$A$2442,A3437)&gt;0,"بله","خیر")</f>
        <v/>
      </c>
    </row>
    <row r="3438" ht="15" customHeight="1" s="14">
      <c r="A3438" s="24" t="n">
        <v>53059</v>
      </c>
      <c r="B3438" s="24" t="inlineStr">
        <is>
          <t>SURFACTANT (BOVINE LIPID EXTRACT) INJECTION, SUSPENSION TRANSTRACHEAL 27 mg/1mL 4 mL</t>
        </is>
      </c>
      <c r="C3438" s="25">
        <f>IF(COUNTIF('کدهای پیام‌داروساز'!$A$2:$A$2442,A3438)&gt;0,"بله","خیر")</f>
        <v/>
      </c>
    </row>
    <row r="3439" ht="15" customHeight="1" s="14">
      <c r="A3439" s="24" t="n">
        <v>53060</v>
      </c>
      <c r="B3439" s="24" t="inlineStr">
        <is>
          <t>SURFACTANT (BOVINE LIPID EXTRACT) INJECTION, SUSPENSION TRANSTRACHEAL 27 mg/1mL 3 mL</t>
        </is>
      </c>
      <c r="C3439" s="25">
        <f>IF(COUNTIF('کدهای پیام‌داروساز'!$A$2:$A$2442,A3439)&gt;0,"بله","خیر")</f>
        <v/>
      </c>
    </row>
    <row r="3440" ht="15" customHeight="1" s="14">
      <c r="A3440" s="24" t="n">
        <v>53061</v>
      </c>
      <c r="B3440" s="24" t="inlineStr">
        <is>
          <t>BUDESONIDE CAPSULE RESPIRATORY 200 ug</t>
        </is>
      </c>
      <c r="C3440" s="25">
        <f>IF(COUNTIF('کدهای پیام‌داروساز'!$A$2:$A$2442,A3440)&gt;0,"بله","خیر")</f>
        <v/>
      </c>
    </row>
    <row r="3441" ht="15" customHeight="1" s="14">
      <c r="A3441" s="24" t="n">
        <v>53062</v>
      </c>
      <c r="B3441" s="24" t="inlineStr">
        <is>
          <t>BUDESONIDE CAPSULE RESPIRATORY 400 ug</t>
        </is>
      </c>
      <c r="C3441" s="25">
        <f>IF(COUNTIF('کدهای پیام‌داروساز'!$A$2:$A$2442,A3441)&gt;0,"بله","خیر")</f>
        <v/>
      </c>
    </row>
    <row r="3442" ht="15" customHeight="1" s="14">
      <c r="A3442" s="24" t="n">
        <v>53063</v>
      </c>
      <c r="B3442" s="24" t="inlineStr">
        <is>
          <t>FLUOXETINE (AS HYDROCHLORIDE) TABLET ORAL 10 mg</t>
        </is>
      </c>
      <c r="C3442" s="25">
        <f>IF(COUNTIF('کدهای پیام‌داروساز'!$A$2:$A$2442,A3442)&gt;0,"بله","خیر")</f>
        <v/>
      </c>
    </row>
    <row r="3443" ht="15" customHeight="1" s="14">
      <c r="A3443" s="24" t="n">
        <v>53064</v>
      </c>
      <c r="B3443" s="24" t="inlineStr">
        <is>
          <t>FLUOXETINE (AS HYDROCHLORIDE) TABLET ORAL 20 mg</t>
        </is>
      </c>
      <c r="C3443" s="25">
        <f>IF(COUNTIF('کدهای پیام‌داروساز'!$A$2:$A$2442,A3443)&gt;0,"بله","خیر")</f>
        <v/>
      </c>
    </row>
    <row r="3444" ht="15" customHeight="1" s="14">
      <c r="A3444" s="24" t="n">
        <v>53065</v>
      </c>
      <c r="B3444" s="24" t="inlineStr">
        <is>
          <t>MEMANTINE HYDROCHLORIDE CAPSULE, EXTENDED RELEASE ORAL 7 mg</t>
        </is>
      </c>
      <c r="C3444" s="25">
        <f>IF(COUNTIF('کدهای پیام‌داروساز'!$A$2:$A$2442,A3444)&gt;0,"بله","خیر")</f>
        <v/>
      </c>
    </row>
    <row r="3445" ht="15" customHeight="1" s="14">
      <c r="A3445" s="24" t="n">
        <v>53066</v>
      </c>
      <c r="B3445" s="24" t="inlineStr">
        <is>
          <t>MEMANTINE HYDROCHLORIDE CAPSULE, EXTENDED RELEASE ORAL 28 mg</t>
        </is>
      </c>
      <c r="C3445" s="25">
        <f>IF(COUNTIF('کدهای پیام‌داروساز'!$A$2:$A$2442,A3445)&gt;0,"بله","خیر")</f>
        <v/>
      </c>
    </row>
    <row r="3446" ht="15" customHeight="1" s="14">
      <c r="A3446" s="24" t="n">
        <v>53067</v>
      </c>
      <c r="B3446" s="24" t="inlineStr">
        <is>
          <t>LIPID INFUSION 10% (2) INJECTION, SOLUTION INTRAVENOUS 100 mg/22 mg/12 mg/1mL 500 mL</t>
        </is>
      </c>
      <c r="C3446" s="25">
        <f>IF(COUNTIF('کدهای پیام‌داروساز'!$A$2:$A$2442,A3446)&gt;0,"بله","خیر")</f>
        <v/>
      </c>
    </row>
    <row r="3447" ht="15" customHeight="1" s="14">
      <c r="A3447" s="24" t="n">
        <v>53069</v>
      </c>
      <c r="B3447" s="24" t="inlineStr">
        <is>
          <t>AZITHROMYCIN SUSPENSION ORAL 100 mg/5mL 15 mL</t>
        </is>
      </c>
      <c r="C3447" s="25">
        <f>IF(COUNTIF('کدهای پیام‌داروساز'!$A$2:$A$2442,A3447)&gt;0,"بله","خیر")</f>
        <v/>
      </c>
    </row>
    <row r="3448" ht="15" customHeight="1" s="14">
      <c r="A3448" s="24" t="n">
        <v>53070</v>
      </c>
      <c r="B3448" s="24" t="inlineStr">
        <is>
          <t>AZITHROMYCIN SUSPENSION ORAL 100 mg/5mL 30 mL</t>
        </is>
      </c>
      <c r="C3448" s="25">
        <f>IF(COUNTIF('کدهای پیام‌داروساز'!$A$2:$A$2442,A3448)&gt;0,"بله","خیر")</f>
        <v/>
      </c>
    </row>
    <row r="3449" ht="15" customHeight="1" s="14">
      <c r="A3449" s="24" t="n">
        <v>53071</v>
      </c>
      <c r="B3449" s="24" t="inlineStr">
        <is>
          <t>AZITHROMYCIN SUSPENSION ORAL 200 mg/5mL 15 mL</t>
        </is>
      </c>
      <c r="C3449" s="25">
        <f>IF(COUNTIF('کدهای پیام‌داروساز'!$A$2:$A$2442,A3449)&gt;0,"بله","خیر")</f>
        <v/>
      </c>
    </row>
    <row r="3450" ht="15" customHeight="1" s="14">
      <c r="A3450" s="24" t="n">
        <v>53072</v>
      </c>
      <c r="B3450" s="24" t="inlineStr">
        <is>
          <t>AZITHROMYCIN SUSPENSION ORAL 200 mg/5mL 30 mL</t>
        </is>
      </c>
      <c r="C3450" s="25">
        <f>IF(COUNTIF('کدهای پیام‌داروساز'!$A$2:$A$2442,A3450)&gt;0,"بله","خیر")</f>
        <v/>
      </c>
    </row>
    <row r="3451" ht="15" customHeight="1" s="14">
      <c r="A3451" s="24" t="n">
        <v>53073</v>
      </c>
      <c r="B3451" s="24" t="inlineStr">
        <is>
          <t>AMOXICILLIN POWDER, FOR SUSPENSION ORAL 250 mg/5mL 80 mL</t>
        </is>
      </c>
      <c r="C3451" s="25">
        <f>IF(COUNTIF('کدهای پیام‌داروساز'!$A$2:$A$2442,A3451)&gt;0,"بله","خیر")</f>
        <v/>
      </c>
    </row>
    <row r="3452" ht="15" customHeight="1" s="14">
      <c r="A3452" s="24" t="n">
        <v>53074</v>
      </c>
      <c r="B3452" s="24" t="inlineStr">
        <is>
          <t>AMOXICILLIN POWDER, FOR SUSPENSION ORAL 250 mg/5mL 60 mL</t>
        </is>
      </c>
      <c r="C3452" s="25">
        <f>IF(COUNTIF('کدهای پیام‌داروساز'!$A$2:$A$2442,A3452)&gt;0,"بله","خیر")</f>
        <v/>
      </c>
    </row>
    <row r="3453" ht="15" customHeight="1" s="14">
      <c r="A3453" s="24" t="n">
        <v>53076</v>
      </c>
      <c r="B3453" s="24" t="inlineStr">
        <is>
          <t>TRAMADOL HYDROCHLORIDE INJECTION PARENTERAL 50 mg/1mL 2 mL</t>
        </is>
      </c>
      <c r="C3453" s="25">
        <f>IF(COUNTIF('کدهای پیام‌داروساز'!$A$2:$A$2442,A3453)&gt;0,"بله","خیر")</f>
        <v/>
      </c>
    </row>
    <row r="3454" ht="15" customHeight="1" s="14">
      <c r="A3454" s="24" t="n">
        <v>53077</v>
      </c>
      <c r="B3454" s="24" t="inlineStr">
        <is>
          <t>MOCLOBEMIDE TABLET ORAL 300 mg</t>
        </is>
      </c>
      <c r="C3454" s="25">
        <f>IF(COUNTIF('کدهای پیام‌داروساز'!$A$2:$A$2442,A3454)&gt;0,"بله","خیر")</f>
        <v/>
      </c>
    </row>
    <row r="3455" ht="15" customHeight="1" s="14">
      <c r="A3455" s="24" t="n">
        <v>53079</v>
      </c>
      <c r="B3455" s="24" t="inlineStr">
        <is>
          <t>AXITINIB TABLET ORAL 5 mg</t>
        </is>
      </c>
      <c r="C3455" s="25">
        <f>IF(COUNTIF('کدهای پیام‌داروساز'!$A$2:$A$2442,A3455)&gt;0,"بله","خیر")</f>
        <v/>
      </c>
    </row>
    <row r="3456" ht="15" customHeight="1" s="14">
      <c r="A3456" s="24" t="n">
        <v>53080</v>
      </c>
      <c r="B3456" s="24" t="inlineStr">
        <is>
          <t>ACETAMINOPHEN / CAFFEINE / IBUPROFEN CAPSULE ORAL 250 mg/50 mg/200 mg</t>
        </is>
      </c>
      <c r="C3456" s="25">
        <f>IF(COUNTIF('کدهای پیام‌داروساز'!$A$2:$A$2442,A3456)&gt;0,"بله","خیر")</f>
        <v/>
      </c>
    </row>
    <row r="3457" ht="15" customHeight="1" s="14">
      <c r="A3457" s="24" t="n">
        <v>53081</v>
      </c>
      <c r="B3457" s="24" t="inlineStr">
        <is>
          <t>HUMAN PAPILLOMAVIRUS VACCINE (9-VALENT) INJECTION PARENTERAL 0.5 mL</t>
        </is>
      </c>
      <c r="C3457" s="25">
        <f>IF(COUNTIF('کدهای پیام‌داروساز'!$A$2:$A$2442,A3457)&gt;0,"بله","خیر")</f>
        <v/>
      </c>
    </row>
    <row r="3458" ht="15" customHeight="1" s="14">
      <c r="A3458" s="24" t="n">
        <v>53082</v>
      </c>
      <c r="B3458" s="24" t="inlineStr">
        <is>
          <t>HUMAN PAPILLOMAVIRUS VACCINE (BIVALENT) INJECTION PARENTERAL 0.5 mL</t>
        </is>
      </c>
      <c r="C3458" s="25">
        <f>IF(COUNTIF('کدهای پیام‌داروساز'!$A$2:$A$2442,A3458)&gt;0,"بله","خیر")</f>
        <v/>
      </c>
    </row>
    <row r="3459" ht="15" customHeight="1" s="14">
      <c r="A3459" s="24" t="n">
        <v>53083</v>
      </c>
      <c r="B3459" s="24" t="inlineStr">
        <is>
          <t>TREPROSTINIL (AS SODIUM) INJECTION PARENTERAL 1 mg/1mL 10 mL</t>
        </is>
      </c>
      <c r="C3459" s="25">
        <f>IF(COUNTIF('کدهای پیام‌داروساز'!$A$2:$A$2442,A3459)&gt;0,"بله","خیر")</f>
        <v/>
      </c>
    </row>
    <row r="3460" ht="15" customHeight="1" s="14">
      <c r="A3460" s="24" t="n">
        <v>53084</v>
      </c>
      <c r="B3460" s="24" t="inlineStr">
        <is>
          <t>TREPROSTINIL (AS SODIUM) INJECTION PARENTERAL 2.5 mg/1mL 10 mL</t>
        </is>
      </c>
      <c r="C3460" s="25">
        <f>IF(COUNTIF('کدهای پیام‌داروساز'!$A$2:$A$2442,A3460)&gt;0,"بله","خیر")</f>
        <v/>
      </c>
    </row>
    <row r="3461" ht="15" customHeight="1" s="14">
      <c r="A3461" s="24" t="n">
        <v>53085</v>
      </c>
      <c r="B3461" s="24" t="inlineStr">
        <is>
          <t>TREPROSTINIL (AS SODIUM) INJECTION PARENTERAL 5 mg/1mL 10 mL</t>
        </is>
      </c>
      <c r="C3461" s="25">
        <f>IF(COUNTIF('کدهای پیام‌داروساز'!$A$2:$A$2442,A3461)&gt;0,"بله","خیر")</f>
        <v/>
      </c>
    </row>
    <row r="3462" ht="15" customHeight="1" s="14">
      <c r="A3462" s="24" t="n">
        <v>53087</v>
      </c>
      <c r="B3462" s="24" t="inlineStr">
        <is>
          <t>PROPRANOLOL HYDROCHLORIDE SYRUP ORAL 4.28 mg/1mL 60 mL</t>
        </is>
      </c>
      <c r="C3462" s="25">
        <f>IF(COUNTIF('کدهای پیام‌داروساز'!$A$2:$A$2442,A3462)&gt;0,"بله","خیر")</f>
        <v/>
      </c>
    </row>
    <row r="3463" ht="15" customHeight="1" s="14">
      <c r="A3463" s="24" t="n">
        <v>53088</v>
      </c>
      <c r="B3463" s="24" t="inlineStr">
        <is>
          <t>PHENOBARBITAL ELIXIR ORAL 15 mg/5mL 60 mL</t>
        </is>
      </c>
      <c r="C3463" s="25">
        <f>IF(COUNTIF('کدهای پیام‌داروساز'!$A$2:$A$2442,A3463)&gt;0,"بله","خیر")</f>
        <v/>
      </c>
    </row>
    <row r="3464" ht="15" customHeight="1" s="14">
      <c r="A3464" s="24" t="n">
        <v>53089</v>
      </c>
      <c r="B3464" s="24" t="inlineStr">
        <is>
          <t>LEVODOPA / BENSERAZIDE TABLET, ORALLY DISINTEGRATING ORAL 100 mg/25 mg</t>
        </is>
      </c>
      <c r="C3464" s="25">
        <f>IF(COUNTIF('کدهای پیام‌داروساز'!$A$2:$A$2442,A3464)&gt;0,"بله","خیر")</f>
        <v/>
      </c>
    </row>
    <row r="3465" ht="15" customHeight="1" s="14">
      <c r="A3465" s="24" t="n">
        <v>53090</v>
      </c>
      <c r="B3465" s="24" t="inlineStr">
        <is>
          <t>TRASTUZUMAB DERUXTECAN INJECTION, POWDER, FOR SOLUTION PARENTERAL 100 mg</t>
        </is>
      </c>
      <c r="C3465" s="25">
        <f>IF(COUNTIF('کدهای پیام‌داروساز'!$A$2:$A$2442,A3465)&gt;0,"بله","خیر")</f>
        <v/>
      </c>
    </row>
    <row r="3466" ht="15" customHeight="1" s="14">
      <c r="A3466" s="24" t="n">
        <v>53091</v>
      </c>
      <c r="B3466" s="24" t="inlineStr">
        <is>
          <t>OPIPRAMOL DIHYDROCHLORIDE TABLET ORAL 50 mg</t>
        </is>
      </c>
      <c r="C3466" s="25">
        <f>IF(COUNTIF('کدهای پیام‌داروساز'!$A$2:$A$2442,A3466)&gt;0,"بله","خیر")</f>
        <v/>
      </c>
    </row>
    <row r="3467" ht="15" customHeight="1" s="14">
      <c r="A3467" s="24" t="n">
        <v>53092</v>
      </c>
      <c r="B3467" s="24" t="inlineStr">
        <is>
          <t>FOMEPIZOLE (AS SULFATE) INJECTION PARENTERAL 5 mg/1mL 20 mL</t>
        </is>
      </c>
      <c r="C3467" s="25">
        <f>IF(COUNTIF('کدهای پیام‌داروساز'!$A$2:$A$2442,A3467)&gt;0,"بله","خیر")</f>
        <v/>
      </c>
    </row>
    <row r="3468" ht="15" customHeight="1" s="14">
      <c r="A3468" s="24" t="n">
        <v>53093</v>
      </c>
      <c r="B3468" s="24" t="inlineStr">
        <is>
          <t>CLOBETASOL PROPIONATE LOTION TOPICAL 0.05 % 20 mL</t>
        </is>
      </c>
      <c r="C3468" s="25">
        <f>IF(COUNTIF('کدهای پیام‌داروساز'!$A$2:$A$2442,A3468)&gt;0,"بله","خیر")</f>
        <v/>
      </c>
    </row>
    <row r="3469" ht="15" customHeight="1" s="14">
      <c r="A3469" s="24" t="n">
        <v>53094</v>
      </c>
      <c r="B3469" s="24" t="inlineStr">
        <is>
          <t>DONEPEZIL HYDROCHLORIDE TABLET, ORALLY DISINTEGRATING ORAL 5 mg</t>
        </is>
      </c>
      <c r="C3469" s="25">
        <f>IF(COUNTIF('کدهای پیام‌داروساز'!$A$2:$A$2442,A3469)&gt;0,"بله","خیر")</f>
        <v/>
      </c>
    </row>
    <row r="3470" ht="15" customHeight="1" s="14">
      <c r="A3470" s="24" t="n">
        <v>53095</v>
      </c>
      <c r="B3470" s="24" t="inlineStr">
        <is>
          <t>DONEPEZIL HYDROCHLORIDE TABLET, ORALLY DISINTEGRATING ORAL 10 mg</t>
        </is>
      </c>
      <c r="C3470" s="25">
        <f>IF(COUNTIF('کدهای پیام‌داروساز'!$A$2:$A$2442,A3470)&gt;0,"بله","خیر")</f>
        <v/>
      </c>
    </row>
    <row r="3471" ht="15" customHeight="1" s="14">
      <c r="A3471" s="24" t="n">
        <v>53096</v>
      </c>
      <c r="B3471" s="24" t="inlineStr">
        <is>
          <t>OMALIZUMAB INJECTION, SOLUTION PARENTERAL 150 mg/1mL 1 mL</t>
        </is>
      </c>
      <c r="C3471" s="25">
        <f>IF(COUNTIF('کدهای پیام‌داروساز'!$A$2:$A$2442,A3471)&gt;0,"بله","خیر")</f>
        <v/>
      </c>
    </row>
    <row r="3472" ht="15" customHeight="1" s="14">
      <c r="A3472" s="24" t="n">
        <v>53097</v>
      </c>
      <c r="B3472" s="24" t="inlineStr">
        <is>
          <t>EFAVIRENZ SUSPENSION ORAL 30 mg/1mL 180 mL</t>
        </is>
      </c>
      <c r="C3472" s="25">
        <f>IF(COUNTIF('کدهای پیام‌داروساز'!$A$2:$A$2442,A3472)&gt;0,"بله","خیر")</f>
        <v/>
      </c>
    </row>
    <row r="3473" ht="15" customHeight="1" s="14">
      <c r="A3473" s="24" t="n">
        <v>53098</v>
      </c>
      <c r="B3473" s="24" t="inlineStr">
        <is>
          <t>ACICLOVIR SUSPENSION ORAL 200 mg/5mL 120 mL</t>
        </is>
      </c>
      <c r="C3473" s="25">
        <f>IF(COUNTIF('کدهای پیام‌داروساز'!$A$2:$A$2442,A3473)&gt;0,"بله","خیر")</f>
        <v/>
      </c>
    </row>
    <row r="3474" ht="15" customHeight="1" s="14">
      <c r="A3474" s="24" t="n">
        <v>53099</v>
      </c>
      <c r="B3474" s="24" t="inlineStr">
        <is>
          <t>ZOSTER VACCINE, RECOMBINANT INJECTION, POWDER, FOR SUSPENSION PARENTERAL 50 ug/0.5mL</t>
        </is>
      </c>
      <c r="C3474" s="25">
        <f>IF(COUNTIF('کدهای پیام‌داروساز'!$A$2:$A$2442,A3474)&gt;0,"بله","خیر")</f>
        <v/>
      </c>
    </row>
    <row r="3475" ht="15" customHeight="1" s="14">
      <c r="A3475" s="24" t="n">
        <v>53100</v>
      </c>
      <c r="B3475" s="24" t="inlineStr">
        <is>
          <t>MELOXICAM TABLET, ORALLY DISINTEGRATING ORAL 7.5 mg</t>
        </is>
      </c>
      <c r="C3475" s="25">
        <f>IF(COUNTIF('کدهای پیام‌داروساز'!$A$2:$A$2442,A3475)&gt;0,"بله","خیر")</f>
        <v/>
      </c>
    </row>
    <row r="3476" ht="15" customHeight="1" s="14">
      <c r="A3476" s="24" t="n">
        <v>53101</v>
      </c>
      <c r="B3476" s="24" t="inlineStr">
        <is>
          <t>MELOXICAM TABLET, ORALLY DISINTEGRATING ORAL 15 mg</t>
        </is>
      </c>
      <c r="C3476" s="25">
        <f>IF(COUNTIF('کدهای پیام‌داروساز'!$A$2:$A$2442,A3476)&gt;0,"بله","خیر")</f>
        <v/>
      </c>
    </row>
    <row r="3477" ht="15" customHeight="1" s="14">
      <c r="A3477" s="24" t="n">
        <v>53102</v>
      </c>
      <c r="B3477" s="24" t="inlineStr">
        <is>
          <t>ATAZANAVIR (AS SULFATE) TABLET ORAL 200 mg</t>
        </is>
      </c>
      <c r="C3477" s="25">
        <f>IF(COUNTIF('کدهای پیام‌داروساز'!$A$2:$A$2442,A3477)&gt;0,"بله","خیر")</f>
        <v/>
      </c>
    </row>
    <row r="3478" ht="15" customHeight="1" s="14">
      <c r="A3478" s="24" t="n">
        <v>53107</v>
      </c>
      <c r="B3478" s="24" t="inlineStr">
        <is>
          <t>GLYCERIN IODINE SOLUTION TOPICAL 2 % 10 mL</t>
        </is>
      </c>
      <c r="C3478" s="25">
        <f>IF(COUNTIF('کدهای پیام‌داروساز'!$A$2:$A$2442,A3478)&gt;0,"بله","خیر")</f>
        <v/>
      </c>
    </row>
    <row r="3479" ht="15" customHeight="1" s="14">
      <c r="A3479" s="24" t="n">
        <v>53108</v>
      </c>
      <c r="B3479" s="24" t="inlineStr">
        <is>
          <t>BORIC ACID ALCOHOL SOLUTION TOPICAL 3 % 10 mL</t>
        </is>
      </c>
      <c r="C3479" s="25">
        <f>IF(COUNTIF('کدهای پیام‌داروساز'!$A$2:$A$2442,A3479)&gt;0,"بله","خیر")</f>
        <v/>
      </c>
    </row>
    <row r="3480" ht="15" customHeight="1" s="14">
      <c r="A3480" s="24" t="n">
        <v>53109</v>
      </c>
      <c r="B3480" s="24" t="inlineStr">
        <is>
          <t>PROGESTERONE INJECTION PARENTERAL 25 mg/1mL 2 mL</t>
        </is>
      </c>
      <c r="C3480" s="25">
        <f>IF(COUNTIF('کدهای پیام‌داروساز'!$A$2:$A$2442,A3480)&gt;0,"بله","خیر")</f>
        <v/>
      </c>
    </row>
    <row r="3481" ht="15" customHeight="1" s="14">
      <c r="A3481" s="24" t="n">
        <v>53111</v>
      </c>
      <c r="B3481" s="24" t="inlineStr">
        <is>
          <t>IMIQUIMOD CREAM TOPICAL 5 % 7.5 g</t>
        </is>
      </c>
      <c r="C3481" s="25">
        <f>IF(COUNTIF('کدهای پیام‌داروساز'!$A$2:$A$2442,A3481)&gt;0,"بله","خیر")</f>
        <v/>
      </c>
    </row>
    <row r="3482" ht="15" customHeight="1" s="14">
      <c r="A3482" s="24" t="n">
        <v>53112</v>
      </c>
      <c r="B3482" s="24" t="inlineStr">
        <is>
          <t>TECHNETIUM (99MTC) HYNIC-PSMA 11 INJECTION, POWDER, LYOPHILIZED, FOR SOLUTION PARENTERAL 20 ug</t>
        </is>
      </c>
      <c r="C3482" s="25">
        <f>IF(COUNTIF('کدهای پیام‌داروساز'!$A$2:$A$2442,A3482)&gt;0,"بله","خیر")</f>
        <v/>
      </c>
    </row>
    <row r="3483" ht="15" customHeight="1" s="14">
      <c r="A3483" s="24" t="n">
        <v>53113</v>
      </c>
      <c r="B3483" s="24" t="inlineStr">
        <is>
          <t>ADULT COLD PREPARATIONS (8-2) TABLET ORAL 325 mg/10 mg/100 mg/5 mg</t>
        </is>
      </c>
      <c r="C3483" s="25">
        <f>IF(COUNTIF('کدهای پیام‌داروساز'!$A$2:$A$2442,A3483)&gt;0,"بله","خیر")</f>
        <v/>
      </c>
    </row>
    <row r="3484" ht="15" customHeight="1" s="14">
      <c r="A3484" s="24" t="n">
        <v>53114</v>
      </c>
      <c r="B3484" s="24" t="inlineStr">
        <is>
          <t>VEDOLIZUMAB INJECTION, SOLUTION PARENTERAL 108 mg/0.68mL</t>
        </is>
      </c>
      <c r="C3484" s="25">
        <f>IF(COUNTIF('کدهای پیام‌داروساز'!$A$2:$A$2442,A3484)&gt;0,"بله","خیر")</f>
        <v/>
      </c>
    </row>
    <row r="3485" ht="15" customHeight="1" s="14">
      <c r="A3485" s="24" t="n">
        <v>53115</v>
      </c>
      <c r="B3485" s="24" t="inlineStr">
        <is>
          <t>NIVOLUMAB INJECTION, SOLUTION, CONCENTRATE PARENTERAL 10 mg/1mL 24 mL</t>
        </is>
      </c>
      <c r="C3485" s="25">
        <f>IF(COUNTIF('کدهای پیام‌داروساز'!$A$2:$A$2442,A3485)&gt;0,"بله","خیر")</f>
        <v/>
      </c>
    </row>
    <row r="3486" ht="15" customHeight="1" s="14">
      <c r="A3486" s="24" t="n">
        <v>53117</v>
      </c>
      <c r="B3486" s="24" t="inlineStr">
        <is>
          <t>ENZALUTAMIDE TABLET ORAL 40 mg</t>
        </is>
      </c>
      <c r="C3486" s="25">
        <f>IF(COUNTIF('کدهای پیام‌داروساز'!$A$2:$A$2442,A3486)&gt;0,"بله","خیر")</f>
        <v/>
      </c>
    </row>
    <row r="3487" ht="15" customHeight="1" s="14">
      <c r="A3487" s="24" t="n">
        <v>53118</v>
      </c>
      <c r="B3487" s="24" t="inlineStr">
        <is>
          <t>ENZALUTAMIDE TABLET ORAL 80 mg</t>
        </is>
      </c>
      <c r="C3487" s="25">
        <f>IF(COUNTIF('کدهای پیام‌داروساز'!$A$2:$A$2442,A3487)&gt;0,"بله","خیر")</f>
        <v/>
      </c>
    </row>
    <row r="3488" ht="15" customHeight="1" s="14">
      <c r="A3488" s="24" t="n">
        <v>53120</v>
      </c>
      <c r="B3488" s="24" t="inlineStr">
        <is>
          <t>OMEPRAZOLE / SODIUM BICARBONATE POWDER, FOR SUSPENSION ORAL 20 mg/1680 mg</t>
        </is>
      </c>
      <c r="C3488" s="25">
        <f>IF(COUNTIF('کدهای پیام‌داروساز'!$A$2:$A$2442,A3488)&gt;0,"بله","خیر")</f>
        <v/>
      </c>
    </row>
    <row r="3489" ht="15" customHeight="1" s="14">
      <c r="A3489" s="24" t="n">
        <v>53121</v>
      </c>
      <c r="B3489" s="24" t="inlineStr">
        <is>
          <t>OMEPRAZOLE / SODIUM BICARBONATE POWDER, FOR SUSPENSION ORAL 40 mg/1680 mg</t>
        </is>
      </c>
      <c r="C3489" s="25">
        <f>IF(COUNTIF('کدهای پیام‌داروساز'!$A$2:$A$2442,A3489)&gt;0,"بله","خیر")</f>
        <v/>
      </c>
    </row>
    <row r="3490" ht="15" customHeight="1" s="14">
      <c r="A3490" s="24" t="n">
        <v>53122</v>
      </c>
      <c r="B3490" s="24" t="inlineStr">
        <is>
          <t>COLLAGENASE CLOSTRIDIUM HISTOLYTICUM INJECTION, POWDER, LYOPHILIZED PARENTERAL 0.9 mg</t>
        </is>
      </c>
      <c r="C3490" s="25">
        <f>IF(COUNTIF('کدهای پیام‌داروساز'!$A$2:$A$2442,A3490)&gt;0,"بله","خیر")</f>
        <v/>
      </c>
    </row>
    <row r="3491" ht="15" customHeight="1" s="14">
      <c r="A3491" s="24" t="n">
        <v>53123</v>
      </c>
      <c r="B3491" s="24" t="inlineStr">
        <is>
          <t>PERTUZUMAB / TRASTUZUMAB INJECTION PARENTERAL 60 mg/60 mg/1mL 10 mL</t>
        </is>
      </c>
      <c r="C3491" s="25">
        <f>IF(COUNTIF('کدهای پیام‌داروساز'!$A$2:$A$2442,A3491)&gt;0,"بله","خیر")</f>
        <v/>
      </c>
    </row>
    <row r="3492" ht="15" customHeight="1" s="14">
      <c r="A3492" s="24" t="n">
        <v>53124</v>
      </c>
      <c r="B3492" s="24" t="inlineStr">
        <is>
          <t>PERTUZUMAB / TRASTUZUMAB INJECTION PARENTERAL 80 mg/40 mg/1mL 15 mL</t>
        </is>
      </c>
      <c r="C3492" s="25">
        <f>IF(COUNTIF('کدهای پیام‌داروساز'!$A$2:$A$2442,A3492)&gt;0,"بله","خیر")</f>
        <v/>
      </c>
    </row>
    <row r="3493" ht="15" customHeight="1" s="14">
      <c r="A3493" s="24" t="n">
        <v>53125</v>
      </c>
      <c r="B3493" s="24" t="inlineStr">
        <is>
          <t>METHOTREXATE SODIUM INJECTION PARENTERAL 5 mg/1mL 3 mL</t>
        </is>
      </c>
      <c r="C3493" s="25">
        <f>IF(COUNTIF('کدهای پیام‌داروساز'!$A$2:$A$2442,A3493)&gt;0,"بله","خیر")</f>
        <v/>
      </c>
    </row>
    <row r="3494" ht="15" customHeight="1" s="14">
      <c r="A3494" s="24" t="n">
        <v>53126</v>
      </c>
      <c r="B3494" s="24" t="inlineStr">
        <is>
          <t>LORLATINIB TABLET ORAL 100 mg</t>
        </is>
      </c>
      <c r="C3494" s="25">
        <f>IF(COUNTIF('کدهای پیام‌داروساز'!$A$2:$A$2442,A3494)&gt;0,"بله","خیر")</f>
        <v/>
      </c>
    </row>
    <row r="3495" ht="15" customHeight="1" s="14">
      <c r="A3495" s="24" t="n">
        <v>53127</v>
      </c>
      <c r="B3495" s="24" t="inlineStr">
        <is>
          <t>RIOCIGUAT TABLET ORAL 2 mg</t>
        </is>
      </c>
      <c r="C3495" s="25">
        <f>IF(COUNTIF('کدهای پیام‌داروساز'!$A$2:$A$2442,A3495)&gt;0,"بله","خیر")</f>
        <v/>
      </c>
    </row>
    <row r="3496" ht="15" customHeight="1" s="14">
      <c r="A3496" s="24" t="n">
        <v>53128</v>
      </c>
      <c r="B3496" s="24" t="inlineStr">
        <is>
          <t>BEXAROTENE CAPSULE ORAL 75 mg</t>
        </is>
      </c>
      <c r="C3496" s="25">
        <f>IF(COUNTIF('کدهای پیام‌داروساز'!$A$2:$A$2442,A3496)&gt;0,"بله","خیر")</f>
        <v/>
      </c>
    </row>
    <row r="3497" ht="15" customHeight="1" s="14">
      <c r="A3497" s="24" t="n">
        <v>53129</v>
      </c>
      <c r="B3497" s="24" t="inlineStr">
        <is>
          <t>LEVODOPA / BENSERAZIDE CAPSULE, EXTENDED RELEASE ORAL 100 mg/25 mg</t>
        </is>
      </c>
      <c r="C3497" s="25">
        <f>IF(COUNTIF('کدهای پیام‌داروساز'!$A$2:$A$2442,A3497)&gt;0,"بله","خیر")</f>
        <v/>
      </c>
    </row>
    <row r="3498" ht="15" customHeight="1" s="14">
      <c r="A3498" s="24" t="n">
        <v>53130</v>
      </c>
      <c r="B3498" s="24" t="inlineStr">
        <is>
          <t>ZOLPIDEM TARTRATE TABLET, EXTENDED RELEASE ORAL 6.25 mg</t>
        </is>
      </c>
      <c r="C3498" s="25">
        <f>IF(COUNTIF('کدهای پیام‌داروساز'!$A$2:$A$2442,A3498)&gt;0,"بله","خیر")</f>
        <v/>
      </c>
    </row>
    <row r="3499" ht="15" customHeight="1" s="14">
      <c r="A3499" s="24" t="n">
        <v>53132</v>
      </c>
      <c r="B3499" s="24" t="inlineStr">
        <is>
          <t>INSULIN GLARGINE / LIXISENATIDE INJECTION PARENTERAL 100 [iU]/50 ug/1mL 3 mL</t>
        </is>
      </c>
      <c r="C3499" s="25">
        <f>IF(COUNTIF('کدهای پیام‌داروساز'!$A$2:$A$2442,A3499)&gt;0,"بله","خیر")</f>
        <v/>
      </c>
    </row>
    <row r="3500" ht="15" customHeight="1" s="14">
      <c r="A3500" s="24" t="n">
        <v>53133</v>
      </c>
      <c r="B3500" s="24" t="inlineStr">
        <is>
          <t>INSULIN GLARGINE / LIXISENATIDE INJECTION PARENTERAL 100 [iU]/33 ug/1mL 3 mL</t>
        </is>
      </c>
      <c r="C3500" s="25">
        <f>IF(COUNTIF('کدهای پیام‌داروساز'!$A$2:$A$2442,A3500)&gt;0,"بله","خیر")</f>
        <v/>
      </c>
    </row>
    <row r="3501" ht="15" customHeight="1" s="14">
      <c r="A3501" s="24" t="n">
        <v>53134</v>
      </c>
      <c r="B3501" s="24" t="inlineStr">
        <is>
          <t>DURVALUMAB INJECTION PARENTERAL 50 mg/1mL 10 mL</t>
        </is>
      </c>
      <c r="C3501" s="25">
        <f>IF(COUNTIF('کدهای پیام‌داروساز'!$A$2:$A$2442,A3501)&gt;0,"بله","خیر")</f>
        <v/>
      </c>
    </row>
    <row r="3502" ht="15" customHeight="1" s="14">
      <c r="A3502" s="24" t="n">
        <v>53135</v>
      </c>
      <c r="B3502" s="24" t="inlineStr">
        <is>
          <t>RISPERIDONE SOLUTION ORAL 1 mg/1mL 120 mL</t>
        </is>
      </c>
      <c r="C3502" s="25">
        <f>IF(COUNTIF('کدهای پیام‌داروساز'!$A$2:$A$2442,A3502)&gt;0,"بله","خیر")</f>
        <v/>
      </c>
    </row>
    <row r="3503" ht="15" customHeight="1" s="14">
      <c r="A3503" s="24" t="n">
        <v>53136</v>
      </c>
      <c r="B3503" s="24" t="inlineStr">
        <is>
          <t>USTEKINUMAB INJECTION, SOLUTION PARENTERAL 90 mg/1mL 0.5 mL</t>
        </is>
      </c>
      <c r="C3503" s="25">
        <f>IF(COUNTIF('کدهای پیام‌داروساز'!$A$2:$A$2442,A3503)&gt;0,"بله","خیر")</f>
        <v/>
      </c>
    </row>
    <row r="3504" ht="15" customHeight="1" s="14">
      <c r="A3504" s="24" t="n">
        <v>53137</v>
      </c>
      <c r="B3504" s="24" t="inlineStr">
        <is>
          <t>USTEKINUMAB INJECTION, SOLUTION, CONCENTRATE PARENTERAL 5 mg/1mL 26 mL</t>
        </is>
      </c>
      <c r="C3504" s="25">
        <f>IF(COUNTIF('کدهای پیام‌داروساز'!$A$2:$A$2442,A3504)&gt;0,"بله","خیر")</f>
        <v/>
      </c>
    </row>
    <row r="3505" ht="15" customHeight="1" s="14">
      <c r="A3505" s="24" t="n">
        <v>53138</v>
      </c>
      <c r="B3505" s="24" t="inlineStr">
        <is>
          <t>USTEKINUMAB INJECTION, SOLUTION PARENTERAL 90 mg/1mL 1 mL</t>
        </is>
      </c>
      <c r="C3505" s="25">
        <f>IF(COUNTIF('کدهای پیام‌داروساز'!$A$2:$A$2442,A3505)&gt;0,"بله","خیر")</f>
        <v/>
      </c>
    </row>
    <row r="3506" ht="15" customHeight="1" s="14">
      <c r="A3506" s="24" t="n">
        <v>53139</v>
      </c>
      <c r="B3506" s="24" t="inlineStr">
        <is>
          <t>IBUPROFEN / FAMOTIDINE TABLET ORAL 800 mg/26.6 mg</t>
        </is>
      </c>
      <c r="C3506" s="25">
        <f>IF(COUNTIF('کدهای پیام‌داروساز'!$A$2:$A$2442,A3506)&gt;0,"بله","خیر")</f>
        <v/>
      </c>
    </row>
    <row r="3507" ht="15" customHeight="1" s="14">
      <c r="A3507" s="24" t="n">
        <v>53140</v>
      </c>
      <c r="B3507" s="24" t="inlineStr">
        <is>
          <t>GUSELKUMAB INJECTION, SOLUTION PARENTERAL 100 mg/1mL 1 mL</t>
        </is>
      </c>
      <c r="C3507" s="25">
        <f>IF(COUNTIF('کدهای پیام‌داروساز'!$A$2:$A$2442,A3507)&gt;0,"بله","خیر")</f>
        <v/>
      </c>
    </row>
    <row r="3508" ht="15" customHeight="1" s="14">
      <c r="A3508" s="24" t="n">
        <v>53141</v>
      </c>
      <c r="B3508" s="24" t="inlineStr">
        <is>
          <t>DEXAMETHASONE / LIDOCAINE / VITAMIN B1 / VITAMIN B12 INJECTION, SOLUTION PARENTERAL 4 mg/60 mg/50 mg/250 ug/2mL</t>
        </is>
      </c>
      <c r="C3508" s="25">
        <f>IF(COUNTIF('کدهای پیام‌داروساز'!$A$2:$A$2442,A3508)&gt;0,"بله","خیر")</f>
        <v/>
      </c>
    </row>
    <row r="3509" ht="15" customHeight="1" s="14">
      <c r="A3509" s="24" t="n">
        <v>53142</v>
      </c>
      <c r="B3509" s="24" t="inlineStr">
        <is>
          <t>COAGULATION FACTOR VIII (RECOMBINANT) INJECTION, POWDER, LYOPHILIZED, FOR SOLUTION PARENTERAL 2000 [iU]</t>
        </is>
      </c>
      <c r="C3509" s="25">
        <f>IF(COUNTIF('کدهای پیام‌داروساز'!$A$2:$A$2442,A3509)&gt;0,"بله","خیر")</f>
        <v/>
      </c>
    </row>
    <row r="3510" ht="15" customHeight="1" s="14">
      <c r="A3510" s="24" t="n">
        <v>53143</v>
      </c>
      <c r="B3510" s="24" t="inlineStr">
        <is>
          <t>TUCATINIB TABLET ORAL 150 mg</t>
        </is>
      </c>
      <c r="C3510" s="25">
        <f>IF(COUNTIF('کدهای پیام‌داروساز'!$A$2:$A$2442,A3510)&gt;0,"بله","خیر")</f>
        <v/>
      </c>
    </row>
    <row r="3511" ht="15" customHeight="1" s="14">
      <c r="A3511" s="24" t="n">
        <v>53144</v>
      </c>
      <c r="B3511" s="24" t="inlineStr">
        <is>
          <t>PERMETHRIN CREAM TOPICAL 5 % 60 g</t>
        </is>
      </c>
      <c r="C3511" s="25">
        <f>IF(COUNTIF('کدهای پیام‌داروساز'!$A$2:$A$2442,A3511)&gt;0,"بله","خیر")</f>
        <v/>
      </c>
    </row>
    <row r="3512" ht="15" customHeight="1" s="14">
      <c r="A3512" s="24" t="n">
        <v>53145</v>
      </c>
      <c r="B3512" s="24" t="inlineStr">
        <is>
          <t>DIPHTHERIA TOXOID / TETANUS TOXOID ADSORBED VACCINE (DT) (INFANTS &amp; CHILDREN) INJECTION PARENTERAL 10 {dose} 5 mL</t>
        </is>
      </c>
      <c r="C3512" s="25">
        <f>IF(COUNTIF('کدهای پیام‌داروساز'!$A$2:$A$2442,A3512)&gt;0,"بله","خیر")</f>
        <v/>
      </c>
    </row>
    <row r="3513" ht="15" customHeight="1" s="14">
      <c r="A3513" s="24" t="n">
        <v>53146</v>
      </c>
      <c r="B3513" s="24" t="inlineStr">
        <is>
          <t>CRIZOTINIB CAPSULE ORAL 200 mg</t>
        </is>
      </c>
      <c r="C3513" s="25">
        <f>IF(COUNTIF('کدهای پیام‌داروساز'!$A$2:$A$2442,A3513)&gt;0,"بله","خیر")</f>
        <v/>
      </c>
    </row>
    <row r="3514" ht="15" customHeight="1" s="14">
      <c r="A3514" s="24" t="n">
        <v>53147</v>
      </c>
      <c r="B3514" s="24" t="inlineStr">
        <is>
          <t>FOSFOMYCIN (AS SODIUM) INJECTION, POWDER PARENTERAL 2 g</t>
        </is>
      </c>
      <c r="C3514" s="25">
        <f>IF(COUNTIF('کدهای پیام‌داروساز'!$A$2:$A$2442,A3514)&gt;0,"بله","خیر")</f>
        <v/>
      </c>
    </row>
    <row r="3515" ht="15" customHeight="1" s="14">
      <c r="A3515" s="24" t="n">
        <v>53148</v>
      </c>
      <c r="B3515" s="24" t="inlineStr">
        <is>
          <t>FOSFOMYCIN (AS SODIUM) INJECTION, POWDER PARENTERAL 4 g</t>
        </is>
      </c>
      <c r="C3515" s="25">
        <f>IF(COUNTIF('کدهای پیام‌داروساز'!$A$2:$A$2442,A3515)&gt;0,"بله","خیر")</f>
        <v/>
      </c>
    </row>
    <row r="3516" ht="15" customHeight="1" s="14">
      <c r="A3516" s="24" t="n">
        <v>53152</v>
      </c>
      <c r="B3516" s="24" t="inlineStr">
        <is>
          <t>LIDOCAINE HYDROCHLORIDE INJECTION, SOLUTION PARENTERAL 4 % 5 mL</t>
        </is>
      </c>
      <c r="C3516" s="25">
        <f>IF(COUNTIF('کدهای پیام‌داروساز'!$A$2:$A$2442,A3516)&gt;0,"بله","خیر")</f>
        <v/>
      </c>
    </row>
    <row r="3517" ht="15" customHeight="1" s="14">
      <c r="A3517" s="24" t="n">
        <v>53153</v>
      </c>
      <c r="B3517" s="24" t="inlineStr">
        <is>
          <t>SODIUM BICARBONATE INJECTION PARENTERAL 4.2 % 50 mL</t>
        </is>
      </c>
      <c r="C3517" s="25">
        <f>IF(COUNTIF('کدهای پیام‌داروساز'!$A$2:$A$2442,A3517)&gt;0,"بله","خیر")</f>
        <v/>
      </c>
    </row>
    <row r="3518" ht="15" customHeight="1" s="14">
      <c r="A3518" s="24" t="n">
        <v>53154</v>
      </c>
      <c r="B3518" s="24" t="inlineStr">
        <is>
          <t>OK-432 (PICIBANIL) INJECTION, POWDER, FOR SUSPENSION PARENTERAL 0.1 mg</t>
        </is>
      </c>
      <c r="C3518" s="25">
        <f>IF(COUNTIF('کدهای پیام‌داروساز'!$A$2:$A$2442,A3518)&gt;0,"بله","خیر")</f>
        <v/>
      </c>
    </row>
    <row r="3519" ht="15" customHeight="1" s="14">
      <c r="A3519" s="24" t="n">
        <v>53155</v>
      </c>
      <c r="B3519" s="24" t="inlineStr">
        <is>
          <t>TOLVAPTAN TABLET ORAL 15 mg</t>
        </is>
      </c>
      <c r="C3519" s="25">
        <f>IF(COUNTIF('کدهای پیام‌داروساز'!$A$2:$A$2442,A3519)&gt;0,"بله","خیر")</f>
        <v/>
      </c>
    </row>
    <row r="3520" ht="15" customHeight="1" s="14">
      <c r="A3520" s="24" t="n">
        <v>53156</v>
      </c>
      <c r="B3520" s="24" t="inlineStr">
        <is>
          <t>CABOZANTINIB (AS (S)-MALATE) TABLET ORAL 40 mg</t>
        </is>
      </c>
      <c r="C3520" s="25">
        <f>IF(COUNTIF('کدهای پیام‌داروساز'!$A$2:$A$2442,A3520)&gt;0,"بله","خیر")</f>
        <v/>
      </c>
    </row>
    <row r="3521" ht="15" customHeight="1" s="14">
      <c r="A3521" s="24" t="n">
        <v>53157</v>
      </c>
      <c r="B3521" s="24" t="inlineStr">
        <is>
          <t>SIPONIMOD TABLET ORAL 0.25 mg</t>
        </is>
      </c>
      <c r="C3521" s="25">
        <f>IF(COUNTIF('کدهای پیام‌داروساز'!$A$2:$A$2442,A3521)&gt;0,"بله","خیر")</f>
        <v/>
      </c>
    </row>
    <row r="3522" ht="15" customHeight="1" s="14">
      <c r="A3522" s="24" t="n">
        <v>53158</v>
      </c>
      <c r="B3522" s="24" t="inlineStr">
        <is>
          <t>SIPONIMOD TABLET ORAL 1 mg</t>
        </is>
      </c>
      <c r="C3522" s="25">
        <f>IF(COUNTIF('کدهای پیام‌داروساز'!$A$2:$A$2442,A3522)&gt;0,"بله","خیر")</f>
        <v/>
      </c>
    </row>
    <row r="3523" ht="15" customHeight="1" s="14">
      <c r="A3523" s="24" t="n">
        <v>53159</v>
      </c>
      <c r="B3523" s="24" t="inlineStr">
        <is>
          <t>SIPONIMOD TABLET ORAL 2 mg</t>
        </is>
      </c>
      <c r="C3523" s="25">
        <f>IF(COUNTIF('کدهای پیام‌داروساز'!$A$2:$A$2442,A3523)&gt;0,"بله","خیر")</f>
        <v/>
      </c>
    </row>
    <row r="3524" ht="15" customHeight="1" s="14">
      <c r="A3524" s="24" t="n">
        <v>53160</v>
      </c>
      <c r="B3524" s="24" t="inlineStr">
        <is>
          <t>CODEINE PHOSPHATE / GUAIFENESIN / PHENYLEPHRINE SYRUP ORAL 7.9 mg/100 mg/5 mg/5mL 60 mL</t>
        </is>
      </c>
      <c r="C3524" s="25">
        <f>IF(COUNTIF('کدهای پیام‌داروساز'!$A$2:$A$2442,A3524)&gt;0,"بله","خیر")</f>
        <v/>
      </c>
    </row>
    <row r="3525" ht="15" customHeight="1" s="14">
      <c r="A3525" s="24" t="n">
        <v>53161</v>
      </c>
      <c r="B3525" s="24" t="inlineStr">
        <is>
          <t>DEXTROMETHORPHAN / GUAIFENESIN / PSEUDOEPHEDRINE SYRUP ORAL 15 mg/200 mg/30 mg/5mL 120 mL</t>
        </is>
      </c>
      <c r="C3525" s="25">
        <f>IF(COUNTIF('کدهای پیام‌داروساز'!$A$2:$A$2442,A3525)&gt;0,"بله","خیر")</f>
        <v/>
      </c>
    </row>
    <row r="3526" ht="15" customHeight="1" s="14">
      <c r="A3526" s="24" t="n">
        <v>53163</v>
      </c>
      <c r="B3526" s="24" t="inlineStr">
        <is>
          <t>MIRABEGRON TABLET, EXTENDED RELEASE ORAL 25 mg</t>
        </is>
      </c>
      <c r="C3526" s="25">
        <f>IF(COUNTIF('کدهای پیام‌داروساز'!$A$2:$A$2442,A3526)&gt;0,"بله","خیر")</f>
        <v/>
      </c>
    </row>
    <row r="3527" ht="15" customHeight="1" s="14">
      <c r="A3527" s="24" t="n">
        <v>53164</v>
      </c>
      <c r="B3527" s="24" t="inlineStr">
        <is>
          <t>BOSUTINIB (AS MONOHYDRATE) TABLET, COATED ORAL 400 mg</t>
        </is>
      </c>
      <c r="C3527" s="25">
        <f>IF(COUNTIF('کدهای پیام‌داروساز'!$A$2:$A$2442,A3527)&gt;0,"بله","خیر")</f>
        <v/>
      </c>
    </row>
    <row r="3528" ht="15" customHeight="1" s="14">
      <c r="A3528" s="24" t="n">
        <v>53165</v>
      </c>
      <c r="B3528" s="24" t="inlineStr">
        <is>
          <t>BOSUTINIB (AS MONOHYDRATE) TABLET, COATED ORAL 100 mg</t>
        </is>
      </c>
      <c r="C3528" s="25">
        <f>IF(COUNTIF('کدهای پیام‌داروساز'!$A$2:$A$2442,A3528)&gt;0,"بله","خیر")</f>
        <v/>
      </c>
    </row>
    <row r="3529" ht="15" customHeight="1" s="14">
      <c r="A3529" s="24" t="n">
        <v>53166</v>
      </c>
      <c r="B3529" s="24" t="inlineStr">
        <is>
          <t>BOSUTINIB (AS MONOHYDRATE) TABLET, COATED ORAL 500 mg</t>
        </is>
      </c>
      <c r="C3529" s="25">
        <f>IF(COUNTIF('کدهای پیام‌داروساز'!$A$2:$A$2442,A3529)&gt;0,"بله","خیر")</f>
        <v/>
      </c>
    </row>
    <row r="3530" ht="15" customHeight="1" s="14">
      <c r="A3530" s="24" t="n">
        <v>53167</v>
      </c>
      <c r="B3530" s="24" t="inlineStr">
        <is>
          <t>MINOCYCLINE (AS HYDROCHLORIDE) TABLET ORAL 50 mg</t>
        </is>
      </c>
      <c r="C3530" s="25">
        <f>IF(COUNTIF('کدهای پیام‌داروساز'!$A$2:$A$2442,A3530)&gt;0,"بله","خیر")</f>
        <v/>
      </c>
    </row>
    <row r="3531" ht="15" customHeight="1" s="14">
      <c r="A3531" s="24" t="n">
        <v>53168</v>
      </c>
      <c r="B3531" s="24" t="inlineStr">
        <is>
          <t>MINOCYCLINE (AS HYDROCHLORIDE) TABLET ORAL 100 mg</t>
        </is>
      </c>
      <c r="C3531" s="25">
        <f>IF(COUNTIF('کدهای پیام‌داروساز'!$A$2:$A$2442,A3531)&gt;0,"بله","خیر")</f>
        <v/>
      </c>
    </row>
    <row r="3532" ht="15" customHeight="1" s="14">
      <c r="A3532" s="24" t="n">
        <v>53171</v>
      </c>
      <c r="B3532" s="24" t="inlineStr">
        <is>
          <t>TOFACITINIB (AS CITRATE) TABLET, EXTENDED RELEASE ORAL 11 mg</t>
        </is>
      </c>
      <c r="C3532" s="25">
        <f>IF(COUNTIF('کدهای پیام‌داروساز'!$A$2:$A$2442,A3532)&gt;0,"بله","خیر")</f>
        <v/>
      </c>
    </row>
    <row r="3533" ht="15" customHeight="1" s="14">
      <c r="A3533" s="24" t="n">
        <v>53173</v>
      </c>
      <c r="B3533" s="24" t="inlineStr">
        <is>
          <t>TELMISARTAN / HYDROCHLOROTHIAZIDE TABLET ORAL 40 mg/12.5 mg</t>
        </is>
      </c>
      <c r="C3533" s="25">
        <f>IF(COUNTIF('کدهای پیام‌داروساز'!$A$2:$A$2442,A3533)&gt;0,"بله","خیر")</f>
        <v/>
      </c>
    </row>
    <row r="3534" ht="15" customHeight="1" s="14">
      <c r="A3534" s="24" t="n">
        <v>53174</v>
      </c>
      <c r="B3534" s="24" t="inlineStr">
        <is>
          <t>TELMISARTAN / HYDROCHLOROTHIAZIDE TABLET ORAL 80 mg/12.5 mg</t>
        </is>
      </c>
      <c r="C3534" s="25">
        <f>IF(COUNTIF('کدهای پیام‌داروساز'!$A$2:$A$2442,A3534)&gt;0,"بله","خیر")</f>
        <v/>
      </c>
    </row>
    <row r="3535" ht="15" customHeight="1" s="14">
      <c r="A3535" s="24" t="n">
        <v>53175</v>
      </c>
      <c r="B3535" s="24" t="inlineStr">
        <is>
          <t>TELMISARTAN / HYDROCHLOROTHIAZIDE TABLET ORAL 80 mg/25 mg</t>
        </is>
      </c>
      <c r="C3535" s="25">
        <f>IF(COUNTIF('کدهای پیام‌داروساز'!$A$2:$A$2442,A3535)&gt;0,"بله","خیر")</f>
        <v/>
      </c>
    </row>
    <row r="3536" ht="15" customHeight="1" s="14">
      <c r="A3536" s="24" t="n">
        <v>53176</v>
      </c>
      <c r="B3536" s="24" t="inlineStr">
        <is>
          <t>OLAPARIB TABLET ORAL 100 mg</t>
        </is>
      </c>
      <c r="C3536" s="25">
        <f>IF(COUNTIF('کدهای پیام‌داروساز'!$A$2:$A$2442,A3536)&gt;0,"بله","خیر")</f>
        <v/>
      </c>
    </row>
    <row r="3537" ht="15" customHeight="1" s="14">
      <c r="A3537" s="24" t="n">
        <v>53177</v>
      </c>
      <c r="B3537" s="24" t="inlineStr">
        <is>
          <t>BUDESONIDE / FORMOTEROL FUMARATE / GLYCOPYRRONIUM BROMIDE INHALANT RESPIRATORY 160 ug/5 ug/9 ug/1{dose} 120 {dose}</t>
        </is>
      </c>
      <c r="C3537" s="25">
        <f>IF(COUNTIF('کدهای پیام‌داروساز'!$A$2:$A$2442,A3537)&gt;0,"بله","خیر")</f>
        <v/>
      </c>
    </row>
    <row r="3538" ht="15" customHeight="1" s="14">
      <c r="A3538" s="24" t="n">
        <v>53179</v>
      </c>
      <c r="B3538" s="24" t="inlineStr">
        <is>
          <t>FENOFIBRATE / SIMVASTATIN TABLET ORAL 145 mg/40 mg</t>
        </is>
      </c>
      <c r="C3538" s="25">
        <f>IF(COUNTIF('کدهای پیام‌داروساز'!$A$2:$A$2442,A3538)&gt;0,"بله","خیر")</f>
        <v/>
      </c>
    </row>
    <row r="3539" ht="15" customHeight="1" s="14">
      <c r="A3539" s="24" t="n">
        <v>53181</v>
      </c>
      <c r="B3539" s="24" t="inlineStr">
        <is>
          <t>RIBOCICLIB (AS SUCCINATE) TABLET, COATED ORAL 200 mg</t>
        </is>
      </c>
      <c r="C3539" s="25">
        <f>IF(COUNTIF('کدهای پیام‌داروساز'!$A$2:$A$2442,A3539)&gt;0,"بله","خیر")</f>
        <v/>
      </c>
    </row>
    <row r="3540" ht="15" customHeight="1" s="14">
      <c r="A3540" s="24" t="n">
        <v>53187</v>
      </c>
      <c r="B3540" s="24" t="inlineStr">
        <is>
          <t>ERYTHROCYTES (RED BLOOD CELL, LEUCOCYTE REDUCED AND WASHED AND IRRADIATED) INJECTION PARENTERAL  270 mL</t>
        </is>
      </c>
      <c r="C3540" s="25">
        <f>IF(COUNTIF('کدهای پیام‌داروساز'!$A$2:$A$2442,A3540)&gt;0,"بله","خیر")</f>
        <v/>
      </c>
    </row>
    <row r="3541" ht="15" customHeight="1" s="14">
      <c r="A3541" s="24" t="n">
        <v>53189</v>
      </c>
      <c r="B3541" s="24" t="inlineStr">
        <is>
          <t>ERYTHROCYTES (RED BLOOD CELL, WASHED) INJECTION PARENTERAL  270 mL</t>
        </is>
      </c>
      <c r="C3541" s="25">
        <f>IF(COUNTIF('کدهای پیام‌داروساز'!$A$2:$A$2442,A3541)&gt;0,"بله","خیر")</f>
        <v/>
      </c>
    </row>
    <row r="3542" ht="15" customHeight="1" s="14">
      <c r="A3542" s="24" t="n">
        <v>53192</v>
      </c>
      <c r="B3542" s="24" t="inlineStr">
        <is>
          <t>ALENDRONATE (AS SODIUM) TABLET, EFFERVESCENT ORAL 70 mg</t>
        </is>
      </c>
      <c r="C3542" s="25">
        <f>IF(COUNTIF('کدهای پیام‌داروساز'!$A$2:$A$2442,A3542)&gt;0,"بله","خیر")</f>
        <v/>
      </c>
    </row>
    <row r="3543" ht="15" customHeight="1" s="14">
      <c r="A3543" s="24" t="n">
        <v>53193</v>
      </c>
      <c r="B3543" s="24" t="inlineStr">
        <is>
          <t>GEMTUZUMAB OZOGAMICIN INJECTION, POWDER, FOR SOLUTION PARENTERAL 4.5 mg</t>
        </is>
      </c>
      <c r="C3543" s="25">
        <f>IF(COUNTIF('کدهای پیام‌داروساز'!$A$2:$A$2442,A3543)&gt;0,"بله","خیر")</f>
        <v/>
      </c>
    </row>
    <row r="3544" ht="15" customHeight="1" s="14">
      <c r="A3544" s="24" t="n">
        <v>53194</v>
      </c>
      <c r="B3544" s="24" t="inlineStr">
        <is>
          <t>EFAVIRENZ / LAMIVUDINE / TENOFOVIR DISOPROXIL FUMARATE TABLET ORAL 400 mg/300 mg/300 mg</t>
        </is>
      </c>
      <c r="C3544" s="25">
        <f>IF(COUNTIF('کدهای پیام‌داروساز'!$A$2:$A$2442,A3544)&gt;0,"بله","خیر")</f>
        <v/>
      </c>
    </row>
    <row r="3545" ht="15" customHeight="1" s="14">
      <c r="A3545" s="24" t="n">
        <v>53197</v>
      </c>
      <c r="B3545" s="24" t="inlineStr">
        <is>
          <t>ZOLPIDEM TARTRATE TABLET, ORALLY DISINTEGRATING ORAL 5 mg</t>
        </is>
      </c>
      <c r="C3545" s="25">
        <f>IF(COUNTIF('کدهای پیام‌داروساز'!$A$2:$A$2442,A3545)&gt;0,"بله","خیر")</f>
        <v/>
      </c>
    </row>
    <row r="3546" ht="15" customHeight="1" s="14">
      <c r="A3546" s="24" t="n">
        <v>53198</v>
      </c>
      <c r="B3546" s="24" t="inlineStr">
        <is>
          <t>ZOLPIDEM TARTRATE TABLET, ORALLY DISINTEGRATING ORAL 10 mg</t>
        </is>
      </c>
      <c r="C3546" s="25">
        <f>IF(COUNTIF('کدهای پیام‌داروساز'!$A$2:$A$2442,A3546)&gt;0,"بله","خیر")</f>
        <v/>
      </c>
    </row>
    <row r="3547" ht="15" customHeight="1" s="14">
      <c r="A3547" s="24" t="n">
        <v>53199</v>
      </c>
      <c r="B3547" s="24" t="inlineStr">
        <is>
          <t>CLOBETASOL PROPIONATE OINTMENT TOPICAL 0.05 % 2000 g</t>
        </is>
      </c>
      <c r="C3547" s="25">
        <f>IF(COUNTIF('کدهای پیام‌داروساز'!$A$2:$A$2442,A3547)&gt;0,"بله","خیر")</f>
        <v/>
      </c>
    </row>
    <row r="3548" ht="15" customHeight="1" s="14">
      <c r="A3548" s="24" t="n">
        <v>53200</v>
      </c>
      <c r="B3548" s="24" t="inlineStr">
        <is>
          <t>ACICLOVIR POWDER, FOR SUSPENSION ORAL 200 mg/5mL 120 mL</t>
        </is>
      </c>
      <c r="C3548" s="25">
        <f>IF(COUNTIF('کدهای پیام‌داروساز'!$A$2:$A$2442,A3548)&gt;0,"بله","خیر")</f>
        <v/>
      </c>
    </row>
    <row r="3549" ht="15" customHeight="1" s="14">
      <c r="A3549" s="24" t="n">
        <v>53201</v>
      </c>
      <c r="B3549" s="24" t="inlineStr">
        <is>
          <t>DEXTROMETHORPHAN / PSEUDOEPHEDRINE SYRUP ORAL 15 mg/30 mg/5mL 120 mL</t>
        </is>
      </c>
      <c r="C3549" s="25">
        <f>IF(COUNTIF('کدهای پیام‌داروساز'!$A$2:$A$2442,A3549)&gt;0,"بله","خیر")</f>
        <v/>
      </c>
    </row>
    <row r="3550" ht="15" customHeight="1" s="14">
      <c r="A3550" s="24" t="n">
        <v>53202</v>
      </c>
      <c r="B3550" s="24" t="inlineStr">
        <is>
          <t>IRBESARTAN / HYDROCHLOROTHIAZIDE TABLET ORAL 150 mg/12.5 mg</t>
        </is>
      </c>
      <c r="C3550" s="25">
        <f>IF(COUNTIF('کدهای پیام‌داروساز'!$A$2:$A$2442,A3550)&gt;0,"بله","خیر")</f>
        <v/>
      </c>
    </row>
    <row r="3551" ht="15" customHeight="1" s="14">
      <c r="A3551" s="24" t="n">
        <v>53203</v>
      </c>
      <c r="B3551" s="24" t="inlineStr">
        <is>
          <t>IRBESARTAN / HYDROCHLOROTHIAZIDE TABLET ORAL 300 mg/12.5 mg</t>
        </is>
      </c>
      <c r="C3551" s="25">
        <f>IF(COUNTIF('کدهای پیام‌داروساز'!$A$2:$A$2442,A3551)&gt;0,"بله","خیر")</f>
        <v/>
      </c>
    </row>
    <row r="3552" ht="15" customHeight="1" s="14">
      <c r="A3552" s="24" t="n">
        <v>53204</v>
      </c>
      <c r="B3552" s="24" t="inlineStr">
        <is>
          <t>IRBESARTAN / HYDROCHLOROTHIAZIDE TABLET ORAL 300 mg/25 mg</t>
        </is>
      </c>
      <c r="C3552" s="25">
        <f>IF(COUNTIF('کدهای پیام‌داروساز'!$A$2:$A$2442,A3552)&gt;0,"بله","خیر")</f>
        <v/>
      </c>
    </row>
    <row r="3553" ht="15" customHeight="1" s="14">
      <c r="A3553" s="24" t="n">
        <v>53205</v>
      </c>
      <c r="B3553" s="24" t="inlineStr">
        <is>
          <t>RAMIPRIL CAPSULE ORAL 5 mg</t>
        </is>
      </c>
      <c r="C3553" s="25">
        <f>IF(COUNTIF('کدهای پیام‌داروساز'!$A$2:$A$2442,A3553)&gt;0,"بله","خیر")</f>
        <v/>
      </c>
    </row>
    <row r="3554" ht="15" customHeight="1" s="14">
      <c r="A3554" s="24" t="n">
        <v>53206</v>
      </c>
      <c r="B3554" s="24" t="inlineStr">
        <is>
          <t>RAMIPRIL CAPSULE ORAL 2.5 mg</t>
        </is>
      </c>
      <c r="C3554" s="25">
        <f>IF(COUNTIF('کدهای پیام‌داروساز'!$A$2:$A$2442,A3554)&gt;0,"بله","خیر")</f>
        <v/>
      </c>
    </row>
    <row r="3555" ht="15" customHeight="1" s="14">
      <c r="A3555" s="24" t="n">
        <v>53207</v>
      </c>
      <c r="B3555" s="24" t="inlineStr">
        <is>
          <t>RAMIPRIL TABLET ORAL 2.5 mg</t>
        </is>
      </c>
      <c r="C3555" s="25">
        <f>IF(COUNTIF('کدهای پیام‌داروساز'!$A$2:$A$2442,A3555)&gt;0,"بله","خیر")</f>
        <v/>
      </c>
    </row>
    <row r="3556" ht="15" customHeight="1" s="14">
      <c r="A3556" s="24" t="n">
        <v>53209</v>
      </c>
      <c r="B3556" s="24" t="inlineStr">
        <is>
          <t>RAMIPRIL TABLET ORAL 5 mg</t>
        </is>
      </c>
      <c r="C3556" s="25">
        <f>IF(COUNTIF('کدهای پیام‌داروساز'!$A$2:$A$2442,A3556)&gt;0,"بله","خیر")</f>
        <v/>
      </c>
    </row>
    <row r="3557" ht="15" customHeight="1" s="14">
      <c r="A3557" s="24" t="n">
        <v>53210</v>
      </c>
      <c r="B3557" s="24" t="inlineStr">
        <is>
          <t>RAMIPRIL TABLET ORAL 10 mg</t>
        </is>
      </c>
      <c r="C3557" s="25">
        <f>IF(COUNTIF('کدهای پیام‌داروساز'!$A$2:$A$2442,A3557)&gt;0,"بله","خیر")</f>
        <v/>
      </c>
    </row>
    <row r="3558" ht="15" customHeight="1" s="14">
      <c r="A3558" s="24" t="n">
        <v>53212</v>
      </c>
      <c r="B3558" s="24" t="inlineStr">
        <is>
          <t>NOREPINEPHRINE (AS BITARTRATE) INJECTION, SOLUTION, CONCENTRATE PARENTERAL 0.5 mg/1mL 4 mL</t>
        </is>
      </c>
      <c r="C3558" s="25">
        <f>IF(COUNTIF('کدهای پیام‌داروساز'!$A$2:$A$2442,A3558)&gt;0,"بله","خیر")</f>
        <v/>
      </c>
    </row>
    <row r="3559" ht="15" customHeight="1" s="14">
      <c r="A3559" s="24" t="n">
        <v>53213</v>
      </c>
      <c r="B3559" s="24" t="inlineStr">
        <is>
          <t>NOREPINEPHRINE (AS BITARTRATE) INJECTION, SOLUTION, CONCENTRATE PARENTERAL 0.5 mg/1mL 10 mL</t>
        </is>
      </c>
      <c r="C3559" s="25">
        <f>IF(COUNTIF('کدهای پیام‌داروساز'!$A$2:$A$2442,A3559)&gt;0,"بله","خیر")</f>
        <v/>
      </c>
    </row>
    <row r="3560" ht="15" customHeight="1" s="14">
      <c r="A3560" s="24" t="n">
        <v>53214</v>
      </c>
      <c r="B3560" s="24" t="inlineStr">
        <is>
          <t>LIPID INFUSION 20% (2) INJECTION, SOLUTION INTRAVENOUS 5 %/6 %/6 %/3 % 100 mL</t>
        </is>
      </c>
      <c r="C3560" s="25">
        <f>IF(COUNTIF('کدهای پیام‌داروساز'!$A$2:$A$2442,A3560)&gt;0,"بله","خیر")</f>
        <v/>
      </c>
    </row>
    <row r="3561" ht="15" customHeight="1" s="14">
      <c r="A3561" s="24" t="n">
        <v>53216</v>
      </c>
      <c r="B3561" s="24" t="inlineStr">
        <is>
          <t>PIROXICAM GEL TOPICAL 0.5 g/100g 30 g</t>
        </is>
      </c>
      <c r="C3561" s="25">
        <f>IF(COUNTIF('کدهای پیام‌داروساز'!$A$2:$A$2442,A3561)&gt;0,"بله","خیر")</f>
        <v/>
      </c>
    </row>
    <row r="3562" ht="15" customHeight="1" s="14">
      <c r="A3562" s="24" t="n">
        <v>53217</v>
      </c>
      <c r="B3562" s="24" t="inlineStr">
        <is>
          <t>METHOXSALEN INJECTION PARENTERAL 20 ug/1mL 5 mL</t>
        </is>
      </c>
      <c r="C3562" s="25">
        <f>IF(COUNTIF('کدهای پیام‌داروساز'!$A$2:$A$2442,A3562)&gt;0,"بله","خیر")</f>
        <v/>
      </c>
    </row>
    <row r="3563" ht="15" customHeight="1" s="14">
      <c r="A3563" s="24" t="n">
        <v>53218</v>
      </c>
      <c r="B3563" s="24" t="inlineStr">
        <is>
          <t>ABEMACICLIB TABLET ORAL 50 mg</t>
        </is>
      </c>
      <c r="C3563" s="25">
        <f>IF(COUNTIF('کدهای پیام‌داروساز'!$A$2:$A$2442,A3563)&gt;0,"بله","خیر")</f>
        <v/>
      </c>
    </row>
    <row r="3564" ht="15" customHeight="1" s="14">
      <c r="A3564" s="24" t="n">
        <v>53219</v>
      </c>
      <c r="B3564" s="24" t="inlineStr">
        <is>
          <t>ABEMACICLIB TABLET ORAL 100 mg</t>
        </is>
      </c>
      <c r="C3564" s="25">
        <f>IF(COUNTIF('کدهای پیام‌داروساز'!$A$2:$A$2442,A3564)&gt;0,"بله","خیر")</f>
        <v/>
      </c>
    </row>
    <row r="3565" ht="15" customHeight="1" s="14">
      <c r="A3565" s="24" t="n">
        <v>53220</v>
      </c>
      <c r="B3565" s="24" t="inlineStr">
        <is>
          <t>ABEMACICLIB TABLET ORAL 200 mg</t>
        </is>
      </c>
      <c r="C3565" s="25">
        <f>IF(COUNTIF('کدهای پیام‌داروساز'!$A$2:$A$2442,A3565)&gt;0,"بله","خیر")</f>
        <v/>
      </c>
    </row>
    <row r="3566" ht="15" customHeight="1" s="14">
      <c r="A3566" s="24" t="n">
        <v>53221</v>
      </c>
      <c r="B3566" s="24" t="inlineStr">
        <is>
          <t>TERLIPRESSIN ACETATE INJECTION, SOLUTION PARENTERAL 200 ug/1mL 5 mL</t>
        </is>
      </c>
      <c r="C3566" s="25">
        <f>IF(COUNTIF('کدهای پیام‌داروساز'!$A$2:$A$2442,A3566)&gt;0,"بله","خیر")</f>
        <v/>
      </c>
    </row>
    <row r="3567" ht="15" customHeight="1" s="14">
      <c r="A3567" s="24" t="n">
        <v>53223</v>
      </c>
      <c r="B3567" s="24" t="inlineStr">
        <is>
          <t>EPHEDRINE HYDROCHLORIDE INJECTION PARENTERAL 30 mg/1mL 1 mL</t>
        </is>
      </c>
      <c r="C3567" s="25">
        <f>IF(COUNTIF('کدهای پیام‌داروساز'!$A$2:$A$2442,A3567)&gt;0,"بله","خیر")</f>
        <v/>
      </c>
    </row>
    <row r="3568" ht="15" customHeight="1" s="14">
      <c r="A3568" s="24" t="n">
        <v>53224</v>
      </c>
      <c r="B3568" s="24" t="inlineStr">
        <is>
          <t>SUMATRIPTAN SPRAY NASAL 20 mg 6 {dose}</t>
        </is>
      </c>
      <c r="C3568" s="25">
        <f>IF(COUNTIF('کدهای پیام‌داروساز'!$A$2:$A$2442,A3568)&gt;0,"بله","خیر")</f>
        <v/>
      </c>
    </row>
    <row r="3569" ht="15" customHeight="1" s="14">
      <c r="A3569" s="24" t="n">
        <v>53227</v>
      </c>
      <c r="B3569" s="24" t="inlineStr">
        <is>
          <t>DORZOLAMIDE (AS HYDROCHLORIDE) / TIMOLOL (AS MALEATE) SOLUTION, DROPS OPHTHALMIC 2 %/0.5 % 10 mL</t>
        </is>
      </c>
      <c r="C3569" s="25">
        <f>IF(COUNTIF('کدهای پیام‌داروساز'!$A$2:$A$2442,A3569)&gt;0,"بله","خیر")</f>
        <v/>
      </c>
    </row>
    <row r="3570" ht="15" customHeight="1" s="14">
      <c r="A3570" s="24" t="n">
        <v>53228</v>
      </c>
      <c r="B3570" s="24" t="inlineStr">
        <is>
          <t>MYCOPHENOLATE MOFETIL INJECTION, POWDER, FOR SOLUTION PARENTERAL 500 mg</t>
        </is>
      </c>
      <c r="C3570" s="25">
        <f>IF(COUNTIF('کدهای پیام‌داروساز'!$A$2:$A$2442,A3570)&gt;0,"بله","خیر")</f>
        <v/>
      </c>
    </row>
    <row r="3571" ht="15" customHeight="1" s="14">
      <c r="A3571" s="24" t="n">
        <v>53229</v>
      </c>
      <c r="B3571" s="24" t="inlineStr">
        <is>
          <t>SODIUM CHLORIDE SPRAY NASAL 0.65 % 15 mL</t>
        </is>
      </c>
      <c r="C3571" s="25">
        <f>IF(COUNTIF('کدهای پیام‌داروساز'!$A$2:$A$2442,A3571)&gt;0,"بله","خیر")</f>
        <v/>
      </c>
    </row>
    <row r="3572" ht="15" customHeight="1" s="14">
      <c r="A3572" s="24" t="n">
        <v>53230</v>
      </c>
      <c r="B3572" s="24" t="inlineStr">
        <is>
          <t>MIDOSTAURIN CAPSULE, LIQUID FILLED ORAL 25 mg</t>
        </is>
      </c>
      <c r="C3572" s="25">
        <f>IF(COUNTIF('کدهای پیام‌داروساز'!$A$2:$A$2442,A3572)&gt;0,"بله","خیر")</f>
        <v/>
      </c>
    </row>
    <row r="3573" ht="15" customHeight="1" s="14">
      <c r="A3573" s="24" t="n">
        <v>53231</v>
      </c>
      <c r="B3573" s="24" t="inlineStr">
        <is>
          <t>DIPHTHERIA ANTITOXIN (EQUINE) INJECTION PARENTERAL 2000 [iU]/1mL 5 mL</t>
        </is>
      </c>
      <c r="C3573" s="25">
        <f>IF(COUNTIF('کدهای پیام‌داروساز'!$A$2:$A$2442,A3573)&gt;0,"بله","خیر")</f>
        <v/>
      </c>
    </row>
    <row r="3574" ht="15" customHeight="1" s="14">
      <c r="A3574" s="24" t="n">
        <v>53232</v>
      </c>
      <c r="B3574" s="24" t="inlineStr">
        <is>
          <t>AMOXICILLIN TABLET ORAL 875 mg</t>
        </is>
      </c>
      <c r="C3574" s="25">
        <f>IF(COUNTIF('کدهای پیام‌داروساز'!$A$2:$A$2442,A3574)&gt;0,"بله","خیر")</f>
        <v/>
      </c>
    </row>
    <row r="3575" ht="15" customHeight="1" s="14">
      <c r="A3575" s="24" t="n">
        <v>53235</v>
      </c>
      <c r="B3575" s="24" t="inlineStr">
        <is>
          <t>APREMILAST TABLET ORAL 10 mg</t>
        </is>
      </c>
      <c r="C3575" s="25">
        <f>IF(COUNTIF('کدهای پیام‌داروساز'!$A$2:$A$2442,A3575)&gt;0,"بله","خیر")</f>
        <v/>
      </c>
    </row>
    <row r="3576" ht="15" customHeight="1" s="14">
      <c r="A3576" s="24" t="n">
        <v>53236</v>
      </c>
      <c r="B3576" s="24" t="inlineStr">
        <is>
          <t>APREMILAST (10,20,30) TABLET ORAL 0 mg</t>
        </is>
      </c>
      <c r="C3576" s="25">
        <f>IF(COUNTIF('کدهای پیام‌داروساز'!$A$2:$A$2442,A3576)&gt;0,"بله","خیر")</f>
        <v/>
      </c>
    </row>
    <row r="3577" ht="15" customHeight="1" s="14">
      <c r="A3577" s="24" t="n">
        <v>53238</v>
      </c>
      <c r="B3577" s="24" t="inlineStr">
        <is>
          <t>ACETAMINOPHEN TABLET, EXTENDED RELEASE ORAL 650 mg</t>
        </is>
      </c>
      <c r="C3577" s="25">
        <f>IF(COUNTIF('کدهای پیام‌داروساز'!$A$2:$A$2442,A3577)&gt;0,"بله","خیر")</f>
        <v/>
      </c>
    </row>
    <row r="3578" ht="15" customHeight="1" s="14">
      <c r="A3578" s="24" t="n">
        <v>53240</v>
      </c>
      <c r="B3578" s="24" t="inlineStr">
        <is>
          <t>APREMILAST TABLET ORAL 30 mg</t>
        </is>
      </c>
      <c r="C3578" s="25">
        <f>IF(COUNTIF('کدهای پیام‌داروساز'!$A$2:$A$2442,A3578)&gt;0,"بله","خیر")</f>
        <v/>
      </c>
    </row>
    <row r="3579" ht="15" customHeight="1" s="14">
      <c r="A3579" s="24" t="n">
        <v>53244</v>
      </c>
      <c r="B3579" s="24" t="inlineStr">
        <is>
          <t>ENCORAFENIB CAPSULE ORAL 75 mg</t>
        </is>
      </c>
      <c r="C3579" s="25">
        <f>IF(COUNTIF('کدهای پیام‌داروساز'!$A$2:$A$2442,A3579)&gt;0,"بله","خیر")</f>
        <v/>
      </c>
    </row>
    <row r="3580" ht="15" customHeight="1" s="14">
      <c r="A3580" s="24" t="n">
        <v>53245</v>
      </c>
      <c r="B3580" s="24" t="inlineStr">
        <is>
          <t>AZELASTINE HYDROCHLORIDE / FLUTICASONE PROPIONATE SPRAY, METERED NASAL 137 ug/50 ug/1 {Puff} 70 {dose}</t>
        </is>
      </c>
      <c r="C3580" s="25">
        <f>IF(COUNTIF('کدهای پیام‌داروساز'!$A$2:$A$2442,A3580)&gt;0,"بله","خیر")</f>
        <v/>
      </c>
    </row>
    <row r="3581" ht="15" customHeight="1" s="14">
      <c r="A3581" s="24" t="n">
        <v>53246</v>
      </c>
      <c r="B3581" s="24" t="inlineStr">
        <is>
          <t>SODIUM CHLORIDE SOLUTION, DROPS NASAL 0.65 % 18 mL</t>
        </is>
      </c>
      <c r="C3581" s="25">
        <f>IF(COUNTIF('کدهای پیام‌داروساز'!$A$2:$A$2442,A3581)&gt;0,"بله","خیر")</f>
        <v/>
      </c>
    </row>
    <row r="3582" ht="15" customHeight="1" s="14">
      <c r="A3582" s="24" t="n">
        <v>53247</v>
      </c>
      <c r="B3582" s="24" t="inlineStr">
        <is>
          <t>VILANTEROL (AS TRIFENATATE) / FLUTICASONE FUROATE CAPSULE RESPIRATORY 0.1 mg/0.025 mg</t>
        </is>
      </c>
      <c r="C3582" s="25">
        <f>IF(COUNTIF('کدهای پیام‌داروساز'!$A$2:$A$2442,A3582)&gt;0,"بله","خیر")</f>
        <v/>
      </c>
    </row>
    <row r="3583" ht="15" customHeight="1" s="14">
      <c r="A3583" s="24" t="n">
        <v>53248</v>
      </c>
      <c r="B3583" s="24" t="inlineStr">
        <is>
          <t>VILANTEROL (AS TRIFENATATE) / FLUTICASONE FUROATE CAPSULE RESPIRATORY 0.2 mg/0.025 mg</t>
        </is>
      </c>
      <c r="C3583" s="25">
        <f>IF(COUNTIF('کدهای پیام‌داروساز'!$A$2:$A$2442,A3583)&gt;0,"بله","خیر")</f>
        <v/>
      </c>
    </row>
    <row r="3584" ht="15" customHeight="1" s="14">
      <c r="A3584" s="24" t="n">
        <v>53249</v>
      </c>
      <c r="B3584" s="24" t="inlineStr">
        <is>
          <t>MINOXIDIL TABLET ORAL 2.5 mg</t>
        </is>
      </c>
      <c r="C3584" s="25">
        <f>IF(COUNTIF('کدهای پیام‌داروساز'!$A$2:$A$2442,A3584)&gt;0,"بله","خیر")</f>
        <v/>
      </c>
    </row>
    <row r="3585" ht="15" customHeight="1" s="14">
      <c r="A3585" s="24" t="n">
        <v>53254</v>
      </c>
      <c r="B3585" s="24" t="inlineStr">
        <is>
          <t>FLUOCINOLONE ACETONIDE OINTMENT TOPICAL 0.025 % 2000 g</t>
        </is>
      </c>
      <c r="C3585" s="25">
        <f>IF(COUNTIF('کدهای پیام‌داروساز'!$A$2:$A$2442,A3585)&gt;0,"بله","خیر")</f>
        <v/>
      </c>
    </row>
    <row r="3586" ht="15" customHeight="1" s="14">
      <c r="A3586" s="24" t="n">
        <v>53255</v>
      </c>
      <c r="B3586" s="24" t="inlineStr">
        <is>
          <t>OZANIMOD (AS HYDROCHLORIDE) CAPSULE ORAL 0.23 mg</t>
        </is>
      </c>
      <c r="C3586" s="25">
        <f>IF(COUNTIF('کدهای پیام‌داروساز'!$A$2:$A$2442,A3586)&gt;0,"بله","خیر")</f>
        <v/>
      </c>
    </row>
    <row r="3587" ht="15" customHeight="1" s="14">
      <c r="A3587" s="24" t="n">
        <v>53256</v>
      </c>
      <c r="B3587" s="24" t="inlineStr">
        <is>
          <t>OZANIMOD (AS HYDROCHLORIDE) CAPSULE ORAL 0.46 mg</t>
        </is>
      </c>
      <c r="C3587" s="25">
        <f>IF(COUNTIF('کدهای پیام‌داروساز'!$A$2:$A$2442,A3587)&gt;0,"بله","خیر")</f>
        <v/>
      </c>
    </row>
    <row r="3588" ht="15" customHeight="1" s="14">
      <c r="A3588" s="24" t="n">
        <v>53257</v>
      </c>
      <c r="B3588" s="24" t="inlineStr">
        <is>
          <t>OZANIMOD (AS HYDROCHLORIDE) CAPSULE ORAL 0.92 mg</t>
        </is>
      </c>
      <c r="C3588" s="25">
        <f>IF(COUNTIF('کدهای پیام‌داروساز'!$A$2:$A$2442,A3588)&gt;0,"بله","خیر")</f>
        <v/>
      </c>
    </row>
    <row r="3589" ht="15" customHeight="1" s="14">
      <c r="A3589" s="24" t="n">
        <v>53258</v>
      </c>
      <c r="B3589" s="24" t="inlineStr">
        <is>
          <t>PALIVIZUMAB INJECTION, SOLUTION PARENTERAL 50 mg/0.5mL</t>
        </is>
      </c>
      <c r="C3589" s="25">
        <f>IF(COUNTIF('کدهای پیام‌داروساز'!$A$2:$A$2442,A3589)&gt;0,"بله","خیر")</f>
        <v/>
      </c>
    </row>
    <row r="3590" ht="15" customHeight="1" s="14">
      <c r="A3590" s="24" t="n">
        <v>53259</v>
      </c>
      <c r="B3590" s="24" t="inlineStr">
        <is>
          <t>PALIVIZUMAB INJECTION, SOLUTION PARENTERAL 100 mg/1mL</t>
        </is>
      </c>
      <c r="C3590" s="25">
        <f>IF(COUNTIF('کدهای پیام‌داروساز'!$A$2:$A$2442,A3590)&gt;0,"بله","خیر")</f>
        <v/>
      </c>
    </row>
    <row r="3591" ht="15" customHeight="1" s="14">
      <c r="A3591" s="24" t="n">
        <v>53260</v>
      </c>
      <c r="B3591" s="24" t="inlineStr">
        <is>
          <t>BUPROPION / NALTREXONE TABLET, EXTENDED RELEASE ORAL 90 mg/8 mg</t>
        </is>
      </c>
      <c r="C3591" s="25">
        <f>IF(COUNTIF('کدهای پیام‌داروساز'!$A$2:$A$2442,A3591)&gt;0,"بله","خیر")</f>
        <v/>
      </c>
    </row>
    <row r="3592" ht="15" customHeight="1" s="14">
      <c r="A3592" s="24" t="n">
        <v>53263</v>
      </c>
      <c r="B3592" s="24" t="inlineStr">
        <is>
          <t>LINACLOTIDE CAPSULE ORAL 72 ug</t>
        </is>
      </c>
      <c r="C3592" s="25">
        <f>IF(COUNTIF('کدهای پیام‌داروساز'!$A$2:$A$2442,A3592)&gt;0,"بله","خیر")</f>
        <v/>
      </c>
    </row>
    <row r="3593" ht="15" customHeight="1" s="14">
      <c r="A3593" s="24" t="n">
        <v>53266</v>
      </c>
      <c r="B3593" s="24" t="inlineStr">
        <is>
          <t>TOLVAPTAN TABLET ORAL 30 mg</t>
        </is>
      </c>
      <c r="C3593" s="25">
        <f>IF(COUNTIF('کدهای پیام‌داروساز'!$A$2:$A$2442,A3593)&gt;0,"بله","خیر")</f>
        <v/>
      </c>
    </row>
    <row r="3594" ht="15" customHeight="1" s="14">
      <c r="A3594" s="24" t="n">
        <v>53267</v>
      </c>
      <c r="B3594" s="24" t="inlineStr">
        <is>
          <t>PNEUMOCOCCAL VACCINE 15-VALENT INJECTION PARENTERAL  0.5 mL</t>
        </is>
      </c>
      <c r="C3594" s="25">
        <f>IF(COUNTIF('کدهای پیام‌داروساز'!$A$2:$A$2442,A3594)&gt;0,"بله","خیر")</f>
        <v/>
      </c>
    </row>
    <row r="3595" ht="15" customHeight="1" s="14">
      <c r="A3595" s="24" t="n">
        <v>53269</v>
      </c>
      <c r="B3595" s="24" t="inlineStr">
        <is>
          <t>DULAGLUTIDE INJECTION, SOLUTION PARENTERAL 1.5 mg/0.5mL</t>
        </is>
      </c>
      <c r="C3595" s="25">
        <f>IF(COUNTIF('کدهای پیام‌داروساز'!$A$2:$A$2442,A3595)&gt;0,"بله","خیر")</f>
        <v/>
      </c>
    </row>
    <row r="3596" ht="15" customHeight="1" s="14">
      <c r="A3596" s="24" t="n">
        <v>53270</v>
      </c>
      <c r="B3596" s="24" t="inlineStr">
        <is>
          <t>DULAGLUTIDE INJECTION, SOLUTION PARENTERAL 0.75 mg/0.5mL</t>
        </is>
      </c>
      <c r="C3596" s="25">
        <f>IF(COUNTIF('کدهای پیام‌داروساز'!$A$2:$A$2442,A3596)&gt;0,"بله","خیر")</f>
        <v/>
      </c>
    </row>
    <row r="3597" ht="15" customHeight="1" s="14">
      <c r="A3597" s="24" t="n">
        <v>53271</v>
      </c>
      <c r="B3597" s="24" t="inlineStr">
        <is>
          <t>CLOBETASOL PROPIONATE OINTMENT TOPICAL 0.05 % 25 g</t>
        </is>
      </c>
      <c r="C3597" s="25">
        <f>IF(COUNTIF('کدهای پیام‌داروساز'!$A$2:$A$2442,A3597)&gt;0,"بله","خیر")</f>
        <v/>
      </c>
    </row>
    <row r="3598" ht="15" customHeight="1" s="14">
      <c r="A3598" s="24" t="n">
        <v>53272</v>
      </c>
      <c r="B3598" s="24" t="inlineStr">
        <is>
          <t>POTASSIUM CHLORIDE SOLUTION ORAL 20 meq/15mL</t>
        </is>
      </c>
      <c r="C3598" s="25">
        <f>IF(COUNTIF('کدهای پیام‌داروساز'!$A$2:$A$2442,A3598)&gt;0,"بله","خیر")</f>
        <v/>
      </c>
    </row>
    <row r="3599" ht="15" customHeight="1" s="14">
      <c r="A3599" s="24" t="n">
        <v>53273</v>
      </c>
      <c r="B3599" s="24" t="inlineStr">
        <is>
          <t>POTASSIUM CHLORIDE SOLUTION ORAL 40 meq/15mL</t>
        </is>
      </c>
      <c r="C3599" s="25">
        <f>IF(COUNTIF('کدهای پیام‌داروساز'!$A$2:$A$2442,A3599)&gt;0,"بله","خیر")</f>
        <v/>
      </c>
    </row>
    <row r="3600" ht="15" customHeight="1" s="14">
      <c r="A3600" s="24" t="n">
        <v>53274</v>
      </c>
      <c r="B3600" s="24" t="inlineStr">
        <is>
          <t>SACITUZUMAB GOVITECAN INJECTION, POWDER, FOR SOLUTION PARENTERAL 200 mg</t>
        </is>
      </c>
      <c r="C3600" s="25">
        <f>IF(COUNTIF('کدهای پیام‌داروساز'!$A$2:$A$2442,A3600)&gt;0,"بله","خیر")</f>
        <v/>
      </c>
    </row>
    <row r="3601" ht="15" customHeight="1" s="14">
      <c r="A3601" s="24" t="n">
        <v>53275</v>
      </c>
      <c r="B3601" s="24" t="inlineStr">
        <is>
          <t>LOPERAMIDE HYDROCHLORIDE / SIMETHICONE TABLET, CHEWABLE ORAL 2 mg/125 mg</t>
        </is>
      </c>
      <c r="C3601" s="25">
        <f>IF(COUNTIF('کدهای پیام‌داروساز'!$A$2:$A$2442,A3601)&gt;0,"بله","خیر")</f>
        <v/>
      </c>
    </row>
    <row r="3602" ht="15" customHeight="1" s="14">
      <c r="A3602" s="24" t="n">
        <v>53276</v>
      </c>
      <c r="B3602" s="24" t="inlineStr">
        <is>
          <t>DABRAFENIB (AS MESILATE) CAPSULE ORAL 50 mg</t>
        </is>
      </c>
      <c r="C3602" s="25">
        <f>IF(COUNTIF('کدهای پیام‌داروساز'!$A$2:$A$2442,A3602)&gt;0,"بله","خیر")</f>
        <v/>
      </c>
    </row>
    <row r="3603" ht="15" customHeight="1" s="14">
      <c r="A3603" s="24" t="n">
        <v>53277</v>
      </c>
      <c r="B3603" s="24" t="inlineStr">
        <is>
          <t>PRIMIDONE SUSPENSION ORAL 125 mg/5mL 100 mL</t>
        </is>
      </c>
      <c r="C3603" s="25">
        <f>IF(COUNTIF('کدهای پیام‌داروساز'!$A$2:$A$2442,A3603)&gt;0,"بله","خیر")</f>
        <v/>
      </c>
    </row>
    <row r="3604" ht="15" customHeight="1" s="14">
      <c r="A3604" s="24" t="n">
        <v>53278</v>
      </c>
      <c r="B3604" s="24" t="inlineStr">
        <is>
          <t>ABATACEPT INJECTION, POWDER, FOR SOLUTION PARENTERAL 250 mg</t>
        </is>
      </c>
      <c r="C3604" s="25">
        <f>IF(COUNTIF('کدهای پیام‌داروساز'!$A$2:$A$2442,A3604)&gt;0,"بله","خیر")</f>
        <v/>
      </c>
    </row>
    <row r="3605" ht="15" customHeight="1" s="14">
      <c r="A3605" s="24" t="n">
        <v>53280</v>
      </c>
      <c r="B3605" s="24" t="inlineStr">
        <is>
          <t>TILIDINE / NALOXONE TABLET, EXTENDED RELEASE ORAL 100 mg/8 mg</t>
        </is>
      </c>
      <c r="C3605" s="25">
        <f>IF(COUNTIF('کدهای پیام‌داروساز'!$A$2:$A$2442,A3605)&gt;0,"بله","خیر")</f>
        <v/>
      </c>
    </row>
    <row r="3606" ht="15" customHeight="1" s="14">
      <c r="A3606" s="24" t="n">
        <v>53281</v>
      </c>
      <c r="B3606" s="24" t="inlineStr">
        <is>
          <t>MIDODRINE HYDROCHLORIDE TABLET ORAL 10 mg</t>
        </is>
      </c>
      <c r="C3606" s="25">
        <f>IF(COUNTIF('کدهای پیام‌داروساز'!$A$2:$A$2442,A3606)&gt;0,"بله","خیر")</f>
        <v/>
      </c>
    </row>
    <row r="3607" ht="15" customHeight="1" s="14">
      <c r="A3607" s="24" t="n">
        <v>53286</v>
      </c>
      <c r="B3607" s="24" t="inlineStr">
        <is>
          <t>ACETAMINOPHEN / CAFFEINE TABLET, EFFERVESCENT ORAL 500 mg/65 mg</t>
        </is>
      </c>
      <c r="C3607" s="25">
        <f>IF(COUNTIF('کدهای پیام‌داروساز'!$A$2:$A$2442,A3607)&gt;0,"بله","خیر")</f>
        <v/>
      </c>
    </row>
    <row r="3608" ht="15" customHeight="1" s="14">
      <c r="A3608" s="24" t="n">
        <v>53287</v>
      </c>
      <c r="B3608" s="24" t="inlineStr">
        <is>
          <t>FLUNARIZINE (AS DIHYDROCHLORIDE) TABLET ORAL 5 mg</t>
        </is>
      </c>
      <c r="C3608" s="25">
        <f>IF(COUNTIF('کدهای پیام‌داروساز'!$A$2:$A$2442,A3608)&gt;0,"بله","خیر")</f>
        <v/>
      </c>
    </row>
    <row r="3609" ht="15" customHeight="1" s="14">
      <c r="A3609" s="24" t="n">
        <v>53288</v>
      </c>
      <c r="B3609" s="24" t="inlineStr">
        <is>
          <t>ENFORTUMAB VEDOTIN INJECTION, POWDER, FOR SOLUTION PARENTERAL 20 mg</t>
        </is>
      </c>
      <c r="C3609" s="25">
        <f>IF(COUNTIF('کدهای پیام‌داروساز'!$A$2:$A$2442,A3609)&gt;0,"بله","خیر")</f>
        <v/>
      </c>
    </row>
    <row r="3610" ht="15" customHeight="1" s="14">
      <c r="A3610" s="24" t="n">
        <v>53289</v>
      </c>
      <c r="B3610" s="24" t="inlineStr">
        <is>
          <t>ENTRECTINIB CAPSULE ORAL 100 mg</t>
        </is>
      </c>
      <c r="C3610" s="25">
        <f>IF(COUNTIF('کدهای پیام‌داروساز'!$A$2:$A$2442,A3610)&gt;0,"بله","خیر")</f>
        <v/>
      </c>
    </row>
    <row r="3611" ht="15" customHeight="1" s="14">
      <c r="A3611" s="24" t="n">
        <v>53290</v>
      </c>
      <c r="B3611" s="24" t="inlineStr">
        <is>
          <t>AMLODIPINE (AS BESILATE) / TELMISARTAN TABLET ORAL 5 mg/40 mg</t>
        </is>
      </c>
      <c r="C3611" s="25">
        <f>IF(COUNTIF('کدهای پیام‌داروساز'!$A$2:$A$2442,A3611)&gt;0,"بله","خیر")</f>
        <v/>
      </c>
    </row>
    <row r="3612" ht="15" customHeight="1" s="14">
      <c r="A3612" s="24" t="n">
        <v>53291</v>
      </c>
      <c r="B3612" s="24" t="inlineStr">
        <is>
          <t>AMLODIPINE (AS BESILATE) / TELMISARTAN TABLET ORAL 10 mg/40 mg</t>
        </is>
      </c>
      <c r="C3612" s="25">
        <f>IF(COUNTIF('کدهای پیام‌داروساز'!$A$2:$A$2442,A3612)&gt;0,"بله","خیر")</f>
        <v/>
      </c>
    </row>
    <row r="3613" ht="15" customHeight="1" s="14">
      <c r="A3613" s="24" t="n">
        <v>53292</v>
      </c>
      <c r="B3613" s="24" t="inlineStr">
        <is>
          <t>ACETYLSALICYLIC ACID / CLOPIDOGREL (AS BISULFATE) TABLET ORAL 75 mg/75 mg</t>
        </is>
      </c>
      <c r="C3613" s="25">
        <f>IF(COUNTIF('کدهای پیام‌داروساز'!$A$2:$A$2442,A3613)&gt;0,"بله","خیر")</f>
        <v/>
      </c>
    </row>
    <row r="3614" ht="15" customHeight="1" s="14">
      <c r="A3614" s="24" t="n">
        <v>53293</v>
      </c>
      <c r="B3614" s="24" t="inlineStr">
        <is>
          <t>ACETYLSALICYLIC ACID / CLOPIDOGREL (AS BISULFATE) TABLET ORAL 100 mg/75 mg</t>
        </is>
      </c>
      <c r="C3614" s="25">
        <f>IF(COUNTIF('کدهای پیام‌داروساز'!$A$2:$A$2442,A3614)&gt;0,"بله","خیر")</f>
        <v/>
      </c>
    </row>
    <row r="3615" ht="15" customHeight="1" s="14">
      <c r="A3615" s="24" t="n">
        <v>53294</v>
      </c>
      <c r="B3615" s="24" t="inlineStr">
        <is>
          <t>ESOMEPRAZOLE (AS MAGNESIUM) / NAPROXEN TABLET, DELAYED RELEASE ORAL 20 mg/375 mg</t>
        </is>
      </c>
      <c r="C3615" s="25">
        <f>IF(COUNTIF('کدهای پیام‌داروساز'!$A$2:$A$2442,A3615)&gt;0,"بله","خیر")</f>
        <v/>
      </c>
    </row>
    <row r="3616" ht="15" customHeight="1" s="14">
      <c r="A3616" s="24" t="n">
        <v>53295</v>
      </c>
      <c r="B3616" s="24" t="inlineStr">
        <is>
          <t>ESOMEPRAZOLE (AS MAGNESIUM) / NAPROXEN TABLET, DELAYED RELEASE ORAL 20 mg/500 mg</t>
        </is>
      </c>
      <c r="C3616" s="25">
        <f>IF(COUNTIF('کدهای پیام‌داروساز'!$A$2:$A$2442,A3616)&gt;0,"بله","خیر")</f>
        <v/>
      </c>
    </row>
    <row r="3617" ht="15" customHeight="1" s="14">
      <c r="A3617" s="24" t="n">
        <v>53297</v>
      </c>
      <c r="B3617" s="24" t="inlineStr">
        <is>
          <t>EZETIMIBE / ROSUVASTATIN (AS CALCIUM) TABLET ORAL 10 mg/5 mg</t>
        </is>
      </c>
      <c r="C3617" s="25">
        <f>IF(COUNTIF('کدهای پیام‌داروساز'!$A$2:$A$2442,A3617)&gt;0,"بله","خیر")</f>
        <v/>
      </c>
    </row>
    <row r="3618" ht="15" customHeight="1" s="14">
      <c r="A3618" s="24" t="n">
        <v>53298</v>
      </c>
      <c r="B3618" s="24" t="inlineStr">
        <is>
          <t>EZETIMIBE / ROSUVASTATIN (AS CALCIUM) TABLET ORAL 10 mg/10 mg</t>
        </is>
      </c>
      <c r="C3618" s="25">
        <f>IF(COUNTIF('کدهای پیام‌داروساز'!$A$2:$A$2442,A3618)&gt;0,"بله","خیر")</f>
        <v/>
      </c>
    </row>
    <row r="3619" ht="15" customHeight="1" s="14">
      <c r="A3619" s="24" t="n">
        <v>53299</v>
      </c>
      <c r="B3619" s="24" t="inlineStr">
        <is>
          <t>EZETIMIBE / ROSUVASTATIN (AS CALCIUM) TABLET ORAL 10 mg/20 mg</t>
        </is>
      </c>
      <c r="C3619" s="25">
        <f>IF(COUNTIF('کدهای پیام‌داروساز'!$A$2:$A$2442,A3619)&gt;0,"بله","خیر")</f>
        <v/>
      </c>
    </row>
    <row r="3620" ht="15" customHeight="1" s="14">
      <c r="A3620" s="24" t="n">
        <v>53300</v>
      </c>
      <c r="B3620" s="24" t="inlineStr">
        <is>
          <t>EZETIMIBE / ROSUVASTATIN (AS CALCIUM) TABLET ORAL 10 mg/40 mg</t>
        </is>
      </c>
      <c r="C3620" s="25">
        <f>IF(COUNTIF('کدهای پیام‌داروساز'!$A$2:$A$2442,A3620)&gt;0,"بله","خیر")</f>
        <v/>
      </c>
    </row>
    <row r="3621" ht="15" customHeight="1" s="14">
      <c r="A3621" s="24" t="n">
        <v>53301</v>
      </c>
      <c r="B3621" s="24" t="inlineStr">
        <is>
          <t>AMLODIPINE (AS BESILATE) / TELMISARTAN TABLET ORAL 10 mg/80 mg</t>
        </is>
      </c>
      <c r="C3621" s="25">
        <f>IF(COUNTIF('کدهای پیام‌داروساز'!$A$2:$A$2442,A3621)&gt;0,"بله","خیر")</f>
        <v/>
      </c>
    </row>
    <row r="3622" ht="15" customHeight="1" s="14">
      <c r="A3622" s="24" t="n">
        <v>53302</v>
      </c>
      <c r="B3622" s="24" t="inlineStr">
        <is>
          <t>AMLODIPINE (AS BESILATE) / TELMISARTAN TABLET ORAL 5 mg/80 mg</t>
        </is>
      </c>
      <c r="C3622" s="25">
        <f>IF(COUNTIF('کدهای پیام‌داروساز'!$A$2:$A$2442,A3622)&gt;0,"بله","خیر")</f>
        <v/>
      </c>
    </row>
    <row r="3623" ht="15" customHeight="1" s="14">
      <c r="A3623" s="24" t="n">
        <v>53305</v>
      </c>
      <c r="B3623" s="24" t="inlineStr">
        <is>
          <t>PAPAVERINE HYDROCHLORIDE INJECTION PARENTERAL 20 mg/1mL 1 mL</t>
        </is>
      </c>
      <c r="C3623" s="25">
        <f>IF(COUNTIF('کدهای پیام‌داروساز'!$A$2:$A$2442,A3623)&gt;0,"بله","خیر")</f>
        <v/>
      </c>
    </row>
    <row r="3624" ht="15" customHeight="1" s="14">
      <c r="A3624" s="24" t="n">
        <v>53306</v>
      </c>
      <c r="B3624" s="24" t="inlineStr">
        <is>
          <t>ZIDOVUDINE TABLET ORAL 100 mg</t>
        </is>
      </c>
      <c r="C3624" s="25">
        <f>IF(COUNTIF('کدهای پیام‌داروساز'!$A$2:$A$2442,A3624)&gt;0,"بله","خیر")</f>
        <v/>
      </c>
    </row>
    <row r="3625" ht="15" customHeight="1" s="14">
      <c r="A3625" s="24" t="n">
        <v>53308</v>
      </c>
      <c r="B3625" s="24" t="inlineStr">
        <is>
          <t>LACOSAMIDE SOLUTION ORAL 10 mg/1mL 120 mL</t>
        </is>
      </c>
      <c r="C3625" s="25">
        <f>IF(COUNTIF('کدهای پیام‌داروساز'!$A$2:$A$2442,A3625)&gt;0,"بله","خیر")</f>
        <v/>
      </c>
    </row>
    <row r="3626" ht="15" customHeight="1" s="14">
      <c r="A3626" s="24" t="n">
        <v>53309</v>
      </c>
      <c r="B3626" s="24" t="inlineStr">
        <is>
          <t>DIPHTHERIA TOXOID / TETANUS TOXOIDS ADSORBED VACCINE (Td) (ADULT) INJECTION PARENTERAL 14 {dose} 7 mL</t>
        </is>
      </c>
      <c r="C3626" s="25">
        <f>IF(COUNTIF('کدهای پیام‌داروساز'!$A$2:$A$2442,A3626)&gt;0,"بله","خیر")</f>
        <v/>
      </c>
    </row>
    <row r="3627" ht="15" customHeight="1" s="14">
      <c r="A3627" s="24" t="n">
        <v>53310</v>
      </c>
      <c r="B3627" s="24" t="inlineStr">
        <is>
          <t>AMINO ACID 10% PAEDIATRIC (1) INJECTION, SOLUTION INTRAVENOUS 8 mg/13 mg/8.51 mg/3.12 mg/3.75 mg/4.4 mg/2.01 mg/9 mg/7.5 mg/4.76 mg/9.3 mg/4.15 mg/0.7 mg/2.3 mg/1.6 mg/9.71 mg/7.67 mg/5.176 mg/2.26 mg/0.4 mg/1 mL/1mL 100 mL</t>
        </is>
      </c>
      <c r="C3627" s="25">
        <f>IF(COUNTIF('کدهای پیام‌داروساز'!$A$2:$A$2442,A3627)&gt;0,"بله","خیر")</f>
        <v/>
      </c>
    </row>
    <row r="3628" ht="15" customHeight="1" s="14">
      <c r="A3628" s="24" t="n">
        <v>53311</v>
      </c>
      <c r="B3628" s="24" t="inlineStr">
        <is>
          <t>LIPID INFUSION 10% (2) INJECTION, SOLUTION INTRAVENOUS 100 mg/22 mg/12 mg/1mL 100 mL</t>
        </is>
      </c>
      <c r="C3628" s="25">
        <f>IF(COUNTIF('کدهای پیام‌داروساز'!$A$2:$A$2442,A3628)&gt;0,"بله","خیر")</f>
        <v/>
      </c>
    </row>
    <row r="3629" ht="15" customHeight="1" s="14">
      <c r="A3629" s="24" t="n">
        <v>53313</v>
      </c>
      <c r="B3629" s="24" t="inlineStr">
        <is>
          <t>LABETALOL HYDROCHLORIDE TABLET ORAL 100 mg</t>
        </is>
      </c>
      <c r="C3629" s="25">
        <f>IF(COUNTIF('کدهای پیام‌داروساز'!$A$2:$A$2442,A3629)&gt;0,"بله","خیر")</f>
        <v/>
      </c>
    </row>
    <row r="3630" ht="15" customHeight="1" s="14">
      <c r="A3630" s="24" t="n">
        <v>53314</v>
      </c>
      <c r="B3630" s="24" t="inlineStr">
        <is>
          <t>RABIES IMMUNE GLOBULIN INJECTION PARENTERAL 200 [iU]/1mL 5 mL</t>
        </is>
      </c>
      <c r="C3630" s="25">
        <f>IF(COUNTIF('کدهای پیام‌داروساز'!$A$2:$A$2442,A3630)&gt;0,"بله","خیر")</f>
        <v/>
      </c>
    </row>
    <row r="3631" ht="15" customHeight="1" s="14">
      <c r="A3631" s="24" t="n">
        <v>53315</v>
      </c>
      <c r="B3631" s="24" t="inlineStr">
        <is>
          <t>ESOMEPRAZOLE (AS MAGNESIUM) CAPSULE, DELAYED RELEASE ORAL 20 mg</t>
        </is>
      </c>
      <c r="C3631" s="25">
        <f>IF(COUNTIF('کدهای پیام‌داروساز'!$A$2:$A$2442,A3631)&gt;0,"بله","خیر")</f>
        <v/>
      </c>
    </row>
    <row r="3632" ht="15" customHeight="1" s="14">
      <c r="A3632" s="24" t="n">
        <v>53316</v>
      </c>
      <c r="B3632" s="24" t="inlineStr">
        <is>
          <t>AZELASTINE HYDROCHLORIDE SPRAY, METERED NASAL 137 ug/1{Puff} 15 mL</t>
        </is>
      </c>
      <c r="C3632" s="25">
        <f>IF(COUNTIF('کدهای پیام‌داروساز'!$A$2:$A$2442,A3632)&gt;0,"بله","خیر")</f>
        <v/>
      </c>
    </row>
    <row r="3633" ht="15" customHeight="1" s="14">
      <c r="A3633" s="24" t="n">
        <v>53317</v>
      </c>
      <c r="B3633" s="24" t="inlineStr">
        <is>
          <t>BLOOD PLASMA, PHRESIS, ANTIRABIES INJECTION PARENTERAL  650 mL</t>
        </is>
      </c>
      <c r="C3633" s="25">
        <f>IF(COUNTIF('کدهای پیام‌داروساز'!$A$2:$A$2442,A3633)&gt;0,"بله","خیر")</f>
        <v/>
      </c>
    </row>
    <row r="3634" ht="15" customHeight="1" s="14">
      <c r="A3634" s="24" t="n">
        <v>53318</v>
      </c>
      <c r="B3634" s="24" t="inlineStr">
        <is>
          <t>MEASLES VACCINE, MONOVALENT INJECTION PARENTERAL 5 {dose}</t>
        </is>
      </c>
      <c r="C3634" s="25">
        <f>IF(COUNTIF('کدهای پیام‌داروساز'!$A$2:$A$2442,A3634)&gt;0,"بله","خیر")</f>
        <v/>
      </c>
    </row>
    <row r="3635" ht="15" customHeight="1" s="14">
      <c r="A3635" s="24" t="n">
        <v>53319</v>
      </c>
      <c r="B3635" s="24" t="inlineStr">
        <is>
          <t>SILDENAFIL (AS CITRATE) TABLET ORAL 20 mg</t>
        </is>
      </c>
      <c r="C3635" s="25">
        <f>IF(COUNTIF('کدهای پیام‌داروساز'!$A$2:$A$2442,A3635)&gt;0,"بله","خیر")</f>
        <v/>
      </c>
    </row>
    <row r="3636" ht="15" customHeight="1" s="14">
      <c r="A3636" s="24" t="n">
        <v>53320</v>
      </c>
      <c r="B3636" s="24" t="inlineStr">
        <is>
          <t>SILDENAFIL (AS CITRATE) TABLET ORAL 5 mg</t>
        </is>
      </c>
      <c r="C3636" s="25">
        <f>IF(COUNTIF('کدهای پیام‌داروساز'!$A$2:$A$2442,A3636)&gt;0,"بله","خیر")</f>
        <v/>
      </c>
    </row>
    <row r="3637" ht="15" customHeight="1" s="14">
      <c r="A3637" s="24" t="n">
        <v>53321</v>
      </c>
      <c r="B3637" s="24" t="inlineStr">
        <is>
          <t>SELEXIPAG TABLET ORAL 200 ug</t>
        </is>
      </c>
      <c r="C3637" s="25">
        <f>IF(COUNTIF('کدهای پیام‌داروساز'!$A$2:$A$2442,A3637)&gt;0,"بله","خیر")</f>
        <v/>
      </c>
    </row>
    <row r="3638" ht="15" customHeight="1" s="14">
      <c r="A3638" s="24" t="n">
        <v>53322</v>
      </c>
      <c r="B3638" s="24" t="inlineStr">
        <is>
          <t>ROTAVIRUS VACCINE, PENTAVALENT, LIVE SOLUTION ORAL 1 {dose} 2 {dose}</t>
        </is>
      </c>
      <c r="C3638" s="25">
        <f>IF(COUNTIF('کدهای پیام‌داروساز'!$A$2:$A$2442,A3638)&gt;0,"بله","خیر")</f>
        <v/>
      </c>
    </row>
    <row r="3639" ht="15" customHeight="1" s="14">
      <c r="A3639" s="24" t="n">
        <v>53323</v>
      </c>
      <c r="B3639" s="24" t="inlineStr">
        <is>
          <t>OCTREOTIDE (AS ACETATE) INJECTION,POWDER,EXTENDED RELEASE PARENTERAL 20 mg</t>
        </is>
      </c>
      <c r="C3639" s="25">
        <f>IF(COUNTIF('کدهای پیام‌داروساز'!$A$2:$A$2442,A3639)&gt;0,"بله","خیر")</f>
        <v/>
      </c>
    </row>
    <row r="3640" ht="15" customHeight="1" s="14">
      <c r="A3640" s="24" t="n">
        <v>53324</v>
      </c>
      <c r="B3640" s="24" t="inlineStr">
        <is>
          <t>OCTREOTIDE (AS ACETATE) INJECTION,POWDER,EXTENDED RELEASE PARENTERAL 30 mg</t>
        </is>
      </c>
      <c r="C3640" s="25">
        <f>IF(COUNTIF('کدهای پیام‌داروساز'!$A$2:$A$2442,A3640)&gt;0,"بله","خیر")</f>
        <v/>
      </c>
    </row>
    <row r="3641" ht="15" customHeight="1" s="14">
      <c r="A3641" s="24" t="n">
        <v>53325</v>
      </c>
      <c r="B3641" s="24" t="inlineStr">
        <is>
          <t>QUININE DIHYDROCHLORIDE INJECTION PARENTERAL 300 mg/1mL 2 mL</t>
        </is>
      </c>
      <c r="C3641" s="25">
        <f>IF(COUNTIF('کدهای پیام‌داروساز'!$A$2:$A$2442,A3641)&gt;0,"بله","خیر")</f>
        <v/>
      </c>
    </row>
    <row r="3642" ht="15" customHeight="1" s="14">
      <c r="A3642" s="24" t="n">
        <v>53326</v>
      </c>
      <c r="B3642" s="24" t="inlineStr">
        <is>
          <t>ONDANSETRON SUPPOSITORY RECTAL 16 mg</t>
        </is>
      </c>
      <c r="C3642" s="25">
        <f>IF(COUNTIF('کدهای پیام‌داروساز'!$A$2:$A$2442,A3642)&gt;0,"بله","خیر")</f>
        <v/>
      </c>
    </row>
    <row r="3643" ht="15" customHeight="1" s="14">
      <c r="A3643" s="24" t="n">
        <v>53328</v>
      </c>
      <c r="B3643" s="24" t="inlineStr">
        <is>
          <t>SOMATROPIN INJECTION PARENTERAL 10 [iU]/1mL 3 mL</t>
        </is>
      </c>
      <c r="C3643" s="25">
        <f>IF(COUNTIF('کدهای پیام‌داروساز'!$A$2:$A$2442,A3643)&gt;0,"بله","خیر")</f>
        <v/>
      </c>
    </row>
    <row r="3644" ht="15" customHeight="1" s="14">
      <c r="A3644" s="24" t="n">
        <v>53329</v>
      </c>
      <c r="B3644" s="24" t="inlineStr">
        <is>
          <t>AMIVANTAMAB INJECTION, SOLUTION, CONCENTRATE PARENTERAL /1mL 7 mL</t>
        </is>
      </c>
      <c r="C3644" s="25">
        <f>IF(COUNTIF('کدهای پیام‌داروساز'!$A$2:$A$2442,A3644)&gt;0,"بله","خیر")</f>
        <v/>
      </c>
    </row>
    <row r="3645" ht="15" customHeight="1" s="14">
      <c r="A3645" s="24" t="n">
        <v>53330</v>
      </c>
      <c r="B3645" s="24" t="inlineStr">
        <is>
          <t>IVACAFTOR / TEZACAFTOR / ELEXACAFTOR TABLET ORAL 75 mg/50 mg/100 mg</t>
        </is>
      </c>
      <c r="C3645" s="25">
        <f>IF(COUNTIF('کدهای پیام‌داروساز'!$A$2:$A$2442,A3645)&gt;0,"بله","خیر")</f>
        <v/>
      </c>
    </row>
    <row r="3646" ht="15" customHeight="1" s="14">
      <c r="A3646" s="24" t="n">
        <v>53332</v>
      </c>
      <c r="B3646" s="24" t="inlineStr">
        <is>
          <t>BUPRENORPHINE  INJECTION, SOLUTION, EXTENDED RELEASE PARENTERAL 300 mg/1.5mL</t>
        </is>
      </c>
      <c r="C3646" s="25">
        <f>IF(COUNTIF('کدهای پیام‌داروساز'!$A$2:$A$2442,A3646)&gt;0,"بله","خیر")</f>
        <v/>
      </c>
    </row>
    <row r="3647" ht="15" customHeight="1" s="14">
      <c r="A3647" s="24" t="n">
        <v>53334</v>
      </c>
      <c r="B3647" s="24" t="inlineStr">
        <is>
          <t>BORTEZOMIB INJECTION, POWDER PARENTERAL 2.5 mg</t>
        </is>
      </c>
      <c r="C3647" s="25">
        <f>IF(COUNTIF('کدهای پیام‌داروساز'!$A$2:$A$2442,A3647)&gt;0,"بله","خیر")</f>
        <v/>
      </c>
    </row>
    <row r="3648" ht="15" customHeight="1" s="14">
      <c r="A3648" s="24" t="n">
        <v>53335</v>
      </c>
      <c r="B3648" s="24" t="inlineStr">
        <is>
          <t>BUPRENORPHINE  INJECTION, SOLUTION, EXTENDED RELEASE PARENTERAL 100 mg/0.5mL</t>
        </is>
      </c>
      <c r="C3648" s="25">
        <f>IF(COUNTIF('کدهای پیام‌داروساز'!$A$2:$A$2442,A3648)&gt;0,"بله","خیر")</f>
        <v/>
      </c>
    </row>
    <row r="3649" ht="15" customHeight="1" s="14">
      <c r="A3649" s="24" t="n">
        <v>53338</v>
      </c>
      <c r="B3649" s="24" t="inlineStr">
        <is>
          <t>CENOBAMATE TABLET ORAL 100 mg</t>
        </is>
      </c>
      <c r="C3649" s="25">
        <f>IF(COUNTIF('کدهای پیام‌داروساز'!$A$2:$A$2442,A3649)&gt;0,"بله","خیر")</f>
        <v/>
      </c>
    </row>
    <row r="3650" ht="15" customHeight="1" s="14">
      <c r="A3650" s="24" t="n">
        <v>53340</v>
      </c>
      <c r="B3650" s="24" t="inlineStr">
        <is>
          <t>ISOPROTERENOL HYDROCHLORIDE INJECTION PARENTERAL 2 mg/1mL 1 mL</t>
        </is>
      </c>
      <c r="C3650" s="25">
        <f>IF(COUNTIF('کدهای پیام‌داروساز'!$A$2:$A$2442,A3650)&gt;0,"بله","خیر")</f>
        <v/>
      </c>
    </row>
    <row r="3651" ht="15" customHeight="1" s="14">
      <c r="A3651" s="24" t="n">
        <v>53341</v>
      </c>
      <c r="B3651" s="24" t="inlineStr">
        <is>
          <t>BEMPEDOIC ACID TABLET ORAL 180 mg</t>
        </is>
      </c>
      <c r="C3651" s="25">
        <f>IF(COUNTIF('کدهای پیام‌داروساز'!$A$2:$A$2442,A3651)&gt;0,"بله","خیر")</f>
        <v/>
      </c>
    </row>
    <row r="3652" ht="15" customHeight="1" s="14">
      <c r="A3652" s="24" t="n">
        <v>53342</v>
      </c>
      <c r="B3652" s="24" t="inlineStr">
        <is>
          <t>CLOBAZAM SUSPENSION ORAL 2.5 mg/1mL 120 mL</t>
        </is>
      </c>
      <c r="C3652" s="25">
        <f>IF(COUNTIF('کدهای پیام‌داروساز'!$A$2:$A$2442,A3652)&gt;0,"بله","خیر")</f>
        <v/>
      </c>
    </row>
    <row r="3653" ht="15" customHeight="1" s="14">
      <c r="A3653" s="24" t="n">
        <v>53343</v>
      </c>
      <c r="B3653" s="24" t="inlineStr">
        <is>
          <t>MENINGOCOCCAL POLYSACCHARIDE CONJUGATE VACCINE A,C,Y,W,X INJECTION PARENTERAL 1 {dose} 0.5 mL</t>
        </is>
      </c>
      <c r="C3653" s="25">
        <f>IF(COUNTIF('کدهای پیام‌داروساز'!$A$2:$A$2442,A3653)&gt;0,"بله","خیر")</f>
        <v/>
      </c>
    </row>
    <row r="3654" ht="15" customHeight="1" s="14">
      <c r="A3654" s="24" t="n">
        <v>53344</v>
      </c>
      <c r="B3654" s="24" t="inlineStr">
        <is>
          <t>MENINGOCOCCAL POLYSACCHARIDE CONJUGATE VACCINE A,C,Y,W,X INJECTION PARENTERAL 5 {dose} 2.5 mL</t>
        </is>
      </c>
      <c r="C3654" s="25">
        <f>IF(COUNTIF('کدهای پیام‌داروساز'!$A$2:$A$2442,A3654)&gt;0,"بله","خیر")</f>
        <v/>
      </c>
    </row>
    <row r="3655" ht="15" customHeight="1" s="14">
      <c r="A3655" s="24" t="n">
        <v>53346</v>
      </c>
      <c r="B3655" s="24" t="inlineStr">
        <is>
          <t>METHADONE HYDROCHLORIDE SOLUTION ORAL 25 mg/5 mL 60 mL</t>
        </is>
      </c>
      <c r="C3655" s="25">
        <f>IF(COUNTIF('کدهای پیام‌داروساز'!$A$2:$A$2442,A3655)&gt;0,"بله","خیر")</f>
        <v/>
      </c>
    </row>
    <row r="3656" ht="15" customHeight="1" s="14">
      <c r="A3656" s="24" t="n">
        <v>53347</v>
      </c>
      <c r="B3656" s="24" t="inlineStr">
        <is>
          <t>OPIUM TINCTURE ORAL 10 mg/1mL 30 mL</t>
        </is>
      </c>
      <c r="C3656" s="25">
        <f>IF(COUNTIF('کدهای پیام‌داروساز'!$A$2:$A$2442,A3656)&gt;0,"بله","خیر")</f>
        <v/>
      </c>
    </row>
    <row r="3657" ht="15" customHeight="1" s="14">
      <c r="A3657" s="24" t="n">
        <v>53348</v>
      </c>
      <c r="B3657" s="24" t="inlineStr">
        <is>
          <t>OPIUM TINCTURE ORAL 10 mg/1mL 60 mL</t>
        </is>
      </c>
      <c r="C3657" s="25">
        <f>IF(COUNTIF('کدهای پیام‌داروساز'!$A$2:$A$2442,A3657)&gt;0,"بله","خیر")</f>
        <v/>
      </c>
    </row>
    <row r="3658" ht="15" customHeight="1" s="14">
      <c r="A3658" s="24" t="n">
        <v>53351</v>
      </c>
      <c r="B3658" s="24" t="inlineStr">
        <is>
          <t>FERRIC CARBOXYMALTOSE INJECTION PARENTERAL 50 mg/1mL 2 mL</t>
        </is>
      </c>
      <c r="C3658" s="25">
        <f>IF(COUNTIF('کدهای پیام‌داروساز'!$A$2:$A$2442,A3658)&gt;0,"بله","خیر")</f>
        <v/>
      </c>
    </row>
    <row r="3659" ht="15" customHeight="1" s="14">
      <c r="A3659" s="24" t="n">
        <v>53358</v>
      </c>
      <c r="B3659" s="24" t="inlineStr">
        <is>
          <t>CYCLOPHOSPHAMIDE INJECTION, SOLUTION PARENTERAL 200 mg/1mL 2.5 mL</t>
        </is>
      </c>
      <c r="C3659" s="25">
        <f>IF(COUNTIF('کدهای پیام‌داروساز'!$A$2:$A$2442,A3659)&gt;0,"بله","خیر")</f>
        <v/>
      </c>
    </row>
    <row r="3660" ht="15" customHeight="1" s="14">
      <c r="A3660" s="24" t="n">
        <v>53359</v>
      </c>
      <c r="B3660" s="24" t="inlineStr">
        <is>
          <t>CYCLOPHOSPHAMIDE INJECTION, SOLUTION PARENTERAL 200 mg/1mL 5 mL</t>
        </is>
      </c>
      <c r="C3660" s="25">
        <f>IF(COUNTIF('کدهای پیام‌داروساز'!$A$2:$A$2442,A3660)&gt;0,"بله","خیر")</f>
        <v/>
      </c>
    </row>
    <row r="3661" ht="15" customHeight="1" s="14">
      <c r="A3661" s="24" t="n">
        <v>53360</v>
      </c>
      <c r="B3661" s="24" t="inlineStr">
        <is>
          <t>UMECLIDINIUM (AS BROMIDE) / VILANTEROL (AS TRIFENATATE) CAPSULE RESPIRATORY 62.5 ug/25 ug</t>
        </is>
      </c>
      <c r="C3661" s="25">
        <f>IF(COUNTIF('کدهای پیام‌داروساز'!$A$2:$A$2442,A3661)&gt;0,"بله","خیر")</f>
        <v/>
      </c>
    </row>
    <row r="3662" ht="15" customHeight="1" s="14">
      <c r="A3662" s="24" t="n">
        <v>53361</v>
      </c>
      <c r="B3662" s="24" t="inlineStr">
        <is>
          <t>CELECOXIB CAPSULE ORAL 400 mg</t>
        </is>
      </c>
      <c r="C3662" s="25">
        <f>IF(COUNTIF('کدهای پیام‌داروساز'!$A$2:$A$2442,A3662)&gt;0,"بله","خیر")</f>
        <v/>
      </c>
    </row>
    <row r="3663" ht="15" customHeight="1" s="14">
      <c r="A3663" s="24" t="n">
        <v>53362</v>
      </c>
      <c r="B3663" s="24" t="inlineStr">
        <is>
          <t>CYTARABINE INJECTION, SOLUTION PARENTERAL 20 mg/1mL 25 mL</t>
        </is>
      </c>
      <c r="C3663" s="25">
        <f>IF(COUNTIF('کدهای پیام‌داروساز'!$A$2:$A$2442,A3663)&gt;0,"بله","خیر")</f>
        <v/>
      </c>
    </row>
    <row r="3664" ht="15" customHeight="1" s="14">
      <c r="A3664" s="24" t="n">
        <v>53363</v>
      </c>
      <c r="B3664" s="24" t="inlineStr">
        <is>
          <t>PERMETHRIN SHAMPOO TOPICAL 1 % 100 mL</t>
        </is>
      </c>
      <c r="C3664" s="25">
        <f>IF(COUNTIF('کدهای پیام‌داروساز'!$A$2:$A$2442,A3664)&gt;0,"بله","خیر")</f>
        <v/>
      </c>
    </row>
    <row r="3665" ht="15" customHeight="1" s="14">
      <c r="A3665" s="24" t="n">
        <v>53364</v>
      </c>
      <c r="B3665" s="24" t="inlineStr">
        <is>
          <t>CONJUGATED ESTROGENS TABLET ORAL 0.3 mg</t>
        </is>
      </c>
      <c r="C3665" s="25">
        <f>IF(COUNTIF('کدهای پیام‌داروساز'!$A$2:$A$2442,A3665)&gt;0,"بله","خیر")</f>
        <v/>
      </c>
    </row>
    <row r="3666" ht="15" customHeight="1" s="14">
      <c r="A3666" s="24" t="n">
        <v>53367</v>
      </c>
      <c r="B3666" s="24" t="inlineStr">
        <is>
          <t>PALONOSETRON (AS HYDROCHLORIDE) INJECTION, SOLUTION PARENTERAL 0.05 mg/1mL 5 mL</t>
        </is>
      </c>
      <c r="C3666" s="25">
        <f>IF(COUNTIF('کدهای پیام‌داروساز'!$A$2:$A$2442,A3666)&gt;0,"بله","خیر")</f>
        <v/>
      </c>
    </row>
    <row r="3667" ht="15" customHeight="1" s="14">
      <c r="A3667" s="24" t="n">
        <v>53368</v>
      </c>
      <c r="B3667" s="24" t="inlineStr">
        <is>
          <t>PILOCARPINE HYDROCHLORIDE SOLUTION, DROPS OPHTHALMIC 1.25 % 5 mL</t>
        </is>
      </c>
      <c r="C3667" s="25">
        <f>IF(COUNTIF('کدهای پیام‌داروساز'!$A$2:$A$2442,A3667)&gt;0,"بله","خیر")</f>
        <v/>
      </c>
    </row>
    <row r="3668" ht="15" customHeight="1" s="14">
      <c r="A3668" s="24" t="n">
        <v>53369</v>
      </c>
      <c r="B3668" s="24" t="inlineStr">
        <is>
          <t>ALPELISIB TABLET ORAL 150 mg</t>
        </is>
      </c>
      <c r="C3668" s="25">
        <f>IF(COUNTIF('کدهای پیام‌داروساز'!$A$2:$A$2442,A3668)&gt;0,"بله","خیر")</f>
        <v/>
      </c>
    </row>
    <row r="3669" ht="15" customHeight="1" s="14">
      <c r="A3669" s="24" t="n">
        <v>53370</v>
      </c>
      <c r="B3669" s="24" t="inlineStr">
        <is>
          <t>UPADACITINIB TABLET, EXTENDED RELEASE ORAL 15 mg</t>
        </is>
      </c>
      <c r="C3669" s="25">
        <f>IF(COUNTIF('کدهای پیام‌داروساز'!$A$2:$A$2442,A3669)&gt;0,"بله","خیر")</f>
        <v/>
      </c>
    </row>
    <row r="3670" ht="15" customHeight="1" s="14">
      <c r="A3670" s="24" t="n">
        <v>53371</v>
      </c>
      <c r="B3670" s="24" t="inlineStr">
        <is>
          <t>UPADACITINIB TABLET, EXTENDED RELEASE ORAL 30 mg</t>
        </is>
      </c>
      <c r="C3670" s="25">
        <f>IF(COUNTIF('کدهای پیام‌داروساز'!$A$2:$A$2442,A3670)&gt;0,"بله","خیر")</f>
        <v/>
      </c>
    </row>
    <row r="3671" ht="15" customHeight="1" s="14">
      <c r="A3671" s="24" t="n">
        <v>53374</v>
      </c>
      <c r="B3671" s="24" t="inlineStr">
        <is>
          <t>AMOROLFINE (AS HYDROCHLORIDE) NAIL LACQUER TOPICAL 50 mg/1mL 5 mL</t>
        </is>
      </c>
      <c r="C3671" s="25">
        <f>IF(COUNTIF('کدهای پیام‌داروساز'!$A$2:$A$2442,A3671)&gt;0,"بله","خیر")</f>
        <v/>
      </c>
    </row>
    <row r="3672" ht="15" customHeight="1" s="14">
      <c r="A3672" s="24" t="n">
        <v>53375</v>
      </c>
      <c r="B3672" s="24" t="inlineStr">
        <is>
          <t>SACITUZUMAB GOVITECAN INJECTION, POWDER, FOR SOLUTION PARENTERAL 180 mg</t>
        </is>
      </c>
      <c r="C3672" s="25">
        <f>IF(COUNTIF('کدهای پیام‌داروساز'!$A$2:$A$2442,A3672)&gt;0,"بله","خیر")</f>
        <v/>
      </c>
    </row>
    <row r="3673" ht="15" customHeight="1" s="14">
      <c r="A3673" s="24" t="n">
        <v>53376</v>
      </c>
      <c r="B3673" s="24" t="inlineStr">
        <is>
          <t>DEXMEDETOMIDINE (AS HYDROCHLORIDE) INJECTION, SOLUTION, CONCENTRATE PARENTERAL 100 ug/1mL 1 mL</t>
        </is>
      </c>
      <c r="C3673" s="25">
        <f>IF(COUNTIF('کدهای پیام‌داروساز'!$A$2:$A$2442,A3673)&gt;0,"بله","خیر")</f>
        <v/>
      </c>
    </row>
    <row r="3674" ht="15" customHeight="1" s="14">
      <c r="A3674" s="24" t="n">
        <v>53377</v>
      </c>
      <c r="B3674" s="24" t="inlineStr">
        <is>
          <t>OPIUM TINCTURE ORAL 10 mg/1mL 15 mL</t>
        </is>
      </c>
      <c r="C3674" s="25">
        <f>IF(COUNTIF('کدهای پیام‌داروساز'!$A$2:$A$2442,A3674)&gt;0,"بله","خیر")</f>
        <v/>
      </c>
    </row>
    <row r="3675" ht="15" customHeight="1" s="14">
      <c r="A3675" s="24" t="n">
        <v>53378</v>
      </c>
      <c r="B3675" s="24" t="inlineStr">
        <is>
          <t>ELOTUZUMAB INJECTION, POWDER, FOR SOLUTION PARENTERAL 300 mg</t>
        </is>
      </c>
      <c r="C3675" s="25">
        <f>IF(COUNTIF('کدهای پیام‌داروساز'!$A$2:$A$2442,A3675)&gt;0,"بله","خیر")</f>
        <v/>
      </c>
    </row>
    <row r="3676" ht="15" customHeight="1" s="14">
      <c r="A3676" s="24" t="n">
        <v>53379</v>
      </c>
      <c r="B3676" s="24" t="inlineStr">
        <is>
          <t>TERBINAFINE HYDROCHLORIDE CREAM TOPICAL 1 % 30 g</t>
        </is>
      </c>
      <c r="C3676" s="25">
        <f>IF(COUNTIF('کدهای پیام‌داروساز'!$A$2:$A$2442,A3676)&gt;0,"بله","خیر")</f>
        <v/>
      </c>
    </row>
    <row r="3677" ht="15" customHeight="1" s="14">
      <c r="A3677" s="24" t="n">
        <v>53380</v>
      </c>
      <c r="B3677" s="24" t="inlineStr">
        <is>
          <t>DICLOFENAC SODIUM GEL TOPICAL 3 % 60 g</t>
        </is>
      </c>
      <c r="C3677" s="25">
        <f>IF(COUNTIF('کدهای پیام‌داروساز'!$A$2:$A$2442,A3677)&gt;0,"بله","خیر")</f>
        <v/>
      </c>
    </row>
    <row r="3678" ht="15" customHeight="1" s="14">
      <c r="A3678" s="24" t="n">
        <v>53382</v>
      </c>
      <c r="B3678" s="24" t="inlineStr">
        <is>
          <t>SODIUM POLYSTYRENE SULFONATE POWDER, FOR SUSPENSION ORAL 15 g</t>
        </is>
      </c>
      <c r="C3678" s="25">
        <f>IF(COUNTIF('کدهای پیام‌داروساز'!$A$2:$A$2442,A3678)&gt;0,"بله","خیر")</f>
        <v/>
      </c>
    </row>
    <row r="3679" ht="15" customHeight="1" s="14">
      <c r="A3679" s="24" t="n">
        <v>53384</v>
      </c>
      <c r="B3679" s="24" t="inlineStr">
        <is>
          <t>VONOPRAZAN (AS FUMARATE) TABLET ORAL 10 mg</t>
        </is>
      </c>
      <c r="C3679" s="25">
        <f>IF(COUNTIF('کدهای پیام‌داروساز'!$A$2:$A$2442,A3679)&gt;0,"بله","خیر")</f>
        <v/>
      </c>
    </row>
    <row r="3680" ht="15" customHeight="1" s="14">
      <c r="A3680" s="24" t="n">
        <v>53385</v>
      </c>
      <c r="B3680" s="24" t="inlineStr">
        <is>
          <t>VONOPRAZAN (AS FUMARATE) TABLET ORAL 20 mg</t>
        </is>
      </c>
      <c r="C3680" s="25">
        <f>IF(COUNTIF('کدهای پیام‌داروساز'!$A$2:$A$2442,A3680)&gt;0,"بله","خیر")</f>
        <v/>
      </c>
    </row>
    <row r="3681" ht="15" customHeight="1" s="14">
      <c r="A3681" s="24" t="n">
        <v>53386</v>
      </c>
      <c r="B3681" s="24" t="inlineStr">
        <is>
          <t>ARTIFICIAL SALIVA SPRAY ORAL  50 mL</t>
        </is>
      </c>
      <c r="C3681" s="25">
        <f>IF(COUNTIF('کدهای پیام‌داروساز'!$A$2:$A$2442,A3681)&gt;0,"بله","خیر")</f>
        <v/>
      </c>
    </row>
    <row r="3682" ht="15" customHeight="1" s="14">
      <c r="A3682" s="24" t="n">
        <v>53387</v>
      </c>
      <c r="B3682" s="24" t="inlineStr">
        <is>
          <t>BECLOMETHASONE DIPROPIONATE / FORMOTEROL FUMARATE / GLYCOPYRRONIUM (AS BROMIDE) INHALANT RESPIRATORY 100 ug/6 ug/10 ug 120 {Puff}</t>
        </is>
      </c>
      <c r="C3682" s="25">
        <f>IF(COUNTIF('کدهای پیام‌داروساز'!$A$2:$A$2442,A3682)&gt;0,"بله","خیر")</f>
        <v/>
      </c>
    </row>
    <row r="3683" ht="15" customHeight="1" s="14">
      <c r="A3683" s="24" t="n">
        <v>53388</v>
      </c>
      <c r="B3683" s="24" t="inlineStr">
        <is>
          <t>PRIMIDONE SUSPENSION ORAL 125 mg/5mL 120 mL</t>
        </is>
      </c>
      <c r="C3683" s="25">
        <f>IF(COUNTIF('کدهای پیام‌داروساز'!$A$2:$A$2442,A3683)&gt;0,"بله","خیر")</f>
        <v/>
      </c>
    </row>
    <row r="3684" ht="15" customHeight="1" s="14">
      <c r="A3684" s="24" t="n">
        <v>53389</v>
      </c>
      <c r="B3684" s="24" t="inlineStr">
        <is>
          <t>TORSEMIDE TABLET ORAL 5 mg</t>
        </is>
      </c>
      <c r="C3684" s="25">
        <f>IF(COUNTIF('کدهای پیام‌داروساز'!$A$2:$A$2442,A3684)&gt;0,"بله","خیر")</f>
        <v/>
      </c>
    </row>
    <row r="3685" ht="15" customHeight="1" s="14">
      <c r="A3685" s="24" t="n">
        <v>53390</v>
      </c>
      <c r="B3685" s="24" t="inlineStr">
        <is>
          <t>TORSEMIDE TABLET ORAL 10 mg</t>
        </is>
      </c>
      <c r="C3685" s="25">
        <f>IF(COUNTIF('کدهای پیام‌داروساز'!$A$2:$A$2442,A3685)&gt;0,"بله","خیر")</f>
        <v/>
      </c>
    </row>
    <row r="3686" ht="15" customHeight="1" s="14">
      <c r="A3686" s="24" t="n">
        <v>53391</v>
      </c>
      <c r="B3686" s="24" t="inlineStr">
        <is>
          <t>TORSEMIDE TABLET ORAL 20 mg</t>
        </is>
      </c>
      <c r="C3686" s="25">
        <f>IF(COUNTIF('کدهای پیام‌داروساز'!$A$2:$A$2442,A3686)&gt;0,"بله","خیر")</f>
        <v/>
      </c>
    </row>
    <row r="3687" ht="15" customHeight="1" s="14">
      <c r="A3687" s="24" t="n">
        <v>53392</v>
      </c>
      <c r="B3687" s="24" t="inlineStr">
        <is>
          <t>TORSEMIDE TABLET ORAL 100 mg</t>
        </is>
      </c>
      <c r="C3687" s="25">
        <f>IF(COUNTIF('کدهای پیام‌داروساز'!$A$2:$A$2442,A3687)&gt;0,"بله","خیر")</f>
        <v/>
      </c>
    </row>
    <row r="3688" ht="15" customHeight="1" s="14">
      <c r="A3688" s="24" t="n">
        <v>53393</v>
      </c>
      <c r="B3688" s="24" t="inlineStr">
        <is>
          <t>DEXTROMETHORPHAN / GUAIFENESIN / PHENYLEPHRINE SYRUP ORAL 10 mg/100 mg/5 mg/5mL 120 mL</t>
        </is>
      </c>
      <c r="C3688" s="25">
        <f>IF(COUNTIF('کدهای پیام‌داروساز'!$A$2:$A$2442,A3688)&gt;0,"بله","خیر")</f>
        <v/>
      </c>
    </row>
    <row r="3689" ht="15" customHeight="1" s="14">
      <c r="A3689" s="24" t="n">
        <v>53394</v>
      </c>
      <c r="B3689" s="24" t="inlineStr">
        <is>
          <t>ERYTHROCYTES (RED BLOOD CELL, LEUCOCYTE REDUCED AND IRRADIATED ) INJECTION PARENTERAL  300 mL</t>
        </is>
      </c>
      <c r="C3689" s="25">
        <f>IF(COUNTIF('کدهای پیام‌داروساز'!$A$2:$A$2442,A3689)&gt;0,"بله","خیر")</f>
        <v/>
      </c>
    </row>
    <row r="3690" ht="15" customHeight="1" s="14">
      <c r="A3690" s="24" t="n">
        <v>53395</v>
      </c>
      <c r="B3690" s="24" t="inlineStr">
        <is>
          <t>BLOOD PLASMA, FRESH FROZEN, LEUCOCYTE REDUCED INJECTION PARENTERAL  250 mL</t>
        </is>
      </c>
      <c r="C3690" s="25">
        <f>IF(COUNTIF('کدهای پیام‌داروساز'!$A$2:$A$2442,A3690)&gt;0,"بله","خیر")</f>
        <v/>
      </c>
    </row>
    <row r="3691" ht="15" customHeight="1" s="14">
      <c r="A3691" s="24" t="n">
        <v>53396</v>
      </c>
      <c r="B3691" s="24" t="inlineStr">
        <is>
          <t>LEVETIRACETAM SOLUTION ORAL 100 mg/1 mL 250 mL</t>
        </is>
      </c>
      <c r="C3691" s="25">
        <f>IF(COUNTIF('کدهای پیام‌داروساز'!$A$2:$A$2442,A3691)&gt;0,"بله","خیر")</f>
        <v/>
      </c>
    </row>
    <row r="3692" ht="15" customHeight="1" s="14">
      <c r="A3692" s="24" t="n">
        <v>53397</v>
      </c>
      <c r="B3692" s="24" t="inlineStr">
        <is>
          <t>PRIMIDONE TABLET ORAL 50 mg</t>
        </is>
      </c>
      <c r="C3692" s="25">
        <f>IF(COUNTIF('کدهای پیام‌داروساز'!$A$2:$A$2442,A3692)&gt;0,"بله","خیر")</f>
        <v/>
      </c>
    </row>
    <row r="3693" ht="15" customHeight="1" s="14">
      <c r="A3693" s="24" t="n">
        <v>53398</v>
      </c>
      <c r="B3693" s="24" t="inlineStr">
        <is>
          <t>IDEBENONE TABLET ORAL 90 mg</t>
        </is>
      </c>
      <c r="C3693" s="25">
        <f>IF(COUNTIF('کدهای پیام‌داروساز'!$A$2:$A$2442,A3693)&gt;0,"بله","خیر")</f>
        <v/>
      </c>
    </row>
    <row r="3694" ht="15" customHeight="1" s="14">
      <c r="A3694" s="24" t="n">
        <v>53399</v>
      </c>
      <c r="B3694" s="24" t="inlineStr">
        <is>
          <t>ERYTHROCYTES (RED BLOOD CELL, PEDIATRIC, LEUCOCYTE REDUCED) INJECTION PARENTERAL  90 mL</t>
        </is>
      </c>
      <c r="C3694" s="25">
        <f>IF(COUNTIF('کدهای پیام‌داروساز'!$A$2:$A$2442,A3694)&gt;0,"بله","خیر")</f>
        <v/>
      </c>
    </row>
    <row r="3695" ht="15" customHeight="1" s="14">
      <c r="A3695" s="24" t="n">
        <v>53401</v>
      </c>
      <c r="B3695" s="24" t="inlineStr">
        <is>
          <t>ZANUBRUTINIB CAPSULE ORAL 80 mg</t>
        </is>
      </c>
      <c r="C3695" s="25">
        <f>IF(COUNTIF('کدهای پیام‌داروساز'!$A$2:$A$2442,A3695)&gt;0,"بله","خیر")</f>
        <v/>
      </c>
    </row>
    <row r="3696" ht="15" customHeight="1" s="14">
      <c r="A3696" s="24" t="n">
        <v>53402</v>
      </c>
      <c r="B3696" s="24" t="inlineStr">
        <is>
          <t>ACETAMINOPHEN / TRAMADOL HYDROCHLORIDE TABLET ORAL 325 mg/37.5 mg</t>
        </is>
      </c>
      <c r="C3696" s="25">
        <f>IF(COUNTIF('کدهای پیام‌داروساز'!$A$2:$A$2442,A3696)&gt;0,"بله","خیر")</f>
        <v/>
      </c>
    </row>
    <row r="3697" ht="15" customHeight="1" s="14">
      <c r="A3697" s="24" t="n">
        <v>53403</v>
      </c>
      <c r="B3697" s="24" t="inlineStr">
        <is>
          <t>DEXRAZOXANE (AS HYDROCHLORIDE) INJECTION, POWDER, FOR SOLUTION PARENTERAL 500 mg</t>
        </is>
      </c>
      <c r="C3697" s="25">
        <f>IF(COUNTIF('کدهای پیام‌داروساز'!$A$2:$A$2442,A3697)&gt;0,"بله","خیر")</f>
        <v/>
      </c>
    </row>
    <row r="3698" ht="15" customHeight="1" s="14">
      <c r="A3698" s="24" t="n">
        <v>53404</v>
      </c>
      <c r="B3698" s="24" t="inlineStr">
        <is>
          <t>ICOSAPENT ETHYL CAPSULE, LIQUID FILLED ORAL 500 mg</t>
        </is>
      </c>
      <c r="C3698" s="25">
        <f>IF(COUNTIF('کدهای پیام‌داروساز'!$A$2:$A$2442,A3698)&gt;0,"بله","خیر")</f>
        <v/>
      </c>
    </row>
    <row r="3699" ht="15" customHeight="1" s="14">
      <c r="A3699" s="24" t="n">
        <v>53405</v>
      </c>
      <c r="B3699" s="24" t="inlineStr">
        <is>
          <t>ICOSAPENT ETHYL CAPSULE, LIQUID FILLED ORAL 1000 mg</t>
        </is>
      </c>
      <c r="C3699" s="25">
        <f>IF(COUNTIF('کدهای پیام‌داروساز'!$A$2:$A$2442,A3699)&gt;0,"بله","خیر")</f>
        <v/>
      </c>
    </row>
    <row r="3700" ht="15" customHeight="1" s="14">
      <c r="A3700" s="24" t="n">
        <v>53406</v>
      </c>
      <c r="B3700" s="24" t="inlineStr">
        <is>
          <t>CIPROFLOXACIN (AS HYDROCHLORIDE) SOLUTION, DROPS OPHTHALMIC 0.3 % 0.5 mL</t>
        </is>
      </c>
      <c r="C3700" s="25">
        <f>IF(COUNTIF('کدهای پیام‌داروساز'!$A$2:$A$2442,A3700)&gt;0,"بله","خیر")</f>
        <v/>
      </c>
    </row>
    <row r="3701" ht="15" customHeight="1" s="14">
      <c r="A3701" s="24" t="n">
        <v>53407</v>
      </c>
      <c r="B3701" s="24" t="inlineStr">
        <is>
          <t>COBIMETINIB (AS HEMIFUMARATE) TABLET ORAL 20 mg</t>
        </is>
      </c>
      <c r="C3701" s="25">
        <f>IF(COUNTIF('کدهای پیام‌داروساز'!$A$2:$A$2442,A3701)&gt;0,"بله","خیر")</f>
        <v/>
      </c>
    </row>
    <row r="3702" ht="15" customHeight="1" s="14">
      <c r="A3702" s="24" t="n">
        <v>53408</v>
      </c>
      <c r="B3702" s="24" t="inlineStr">
        <is>
          <t>SILODOSIN CAPSULE ORAL 4 mg</t>
        </is>
      </c>
      <c r="C3702" s="25">
        <f>IF(COUNTIF('کدهای پیام‌داروساز'!$A$2:$A$2442,A3702)&gt;0,"بله","خیر")</f>
        <v/>
      </c>
    </row>
    <row r="3703" ht="15" customHeight="1" s="14">
      <c r="A3703" s="24" t="n">
        <v>53409</v>
      </c>
      <c r="B3703" s="24" t="inlineStr">
        <is>
          <t>SILODOSIN CAPSULE ORAL 8 mg</t>
        </is>
      </c>
      <c r="C3703" s="25">
        <f>IF(COUNTIF('کدهای پیام‌داروساز'!$A$2:$A$2442,A3703)&gt;0,"بله","خیر")</f>
        <v/>
      </c>
    </row>
    <row r="3704" ht="15" customHeight="1" s="14">
      <c r="A3704" s="24" t="n">
        <v>53411</v>
      </c>
      <c r="B3704" s="24" t="inlineStr">
        <is>
          <t>SELPERCATINIB CAPSULE ORAL 80 mg</t>
        </is>
      </c>
      <c r="C3704" s="25">
        <f>IF(COUNTIF('کدهای پیام‌داروساز'!$A$2:$A$2442,A3704)&gt;0,"بله","خیر")</f>
        <v/>
      </c>
    </row>
    <row r="3705" ht="15" customHeight="1" s="14">
      <c r="A3705" s="24" t="n">
        <v>53412</v>
      </c>
      <c r="B3705" s="24" t="inlineStr">
        <is>
          <t>DIROXIMEL FUMARATE CAPSULE, DELAYED RELEASE ORAL 231 mg</t>
        </is>
      </c>
      <c r="C3705" s="25">
        <f>IF(COUNTIF('کدهای پیام‌داروساز'!$A$2:$A$2442,A3705)&gt;0,"بله","خیر")</f>
        <v/>
      </c>
    </row>
    <row r="3706" ht="15" customHeight="1" s="14">
      <c r="A3706" s="24" t="n">
        <v>53413</v>
      </c>
      <c r="B3706" s="24" t="inlineStr">
        <is>
          <t>VENETOCLAX TABLET ORAL 50 mg</t>
        </is>
      </c>
      <c r="C3706" s="25">
        <f>IF(COUNTIF('کدهای پیام‌داروساز'!$A$2:$A$2442,A3706)&gt;0,"بله","خیر")</f>
        <v/>
      </c>
    </row>
    <row r="3707" ht="15" customHeight="1" s="14">
      <c r="A3707" s="24" t="n">
        <v>53414</v>
      </c>
      <c r="B3707" s="24" t="inlineStr">
        <is>
          <t>VENETOCLAX TABLET ORAL 10 mg</t>
        </is>
      </c>
      <c r="C3707" s="25">
        <f>IF(COUNTIF('کدهای پیام‌داروساز'!$A$2:$A$2442,A3707)&gt;0,"بله","خیر")</f>
        <v/>
      </c>
    </row>
    <row r="3708" ht="15" customHeight="1" s="14">
      <c r="A3708" s="24" t="n">
        <v>53415</v>
      </c>
      <c r="B3708" s="24" t="inlineStr">
        <is>
          <t>HEPATITIS B IMMUNE GLOBULIN INJECTION PARENTERAL 200 [iU]/1mL 10 mL</t>
        </is>
      </c>
      <c r="C3708" s="25">
        <f>IF(COUNTIF('کدهای پیام‌داروساز'!$A$2:$A$2442,A3708)&gt;0,"بله","خیر")</f>
        <v/>
      </c>
    </row>
    <row r="3709" ht="15" customHeight="1" s="14">
      <c r="A3709" s="24" t="n">
        <v>53416</v>
      </c>
      <c r="B3709" s="24" t="inlineStr">
        <is>
          <t>NITROGLYCERIN SPRAY SUBLINGUAL 400 ug/1{dose} 100 {dose}</t>
        </is>
      </c>
      <c r="C3709" s="25">
        <f>IF(COUNTIF('کدهای پیام‌داروساز'!$A$2:$A$2442,A3709)&gt;0,"بله","خیر")</f>
        <v/>
      </c>
    </row>
    <row r="3710" ht="15" customHeight="1" s="14">
      <c r="A3710" s="24" t="n">
        <v>53418</v>
      </c>
      <c r="B3710" s="24" t="inlineStr">
        <is>
          <t>DIPHTHERIA / HEMOPHILUS INFLUENZAE B / PERTUSSIS / POLIOMYELITIS / TETANUS / HEPATITIS B VACCINE INJECTION, SUSPENSION PARENTERAL 1 {dose} 0.5 mL</t>
        </is>
      </c>
      <c r="C3710" s="25">
        <f>IF(COUNTIF('کدهای پیام‌داروساز'!$A$2:$A$2442,A3710)&gt;0,"بله","خیر")</f>
        <v/>
      </c>
    </row>
    <row r="3711" ht="15" customHeight="1" s="14">
      <c r="A3711" s="24" t="n">
        <v>53419</v>
      </c>
      <c r="B3711" s="24" t="inlineStr">
        <is>
          <t>DIPHTHERIA / HEMOPHILUS INFLUENZAE B / PERTUSSIS / POLIOMYELITIS / TETANUS / HEPATITIS B VACCINE INJECTION, SUSPENSION PARENTERAL 10 {dose} 5 mL</t>
        </is>
      </c>
      <c r="C3711" s="25">
        <f>IF(COUNTIF('کدهای پیام‌داروساز'!$A$2:$A$2442,A3711)&gt;0,"بله","خیر")</f>
        <v/>
      </c>
    </row>
    <row r="3712" ht="15" customHeight="1" s="14">
      <c r="A3712" s="24" t="n">
        <v>53421</v>
      </c>
      <c r="B3712" s="24" t="inlineStr">
        <is>
          <t>COAGULATION FACTOR VIII, Long Acting INJECTION, POWDER, LYOPHILIZED PARENTERAL 1000 [iU]</t>
        </is>
      </c>
      <c r="C3712" s="25">
        <f>IF(COUNTIF('کدهای پیام‌داروساز'!$A$2:$A$2442,A3712)&gt;0,"بله","خیر")</f>
        <v/>
      </c>
    </row>
    <row r="3713" ht="15" customHeight="1" s="14">
      <c r="A3713" s="24" t="n">
        <v>53422</v>
      </c>
      <c r="B3713" s="24" t="inlineStr">
        <is>
          <t>COAGULATION FACTOR VIII, Long Acting INJECTION, POWDER, LYOPHILIZED PARENTERAL 2000 [iU]</t>
        </is>
      </c>
      <c r="C3713" s="25">
        <f>IF(COUNTIF('کدهای پیام‌داروساز'!$A$2:$A$2442,A3713)&gt;0,"بله","خیر")</f>
        <v/>
      </c>
    </row>
    <row r="3714" ht="15" customHeight="1" s="14">
      <c r="A3714" s="24" t="n">
        <v>53423</v>
      </c>
      <c r="B3714" s="24" t="inlineStr">
        <is>
          <t>FUSIDIC ACID / HYDROCORTISONE ACETATE CREAM TOPICAL 2 %/1 % 15 g</t>
        </is>
      </c>
      <c r="C3714" s="25">
        <f>IF(COUNTIF('کدهای پیام‌داروساز'!$A$2:$A$2442,A3714)&gt;0,"بله","خیر")</f>
        <v/>
      </c>
    </row>
    <row r="3715" ht="15" customHeight="1" s="14">
      <c r="A3715" s="24" t="n">
        <v>53424</v>
      </c>
      <c r="B3715" s="24" t="inlineStr">
        <is>
          <t>OXYMETAZOLINE HYDROCHLORIDE SPRAY NASAL 0.1 % 20 mL</t>
        </is>
      </c>
      <c r="C3715" s="25">
        <f>IF(COUNTIF('کدهای پیام‌داروساز'!$A$2:$A$2442,A3715)&gt;0,"بله","خیر")</f>
        <v/>
      </c>
    </row>
    <row r="3716" ht="15" customHeight="1" s="14">
      <c r="A3716" s="24" t="n">
        <v>53425</v>
      </c>
      <c r="B3716" s="24" t="inlineStr">
        <is>
          <t>OMEPRAZOLE POWDER, FOR SUSPENSION ORAL 2 mg/1 mL 90 mL</t>
        </is>
      </c>
      <c r="C3716" s="25">
        <f>IF(COUNTIF('کدهای پیام‌داروساز'!$A$2:$A$2442,A3716)&gt;0,"بله","خیر")</f>
        <v/>
      </c>
    </row>
    <row r="3717" ht="15" customHeight="1" s="14">
      <c r="A3717" s="24" t="n">
        <v>53426</v>
      </c>
      <c r="B3717" s="24" t="inlineStr">
        <is>
          <t>BIMATOPROST SOLUTION, DROPS OPHTHALMIC 0.03 % 5 mL</t>
        </is>
      </c>
      <c r="C3717" s="25">
        <f>IF(COUNTIF('کدهای پیام‌داروساز'!$A$2:$A$2442,A3717)&gt;0,"بله","خیر")</f>
        <v/>
      </c>
    </row>
    <row r="3718" ht="15" customHeight="1" s="14">
      <c r="A3718" s="24" t="n">
        <v>53427</v>
      </c>
      <c r="B3718" s="24" t="inlineStr">
        <is>
          <t>OLIPUDASE ALFA INJECTION, POWDER, LYOPHILIZED, FOR SOLUTION PARENTERAL 4 mg</t>
        </is>
      </c>
      <c r="C3718" s="25">
        <f>IF(COUNTIF('کدهای پیام‌داروساز'!$A$2:$A$2442,A3718)&gt;0,"بله","خیر")</f>
        <v/>
      </c>
    </row>
    <row r="3719" ht="15" customHeight="1" s="14">
      <c r="A3719" s="24" t="n">
        <v>53428</v>
      </c>
      <c r="B3719" s="24" t="inlineStr">
        <is>
          <t>DEFLAZACORT TABLET ORAL 30 mg</t>
        </is>
      </c>
      <c r="C3719" s="25">
        <f>IF(COUNTIF('کدهای پیام‌داروساز'!$A$2:$A$2442,A3719)&gt;0,"بله","خیر")</f>
        <v/>
      </c>
    </row>
    <row r="3720" ht="15" customHeight="1" s="14">
      <c r="A3720" s="24" t="n">
        <v>53430</v>
      </c>
      <c r="B3720" s="24" t="inlineStr">
        <is>
          <t>FRUQUINTINIB CAPSULE ORAL 5 mg</t>
        </is>
      </c>
      <c r="C3720" s="25">
        <f>IF(COUNTIF('کدهای پیام‌داروساز'!$A$2:$A$2442,A3720)&gt;0,"بله","خیر")</f>
        <v/>
      </c>
    </row>
    <row r="3721" ht="15" customHeight="1" s="14">
      <c r="A3721" s="24" t="n">
        <v>53431</v>
      </c>
      <c r="B3721" s="24" t="inlineStr">
        <is>
          <t>DOSTARLIMAB INJECTION, SOLUTION, CONCENTRATE PARENTERAL 50 mg/1mL 10 mL</t>
        </is>
      </c>
      <c r="C3721" s="25">
        <f>IF(COUNTIF('کدهای پیام‌داروساز'!$A$2:$A$2442,A3721)&gt;0,"بله","خیر")</f>
        <v/>
      </c>
    </row>
    <row r="3722" ht="15" customHeight="1" s="14">
      <c r="A3722" s="24" t="n">
        <v>53432</v>
      </c>
      <c r="B3722" s="24" t="inlineStr">
        <is>
          <t>PEMETREXED (AS DISODIU ) INJECTION, SOLUTION, CONCENTRATE PARENTERAL 25 mg/1mL 4 mL</t>
        </is>
      </c>
      <c r="C3722" s="25">
        <f>IF(COUNTIF('کدهای پیام‌داروساز'!$A$2:$A$2442,A3722)&gt;0,"بله","خیر")</f>
        <v/>
      </c>
    </row>
    <row r="3723" ht="15" customHeight="1" s="14">
      <c r="A3723" s="24" t="n">
        <v>53433</v>
      </c>
      <c r="B3723" s="24" t="inlineStr">
        <is>
          <t>PEMETREXED (AS DISODIU ) INJECTION, SOLUTION, CONCENTRATE PARENTERAL 25 mg/1mL 20 mL</t>
        </is>
      </c>
      <c r="C3723" s="25">
        <f>IF(COUNTIF('کدهای پیام‌داروساز'!$A$2:$A$2442,A3723)&gt;0,"بله","خیر")</f>
        <v/>
      </c>
    </row>
    <row r="3724" ht="15" customHeight="1" s="14">
      <c r="A3724" s="24" t="n">
        <v>53434</v>
      </c>
      <c r="B3724" s="24" t="inlineStr">
        <is>
          <t>ALLOGENIC SKIN DERIVED KERATINOCYTE PATCH TOPICAL 300000 cells/1 cm2 60 CM3</t>
        </is>
      </c>
      <c r="C3724" s="25">
        <f>IF(COUNTIF('کدهای پیام‌داروساز'!$A$2:$A$2442,A3724)&gt;0,"بله","خیر")</f>
        <v/>
      </c>
    </row>
    <row r="3725" ht="15" customHeight="1" s="14">
      <c r="A3725" s="24" t="n">
        <v>53435</v>
      </c>
      <c r="B3725" s="24" t="inlineStr">
        <is>
          <t>ALLOGENEIC CULTURED KERATINOCYTES AND FIBROBLASTS IN BOVINE COLLAGEN PATCH TOPICAL 300000 cells/1 cm2</t>
        </is>
      </c>
      <c r="C3725" s="25">
        <f>IF(COUNTIF('کدهای پیام‌داروساز'!$A$2:$A$2442,A3725)&gt;0,"بله","خیر")</f>
        <v/>
      </c>
    </row>
    <row r="3726" ht="15" customHeight="1" s="14">
      <c r="A3726" s="24" t="n">
        <v>53436</v>
      </c>
      <c r="B3726" s="24" t="inlineStr">
        <is>
          <t>COAGULATION FACTOR VIII, Long Acting INJECTION, POWDER, LYOPHILIZED PARENTERAL 1500 [iU]</t>
        </is>
      </c>
      <c r="C3726" s="25">
        <f>IF(COUNTIF('کدهای پیام‌داروساز'!$A$2:$A$2442,A3726)&gt;0,"بله","خیر")</f>
        <v/>
      </c>
    </row>
    <row r="3727" ht="15" customHeight="1" s="14">
      <c r="A3727" s="24" t="n">
        <v>53437</v>
      </c>
      <c r="B3727" s="24" t="inlineStr">
        <is>
          <t>COAGULATION FACTOR VIII, Long Acting INJECTION, POWDER, LYOPHILIZED PARENTERAL 3000 [iU]</t>
        </is>
      </c>
      <c r="C3727" s="25">
        <f>IF(COUNTIF('کدهای پیام‌داروساز'!$A$2:$A$2442,A3727)&gt;0,"بله","خیر")</f>
        <v/>
      </c>
    </row>
    <row r="3728" ht="15" customHeight="1" s="14">
      <c r="A3728" s="24" t="n">
        <v>53438</v>
      </c>
      <c r="B3728" s="24" t="inlineStr">
        <is>
          <t>ACICLOVIR / HYDROCORTISONE CREAM TOPICAL 5 %/1 % 15 g</t>
        </is>
      </c>
      <c r="C3728" s="25">
        <f>IF(COUNTIF('کدهای پیام‌داروساز'!$A$2:$A$2442,A3728)&gt;0,"بله","خیر")</f>
        <v/>
      </c>
    </row>
    <row r="3729" ht="15" customHeight="1" s="14">
      <c r="A3729" s="24" t="n">
        <v>53439</v>
      </c>
      <c r="B3729" s="24" t="inlineStr">
        <is>
          <t>SOTALOL HYDROCHLORIDE SOLUTION ORAL 5 mg/1 mL 60 mL</t>
        </is>
      </c>
      <c r="C3729" s="25">
        <f>IF(COUNTIF('کدهای پیام‌داروساز'!$A$2:$A$2442,A3729)&gt;0,"بله","خیر")</f>
        <v/>
      </c>
    </row>
    <row r="3730" ht="15" customHeight="1" s="14">
      <c r="A3730" s="24" t="n">
        <v>53441</v>
      </c>
      <c r="B3730" s="24" t="inlineStr">
        <is>
          <t>POLATUZUMAB VEDOTIN INJECTION, POWDER, LYOPHILIZED, FOR SOLUTION PARENTERAL 140 mg</t>
        </is>
      </c>
      <c r="C3730" s="25">
        <f>IF(COUNTIF('کدهای پیام‌داروساز'!$A$2:$A$2442,A3730)&gt;0,"بله","خیر")</f>
        <v/>
      </c>
    </row>
    <row r="3731" ht="15" customHeight="1" s="14">
      <c r="A3731" s="24" t="n">
        <v>53442</v>
      </c>
      <c r="B3731" s="24" t="inlineStr">
        <is>
          <t>BILASTINE TABLET ORAL 20 mg</t>
        </is>
      </c>
      <c r="C3731" s="25">
        <f>IF(COUNTIF('کدهای پیام‌داروساز'!$A$2:$A$2442,A3731)&gt;0,"بله","خیر")</f>
        <v/>
      </c>
    </row>
    <row r="3732" ht="15" customHeight="1" s="14">
      <c r="A3732" s="24" t="n">
        <v>53444</v>
      </c>
      <c r="B3732" s="24" t="inlineStr">
        <is>
          <t>BILASTINE SOLUTION ORAL 2.5 mg/1mL 120 mL</t>
        </is>
      </c>
      <c r="C3732" s="25">
        <f>IF(COUNTIF('کدهای پیام‌داروساز'!$A$2:$A$2442,A3732)&gt;0,"بله","خیر")</f>
        <v/>
      </c>
    </row>
    <row r="3733" ht="15" customHeight="1" s="14">
      <c r="A3733" s="24" t="n">
        <v>53445</v>
      </c>
      <c r="B3733" s="24" t="inlineStr">
        <is>
          <t>ROTAVIRUS VACCINE, MONOVALENT, LIVE SOLUTION ORAL 5 {dose}</t>
        </is>
      </c>
      <c r="C3733" s="25">
        <f>IF(COUNTIF('کدهای پیام‌داروساز'!$A$2:$A$2442,A3733)&gt;0,"بله","خیر")</f>
        <v/>
      </c>
    </row>
    <row r="3734" ht="15" customHeight="1" s="14">
      <c r="A3734" s="24" t="n">
        <v>53446</v>
      </c>
      <c r="B3734" s="24" t="inlineStr">
        <is>
          <t>DEXLANSOPRAZOLE CAPSULE, DELAYED RELEASE ORAL 30 mg</t>
        </is>
      </c>
      <c r="C3734" s="25">
        <f>IF(COUNTIF('کدهای پیام‌داروساز'!$A$2:$A$2442,A3734)&gt;0,"بله","خیر")</f>
        <v/>
      </c>
    </row>
    <row r="3735" ht="15" customHeight="1" s="14">
      <c r="A3735" s="24" t="n">
        <v>53447</v>
      </c>
      <c r="B3735" s="24" t="inlineStr">
        <is>
          <t>DEXLANSOPRAZOLE CAPSULE, DELAYED RELEASE ORAL 60 mg</t>
        </is>
      </c>
      <c r="C3735" s="25">
        <f>IF(COUNTIF('کدهای پیام‌داروساز'!$A$2:$A$2442,A3735)&gt;0,"بله","خیر")</f>
        <v/>
      </c>
    </row>
    <row r="3736" ht="15" customHeight="1" s="14">
      <c r="A3736" s="24" t="n">
        <v>53448</v>
      </c>
      <c r="B3736" s="24" t="inlineStr">
        <is>
          <t>DONEPEZIL HYDROCHLORIDE / MEMANTINE HYDROCHLORIDE CAPSULE, EXTENDED RELEASE ORAL 10 mg/7 mg</t>
        </is>
      </c>
      <c r="C3736" s="25">
        <f>IF(COUNTIF('کدهای پیام‌داروساز'!$A$2:$A$2442,A3736)&gt;0,"بله","خیر")</f>
        <v/>
      </c>
    </row>
    <row r="3737" ht="15" customHeight="1" s="14">
      <c r="A3737" s="24" t="n">
        <v>53449</v>
      </c>
      <c r="B3737" s="24" t="inlineStr">
        <is>
          <t>TENECTEPLASE INJECTION, POWDER PARENTERAL 25 mg</t>
        </is>
      </c>
      <c r="C3737" s="25">
        <f>IF(COUNTIF('کدهای پیام‌داروساز'!$A$2:$A$2442,A3737)&gt;0,"بله","خیر")</f>
        <v/>
      </c>
    </row>
    <row r="3738" ht="15" customHeight="1" s="14">
      <c r="A3738" s="24" t="n">
        <v>53450</v>
      </c>
      <c r="B3738" s="24" t="inlineStr">
        <is>
          <t>DONEPEZIL HYDROCHLORIDE / MEMANTINE HYDROCHLORIDE CAPSULE, EXTENDED RELEASE ORAL 10 mg/14 mg</t>
        </is>
      </c>
      <c r="C3738" s="25">
        <f>IF(COUNTIF('کدهای پیام‌داروساز'!$A$2:$A$2442,A3738)&gt;0,"بله","خیر")</f>
        <v/>
      </c>
    </row>
    <row r="3739" ht="15" customHeight="1" s="14">
      <c r="A3739" s="24" t="n">
        <v>53451</v>
      </c>
      <c r="B3739" s="24" t="inlineStr">
        <is>
          <t>DONEPEZIL HYDROCHLORIDE / MEMANTINE HYDROCHLORIDE CAPSULE, EXTENDED RELEASE ORAL 10 mg/21 mg</t>
        </is>
      </c>
      <c r="C3739" s="25">
        <f>IF(COUNTIF('کدهای پیام‌داروساز'!$A$2:$A$2442,A3739)&gt;0,"بله","خیر")</f>
        <v/>
      </c>
    </row>
    <row r="3740" ht="15" customHeight="1" s="14">
      <c r="A3740" s="24" t="n">
        <v>53452</v>
      </c>
      <c r="B3740" s="24" t="inlineStr">
        <is>
          <t>DONEPEZIL HYDROCHLORIDE / MEMANTINE HYDROCHLORIDE CAPSULE, EXTENDED RELEASE ORAL 10 mg/28 mg</t>
        </is>
      </c>
      <c r="C3740" s="25">
        <f>IF(COUNTIF('کدهای پیام‌داروساز'!$A$2:$A$2442,A3740)&gt;0,"بله","خیر")</f>
        <v/>
      </c>
    </row>
    <row r="3741" ht="15" customHeight="1" s="14">
      <c r="A3741" s="24" t="n">
        <v>53453</v>
      </c>
      <c r="B3741" s="24" t="inlineStr">
        <is>
          <t>SELEXIPAG TABLET ORAL 400 ug</t>
        </is>
      </c>
      <c r="C3741" s="25">
        <f>IF(COUNTIF('کدهای پیام‌داروساز'!$A$2:$A$2442,A3741)&gt;0,"بله","خیر")</f>
        <v/>
      </c>
    </row>
    <row r="3742" ht="15" customHeight="1" s="14">
      <c r="A3742" s="24" t="n">
        <v>53454</v>
      </c>
      <c r="B3742" s="24" t="inlineStr">
        <is>
          <t>FOLLITROPIN ALFA INJECTION PARENTERAL 600 [iU]/1mL 0.25 mL</t>
        </is>
      </c>
      <c r="C3742" s="25">
        <f>IF(COUNTIF('کدهای پیام‌داروساز'!$A$2:$A$2442,A3742)&gt;0,"بله","خیر")</f>
        <v/>
      </c>
    </row>
    <row r="3743" ht="15" customHeight="1" s="14">
      <c r="A3743" s="24" t="n">
        <v>53455</v>
      </c>
      <c r="B3743" s="24" t="inlineStr">
        <is>
          <t>ACETAMINOPHEN / CHLORPHENIRAMINE / DEXTROMETHORPHAN / PHENYLEPHRINE / ASCORBIC ACID TABLET ORAL 500 mg/2 mg/15 mg/5 mg/38 mg</t>
        </is>
      </c>
      <c r="C3743" s="25">
        <f>IF(COUNTIF('کدهای پیام‌داروساز'!$A$2:$A$2442,A3743)&gt;0,"بله","خیر")</f>
        <v/>
      </c>
    </row>
    <row r="3744" ht="15" customHeight="1" s="14">
      <c r="A3744" s="24" t="n">
        <v>53456</v>
      </c>
      <c r="B3744" s="24" t="inlineStr">
        <is>
          <t>BRIGATINIB TABLET ORAL 180 mg</t>
        </is>
      </c>
      <c r="C3744" s="25">
        <f>IF(COUNTIF('کدهای پیام‌داروساز'!$A$2:$A$2442,A3744)&gt;0,"بله","خیر")</f>
        <v/>
      </c>
    </row>
    <row r="3745" ht="15" customHeight="1" s="14">
      <c r="A3745" s="24" t="n">
        <v>53457</v>
      </c>
      <c r="B3745" s="24" t="inlineStr">
        <is>
          <t>VALPROATE SODIUM INJECTION, SOLUTION PARENTERAL 115 mg/1mL 5 mL</t>
        </is>
      </c>
      <c r="C3745" s="25">
        <f>IF(COUNTIF('کدهای پیام‌داروساز'!$A$2:$A$2442,A3745)&gt;0,"بله","خیر")</f>
        <v/>
      </c>
    </row>
    <row r="3746" ht="15" customHeight="1" s="14">
      <c r="A3746" s="24" t="n">
        <v>53458</v>
      </c>
      <c r="B3746" s="24" t="inlineStr">
        <is>
          <t>FERRIC DERISOMALTOSE INJECTION PARENTERAL 100 mg/1mL 5 mL</t>
        </is>
      </c>
      <c r="C3746" s="25">
        <f>IF(COUNTIF('کدهای پیام‌داروساز'!$A$2:$A$2442,A3746)&gt;0,"بله","خیر")</f>
        <v/>
      </c>
    </row>
    <row r="3747" ht="15" customHeight="1" s="14">
      <c r="A3747" s="24" t="n">
        <v>53459</v>
      </c>
      <c r="B3747" s="24" t="inlineStr">
        <is>
          <t>BRIVARACETAM TABLET ORAL 100 mg</t>
        </is>
      </c>
      <c r="C3747" s="25">
        <f>IF(COUNTIF('کدهای پیام‌داروساز'!$A$2:$A$2442,A3747)&gt;0,"بله","خیر")</f>
        <v/>
      </c>
    </row>
    <row r="3748" ht="15" customHeight="1" s="14">
      <c r="A3748" s="24" t="n">
        <v>53460</v>
      </c>
      <c r="B3748" s="24" t="inlineStr">
        <is>
          <t>BRIVARACETAM TABLET ORAL 25 mg</t>
        </is>
      </c>
      <c r="C3748" s="25">
        <f>IF(COUNTIF('کدهای پیام‌داروساز'!$A$2:$A$2442,A3748)&gt;0,"بله","خیر")</f>
        <v/>
      </c>
    </row>
    <row r="3749" ht="15" customHeight="1" s="14">
      <c r="A3749" s="24" t="n">
        <v>53461</v>
      </c>
      <c r="B3749" s="24" t="inlineStr">
        <is>
          <t>BRIVARACETAM TABLET ORAL 75 mg</t>
        </is>
      </c>
      <c r="C3749" s="25">
        <f>IF(COUNTIF('کدهای پیام‌داروساز'!$A$2:$A$2442,A3749)&gt;0,"بله","خیر")</f>
        <v/>
      </c>
    </row>
    <row r="3750" ht="15" customHeight="1" s="14">
      <c r="A3750" s="24" t="n">
        <v>53462</v>
      </c>
      <c r="B3750" s="24" t="inlineStr">
        <is>
          <t>BRIVARACETAM TABLET ORAL 50 mg</t>
        </is>
      </c>
      <c r="C3750" s="25">
        <f>IF(COUNTIF('کدهای پیام‌داروساز'!$A$2:$A$2442,A3750)&gt;0,"بله","خیر")</f>
        <v/>
      </c>
    </row>
    <row r="3751" ht="15" customHeight="1" s="14">
      <c r="A3751" s="24" t="n">
        <v>53463</v>
      </c>
      <c r="B3751" s="24" t="inlineStr">
        <is>
          <t>BRIVARACETAM TABLET ORAL 10 mg</t>
        </is>
      </c>
      <c r="C3751" s="25">
        <f>IF(COUNTIF('کدهای پیام‌داروساز'!$A$2:$A$2442,A3751)&gt;0,"بله","خیر")</f>
        <v/>
      </c>
    </row>
    <row r="3752" ht="15" customHeight="1" s="14">
      <c r="A3752" s="24" t="n">
        <v>53465</v>
      </c>
      <c r="B3752" s="24" t="inlineStr">
        <is>
          <t>CETIRIZINE HYDROCHLORIDE SYRUP ORAL 1 mg/1mL 100 mL</t>
        </is>
      </c>
      <c r="C3752" s="25">
        <f>IF(COUNTIF('کدهای پیام‌داروساز'!$A$2:$A$2442,A3752)&gt;0,"بله","خیر")</f>
        <v/>
      </c>
    </row>
    <row r="3753" ht="15" customHeight="1" s="14">
      <c r="A3753" s="24" t="n">
        <v>53466</v>
      </c>
      <c r="B3753" s="24" t="inlineStr">
        <is>
          <t>ANTISNAKE VENOM SERUM, HEPTAVALENT INJECTION PARENTERAL 5 mL</t>
        </is>
      </c>
      <c r="C3753" s="25">
        <f>IF(COUNTIF('کدهای پیام‌داروساز'!$A$2:$A$2442,A3753)&gt;0,"بله","خیر")</f>
        <v/>
      </c>
    </row>
    <row r="3754" ht="15" customHeight="1" s="14">
      <c r="A3754" s="24" t="n">
        <v>53467</v>
      </c>
      <c r="B3754" s="24" t="inlineStr">
        <is>
          <t>YELLOW FEVER VACCINE INJECTION PARENTERAL 2 {dose}</t>
        </is>
      </c>
      <c r="C3754" s="25">
        <f>IF(COUNTIF('کدهای پیام‌داروساز'!$A$2:$A$2442,A3754)&gt;0,"بله","خیر")</f>
        <v/>
      </c>
    </row>
    <row r="3755" ht="15" customHeight="1" s="14">
      <c r="A3755" s="24" t="n">
        <v>53469</v>
      </c>
      <c r="B3755" s="24" t="inlineStr">
        <is>
          <t>YELLOW FEVER VACCINE INJECTION PARENTERAL 10 {dose}</t>
        </is>
      </c>
      <c r="C3755" s="25">
        <f>IF(COUNTIF('کدهای پیام‌داروساز'!$A$2:$A$2442,A3755)&gt;0,"بله","خیر")</f>
        <v/>
      </c>
    </row>
    <row r="3756" ht="15" customHeight="1" s="14">
      <c r="A3756" s="24" t="n">
        <v>53471</v>
      </c>
      <c r="B3756" s="24" t="inlineStr">
        <is>
          <t>POVIDONE IODINE SOLUTION TOPICAL 10 % 120 mL</t>
        </is>
      </c>
      <c r="C3756" s="25">
        <f>IF(COUNTIF('کدهای پیام‌داروساز'!$A$2:$A$2442,A3756)&gt;0,"بله","خیر")</f>
        <v/>
      </c>
    </row>
    <row r="3757" ht="15" customHeight="1" s="14">
      <c r="A3757" s="24" t="n">
        <v>53473</v>
      </c>
      <c r="B3757" s="24" t="inlineStr">
        <is>
          <t>ESOMEPRAZOLE INJECTION, POWDER PARENTERAL 40 mg</t>
        </is>
      </c>
      <c r="C3757" s="25">
        <f>IF(COUNTIF('کدهای پیام‌داروساز'!$A$2:$A$2442,A3757)&gt;0,"بله","خیر")</f>
        <v/>
      </c>
    </row>
    <row r="3758" ht="15" customHeight="1" s="14">
      <c r="A3758" s="24" t="n">
        <v>53474</v>
      </c>
      <c r="B3758" s="24" t="inlineStr">
        <is>
          <t>LEVOFLOXACIN SOLUTION, DROPS OPHTHALMIC 1.5 % 5 mL</t>
        </is>
      </c>
      <c r="C3758" s="25">
        <f>IF(COUNTIF('کدهای پیام‌داروساز'!$A$2:$A$2442,A3758)&gt;0,"بله","خیر")</f>
        <v/>
      </c>
    </row>
    <row r="3759" ht="15" customHeight="1" s="14">
      <c r="A3759" s="24" t="n">
        <v>53475</v>
      </c>
      <c r="B3759" s="24" t="inlineStr">
        <is>
          <t>PLACENTA DERIVED STROMAL MESENCHYMAL CELLS INJECTION, SUSPENSION PARENTERAL 2000000 cm2/1mL 40 mL</t>
        </is>
      </c>
      <c r="C3759" s="25">
        <f>IF(COUNTIF('کدهای پیام‌داروساز'!$A$2:$A$2442,A3759)&gt;0,"بله","خیر")</f>
        <v/>
      </c>
    </row>
    <row r="3760" ht="15" customHeight="1" s="14">
      <c r="A3760" s="24" t="n">
        <v>53476</v>
      </c>
      <c r="B3760" s="24" t="inlineStr">
        <is>
          <t>DANTROLENE SODIUM INJECTION, POWDER PARENTERAL 120 mg</t>
        </is>
      </c>
      <c r="C3760" s="25">
        <f>IF(COUNTIF('کدهای پیام‌داروساز'!$A$2:$A$2442,A3760)&gt;0,"بله","خیر")</f>
        <v/>
      </c>
    </row>
    <row r="3761" ht="15" customHeight="1" s="14">
      <c r="A3761" s="24" t="n">
        <v>53477</v>
      </c>
      <c r="B3761" s="24" t="inlineStr">
        <is>
          <t>MAVACAMTEN CAPSULE ORAL 2.5 mg</t>
        </is>
      </c>
      <c r="C3761" s="25">
        <f>IF(COUNTIF('کدهای پیام‌داروساز'!$A$2:$A$2442,A3761)&gt;0,"بله","خیر")</f>
        <v/>
      </c>
    </row>
    <row r="3762" ht="15" customHeight="1" s="14">
      <c r="A3762" s="24" t="n">
        <v>53478</v>
      </c>
      <c r="B3762" s="24" t="inlineStr">
        <is>
          <t>MAVACAMTEN CAPSULE ORAL 5 mg</t>
        </is>
      </c>
      <c r="C3762" s="25">
        <f>IF(COUNTIF('کدهای پیام‌داروساز'!$A$2:$A$2442,A3762)&gt;0,"بله","خیر")</f>
        <v/>
      </c>
    </row>
    <row r="3763" ht="15" customHeight="1" s="14">
      <c r="A3763" s="24" t="n">
        <v>53479</v>
      </c>
      <c r="B3763" s="24" t="inlineStr">
        <is>
          <t>INOTUZUMAB OZOGAMICIN INJECTION, POWDER, LYOPHILIZED, FOR SOLUTION PARENTERAL 0.9 mg</t>
        </is>
      </c>
      <c r="C3763" s="25">
        <f>IF(COUNTIF('کدهای پیام‌داروساز'!$A$2:$A$2442,A3763)&gt;0,"بله","خیر")</f>
        <v/>
      </c>
    </row>
    <row r="3764" ht="15" customHeight="1" s="14">
      <c r="A3764" s="24" t="n">
        <v>53480</v>
      </c>
      <c r="B3764" s="24" t="inlineStr">
        <is>
          <t>ENFORTUMAB VEDOTIN INJECTION, POWDER, FOR SOLUTION PARENTERAL 30 mg</t>
        </is>
      </c>
      <c r="C3764" s="25">
        <f>IF(COUNTIF('کدهای پیام‌داروساز'!$A$2:$A$2442,A3764)&gt;0,"بله","خیر")</f>
        <v/>
      </c>
    </row>
    <row r="3765" ht="15" customHeight="1" s="14">
      <c r="A3765" s="24" t="n">
        <v>53481</v>
      </c>
      <c r="B3765" s="24" t="inlineStr">
        <is>
          <t>SEMAGLUTIDE INJECTION, SOLUTION PARENTERAL 2 mg/3mL</t>
        </is>
      </c>
      <c r="C3765" s="25">
        <f>IF(COUNTIF('کدهای پیام‌داروساز'!$A$2:$A$2442,A3765)&gt;0,"بله","خیر")</f>
        <v/>
      </c>
    </row>
    <row r="3766" ht="15" customHeight="1" s="14">
      <c r="A3766" s="24" t="n">
        <v>53482</v>
      </c>
      <c r="B3766" s="24" t="inlineStr">
        <is>
          <t>SEMAGLUTIDE INJECTION, SOLUTION PARENTERAL 4 mg/3 mL</t>
        </is>
      </c>
      <c r="C3766" s="25">
        <f>IF(COUNTIF('کدهای پیام‌داروساز'!$A$2:$A$2442,A3766)&gt;0,"بله","خیر")</f>
        <v/>
      </c>
    </row>
    <row r="3767" ht="15" customHeight="1" s="14">
      <c r="A3767" s="24" t="n">
        <v>53483</v>
      </c>
      <c r="B3767" s="24" t="inlineStr">
        <is>
          <t>SEMAGLUTIDE INJECTION, SOLUTION SUBCUTANEOUS 2 mg/1.5 mL</t>
        </is>
      </c>
      <c r="C3767" s="25">
        <f>IF(COUNTIF('کدهای پیام‌داروساز'!$A$2:$A$2442,A3767)&gt;0,"بله","خیر")</f>
        <v/>
      </c>
    </row>
    <row r="3768" ht="15" customHeight="1" s="14">
      <c r="A3768" s="24" t="n">
        <v>53484</v>
      </c>
      <c r="B3768" s="24" t="inlineStr">
        <is>
          <t>RUFINAMIDE TABLET ORAL 200 mg</t>
        </is>
      </c>
      <c r="C3768" s="25">
        <f>IF(COUNTIF('کدهای پیام‌داروساز'!$A$2:$A$2442,A3768)&gt;0,"بله","خیر")</f>
        <v/>
      </c>
    </row>
    <row r="3769" ht="15" customHeight="1" s="14">
      <c r="A3769" s="24" t="n">
        <v>53485</v>
      </c>
      <c r="B3769" s="24" t="inlineStr">
        <is>
          <t>OMAVELOXOLONE CAPSULE ORAL 50 mg</t>
        </is>
      </c>
      <c r="C3769" s="25">
        <f>IF(COUNTIF('کدهای پیام‌داروساز'!$A$2:$A$2442,A3769)&gt;0,"بله","خیر")</f>
        <v/>
      </c>
    </row>
    <row r="3770" ht="15" customHeight="1" s="14">
      <c r="A3770" s="24" t="n">
        <v>53486</v>
      </c>
      <c r="B3770" s="24" t="inlineStr">
        <is>
          <t>METHOTREXATE TABLET ORAL 2.5 mg</t>
        </is>
      </c>
      <c r="C3770" s="25">
        <f>IF(COUNTIF('کدهای پیام‌داروساز'!$A$2:$A$2442,A3770)&gt;0,"بله","خیر")</f>
        <v/>
      </c>
    </row>
    <row r="3771" ht="15" customHeight="1" s="14">
      <c r="A3771" s="24" t="n">
        <v>53487</v>
      </c>
      <c r="B3771" s="24" t="inlineStr">
        <is>
          <t>MULTIVITAMIN ADULT INJECTION, POWDER PARENTERAL 3500 [iU]/69 ug/414 ug/3.51 mg/4.14 mg/4.53 mg/17.25 mg/46 mg/125 mg/11.2 [iU]/220 [iU]/6 ug 10 mL</t>
        </is>
      </c>
      <c r="C3771" s="25">
        <f>IF(COUNTIF('کدهای پیام‌داروساز'!$A$2:$A$2442,A3771)&gt;0,"بله","خیر")</f>
        <v/>
      </c>
    </row>
    <row r="3772" ht="15" customHeight="1" s="14">
      <c r="A3772" s="24" t="n">
        <v>53489</v>
      </c>
      <c r="B3772" s="24" t="inlineStr">
        <is>
          <t>NAPROXEN TABLET, EXTENDED RELEASE ORAL 750 mg</t>
        </is>
      </c>
      <c r="C3772" s="25">
        <f>IF(COUNTIF('کدهای پیام‌داروساز'!$A$2:$A$2442,A3772)&gt;0,"بله","خیر")</f>
        <v/>
      </c>
    </row>
    <row r="3773" ht="15" customHeight="1" s="14">
      <c r="A3773" s="24" t="n">
        <v>53491</v>
      </c>
      <c r="B3773" s="24" t="inlineStr">
        <is>
          <t>SEMAGLUTIDE INJECTION, SOLUTION PARENTERAL 8 mg/3 mL</t>
        </is>
      </c>
      <c r="C3773" s="25">
        <f>IF(COUNTIF('کدهای پیام‌داروساز'!$A$2:$A$2442,A3773)&gt;0,"بله","خیر")</f>
        <v/>
      </c>
    </row>
    <row r="3774" ht="15" customHeight="1" s="14">
      <c r="A3774" s="24" t="n">
        <v>53498</v>
      </c>
      <c r="B3774" s="24" t="inlineStr">
        <is>
          <t>CEFTOLOZANE (AS SULFATE) / Tazobactam (AS SODIUM) INJECTION, POWDER PARENTERAL 1 g/500 mg</t>
        </is>
      </c>
      <c r="C3774" s="25">
        <f>IF(COUNTIF('کدهای پیام‌داروساز'!$A$2:$A$2442,A3774)&gt;0,"بله","خیر")</f>
        <v/>
      </c>
    </row>
    <row r="3775" ht="15" customHeight="1" s="14">
      <c r="A3775" s="24" t="n">
        <v>53503</v>
      </c>
      <c r="B3775" s="24" t="inlineStr">
        <is>
          <t>DUPILUMAB INJECTION, SOLUTION SUBCUTANEOUS 150 mg/1mL 2 mL</t>
        </is>
      </c>
      <c r="C3775" s="25">
        <f>IF(COUNTIF('کدهای پیام‌داروساز'!$A$2:$A$2442,A3775)&gt;0,"بله","خیر")</f>
        <v/>
      </c>
    </row>
    <row r="3776" ht="15" customHeight="1" s="14">
      <c r="A3776" s="24" t="n">
        <v>53504</v>
      </c>
      <c r="B3776" s="24" t="inlineStr">
        <is>
          <t>INSULIN GLARGINE INJECTION PARENTERAL 300 [iU]/1mL 3 mL</t>
        </is>
      </c>
      <c r="C3776" s="25">
        <f>IF(COUNTIF('کدهای پیام‌داروساز'!$A$2:$A$2442,A3776)&gt;0,"بله","خیر")</f>
        <v/>
      </c>
    </row>
    <row r="3777" ht="15" customHeight="1" s="14">
      <c r="A3777" s="24" t="n">
        <v>53505</v>
      </c>
      <c r="B3777" s="24" t="inlineStr">
        <is>
          <t>XANOMELINE (AS TARTRATE) / TROSPIUM CHLORIDE CAPSULE ORAL 100 mg/20 mg</t>
        </is>
      </c>
      <c r="C3777" s="25">
        <f>IF(COUNTIF('کدهای پیام‌داروساز'!$A$2:$A$2442,A3777)&gt;0,"بله","خیر")</f>
        <v/>
      </c>
    </row>
    <row r="3778" ht="15" customHeight="1" s="14">
      <c r="A3778" s="24" t="n">
        <v>53506</v>
      </c>
      <c r="B3778" s="24" t="inlineStr">
        <is>
          <t>TIRZEPATIDE INJECTION, SOLUTION SUBCUTANEOUS 2.5 mg/0.5mL</t>
        </is>
      </c>
      <c r="C3778" s="25">
        <f>IF(COUNTIF('کدهای پیام‌داروساز'!$A$2:$A$2442,A3778)&gt;0,"بله","خیر")</f>
        <v/>
      </c>
    </row>
    <row r="3779" ht="15" customHeight="1" s="14">
      <c r="A3779" s="24" t="n">
        <v>53507</v>
      </c>
      <c r="B3779" s="24" t="inlineStr">
        <is>
          <t>TIRZEPATIDE INJECTION, SOLUTION SUBCUTANEOUS 5 mg/0.5mL</t>
        </is>
      </c>
      <c r="C3779" s="25">
        <f>IF(COUNTIF('کدهای پیام‌داروساز'!$A$2:$A$2442,A3779)&gt;0,"بله","خیر")</f>
        <v/>
      </c>
    </row>
    <row r="3780" ht="15" customHeight="1" s="14">
      <c r="A3780" s="24" t="n">
        <v>53508</v>
      </c>
      <c r="B3780" s="24" t="inlineStr">
        <is>
          <t>TIRZEPATIDE INJECTION, SOLUTION SUBCUTANEOUS 7.5 mg/0.5mL</t>
        </is>
      </c>
      <c r="C3780" s="25">
        <f>IF(COUNTIF('کدهای پیام‌داروساز'!$A$2:$A$2442,A3780)&gt;0,"بله","خیر")</f>
        <v/>
      </c>
    </row>
    <row r="3781" ht="15" customHeight="1" s="14">
      <c r="A3781" s="24" t="n">
        <v>53509</v>
      </c>
      <c r="B3781" s="24" t="inlineStr">
        <is>
          <t>RAMELTEON TABLET ORAL 8 mg</t>
        </is>
      </c>
      <c r="C3781" s="25">
        <f>IF(COUNTIF('کدهای پیام‌داروساز'!$A$2:$A$2442,A3781)&gt;0,"بله","خیر")</f>
        <v/>
      </c>
    </row>
    <row r="3782" ht="15" customHeight="1" s="14">
      <c r="A3782" s="24" t="n">
        <v>53510</v>
      </c>
      <c r="B3782" s="24" t="inlineStr">
        <is>
          <t>APREMILAST TABLET ORAL 20 mg</t>
        </is>
      </c>
      <c r="C3782" s="25">
        <f>IF(COUNTIF('کدهای پیام‌داروساز'!$A$2:$A$2442,A3782)&gt;0,"بله","خیر")</f>
        <v/>
      </c>
    </row>
    <row r="3783" ht="15" customHeight="1" s="14">
      <c r="A3783" s="24" t="n">
        <v>53511</v>
      </c>
      <c r="B3783" s="24" t="inlineStr">
        <is>
          <t>ELACESTRANT (AS DIHYDROCHLORIDE) TABLET ORAL 345 mg</t>
        </is>
      </c>
      <c r="C3783" s="25">
        <f>IF(COUNTIF('کدهای پیام‌داروساز'!$A$2:$A$2442,A3783)&gt;0,"بله","خیر")</f>
        <v/>
      </c>
    </row>
    <row r="3784" ht="15" customHeight="1" s="14">
      <c r="A3784" s="24" t="n">
        <v>53512</v>
      </c>
      <c r="B3784" s="24" t="inlineStr">
        <is>
          <t>VIGABATRIN POWDER, FOR SOLUTION ORAL 500 mg</t>
        </is>
      </c>
      <c r="C3784" s="25">
        <f>IF(COUNTIF('کدهای پیام‌داروساز'!$A$2:$A$2442,A3784)&gt;0,"بله","خیر")</f>
        <v/>
      </c>
    </row>
    <row r="3785" ht="15" customHeight="1" s="14">
      <c r="A3785" s="24" t="n">
        <v>53514</v>
      </c>
      <c r="B3785" s="24" t="inlineStr">
        <is>
          <t>BACLOFEN INJECTION, SOLUTION PARENTERAL 0.05 mg/1mL 2 mL</t>
        </is>
      </c>
      <c r="C3785" s="25">
        <f>IF(COUNTIF('کدهای پیام‌داروساز'!$A$2:$A$2442,A3785)&gt;0,"بله","خیر")</f>
        <v/>
      </c>
    </row>
    <row r="3786" ht="15" customHeight="1" s="14">
      <c r="A3786" s="24" t="n">
        <v>53516</v>
      </c>
      <c r="B3786" s="24" t="inlineStr">
        <is>
          <t>PITOLISANT (AS HYDROCHLORIDE) TABLET ORAL 17.8 mg</t>
        </is>
      </c>
      <c r="C3786" s="25">
        <f>IF(COUNTIF('کدهای پیام‌داروساز'!$A$2:$A$2442,A3786)&gt;0,"بله","خیر")</f>
        <v/>
      </c>
    </row>
    <row r="3787" ht="15" customHeight="1" s="14">
      <c r="A3787" s="24" t="n">
        <v>53517</v>
      </c>
      <c r="B3787" s="24" t="inlineStr">
        <is>
          <t>HUMAN ALLOGENIC UMBILICAL CORD TISSUE-DERIVED MESENCHYMAL STROMAL CELLS INJECTION, SUSPENSION PARENTERAL 20000000 cells/2 mL</t>
        </is>
      </c>
      <c r="C3787" s="25">
        <f>IF(COUNTIF('کدهای پیام‌داروساز'!$A$2:$A$2442,A3787)&gt;0,"بله","خیر")</f>
        <v/>
      </c>
    </row>
    <row r="3788" ht="15" customHeight="1" s="14">
      <c r="A3788" s="24" t="n">
        <v>53518</v>
      </c>
      <c r="B3788" s="24" t="inlineStr">
        <is>
          <t>CLONAZEPAM TABLET ORAL 0.5 mg</t>
        </is>
      </c>
      <c r="C3788" s="25">
        <f>IF(COUNTIF('کدهای پیام‌داروساز'!$A$2:$A$2442,A3788)&gt;0,"بله","خیر")</f>
        <v/>
      </c>
    </row>
    <row r="3789" ht="15" customHeight="1" s="14">
      <c r="A3789" s="24" t="n">
        <v>53519</v>
      </c>
      <c r="B3789" s="24" t="inlineStr">
        <is>
          <t>CARBAMAZEPINE SUSPENSION ORAL 100 mg/5mL 150 mL</t>
        </is>
      </c>
      <c r="C3789" s="25">
        <f>IF(COUNTIF('کدهای پیام‌داروساز'!$A$2:$A$2442,A3789)&gt;0,"بله","خیر")</f>
        <v/>
      </c>
    </row>
    <row r="3790" ht="15" customHeight="1" s="14">
      <c r="A3790" s="24" t="n">
        <v>53520</v>
      </c>
      <c r="B3790" s="24" t="inlineStr">
        <is>
          <t>BUDESONIDE / FORMOTEROL FUMARATE CAPSULE RESPIRATORY 80 ug/4.5 ug</t>
        </is>
      </c>
      <c r="C3790" s="25">
        <f>IF(COUNTIF('کدهای پیام‌داروساز'!$A$2:$A$2442,A3790)&gt;0,"بله","خیر")</f>
        <v/>
      </c>
    </row>
    <row r="3791" ht="15" customHeight="1" s="14">
      <c r="A3791" s="24" t="n">
        <v>53521</v>
      </c>
      <c r="B3791" s="24" t="inlineStr">
        <is>
          <t>MEPOLIZUMAB INJECTION, SOLUTION PARENTERAL 100 mg 1 mL</t>
        </is>
      </c>
      <c r="C3791" s="25">
        <f>IF(COUNTIF('کدهای پیام‌داروساز'!$A$2:$A$2442,A3791)&gt;0,"بله","خیر")</f>
        <v/>
      </c>
    </row>
    <row r="3792" ht="15" customHeight="1" s="14">
      <c r="A3792" s="24" t="n">
        <v>53522</v>
      </c>
      <c r="B3792" s="24" t="inlineStr">
        <is>
          <t>ELAPEGADEMASE INJECTION, SOLUTION INTRAMUSCULAR 1.6 mg/1mL 1.5 mL</t>
        </is>
      </c>
      <c r="C3792" s="25">
        <f>IF(COUNTIF('کدهای پیام‌داروساز'!$A$2:$A$2442,A3792)&gt;0,"بله","خیر")</f>
        <v/>
      </c>
    </row>
    <row r="3793" ht="15" customHeight="1" s="14">
      <c r="A3793" s="24" t="n">
        <v>53525</v>
      </c>
      <c r="B3793" s="24" t="inlineStr">
        <is>
          <t>ADALIMUMAB INJECTION, SOLUTION PARENTERAL 40 mg/0.4 mL</t>
        </is>
      </c>
      <c r="C3793" s="25">
        <f>IF(COUNTIF('کدهای پیام‌داروساز'!$A$2:$A$2442,A3793)&gt;0,"بله","خیر")</f>
        <v/>
      </c>
    </row>
    <row r="3794" ht="15" customHeight="1" s="14">
      <c r="A3794" s="24" t="n">
        <v>53526</v>
      </c>
      <c r="B3794" s="24" t="inlineStr">
        <is>
          <t>FLIBANSERIN TABLET ORAL 100 mg</t>
        </is>
      </c>
      <c r="C3794" s="25">
        <f>IF(COUNTIF('کدهای پیام‌داروساز'!$A$2:$A$2442,A3794)&gt;0,"بله","خیر")</f>
        <v/>
      </c>
    </row>
    <row r="3795" ht="15" customHeight="1" s="14">
      <c r="A3795" s="24" t="n">
        <v>53527</v>
      </c>
      <c r="B3795" s="24" t="inlineStr">
        <is>
          <t>CAPIVASERTIB TABLET ORAL 200 mg</t>
        </is>
      </c>
      <c r="C3795" s="25">
        <f>IF(COUNTIF('کدهای پیام‌داروساز'!$A$2:$A$2442,A3795)&gt;0,"بله","خیر")</f>
        <v/>
      </c>
    </row>
    <row r="3796" ht="15" customHeight="1" s="14">
      <c r="A3796" s="24" t="n">
        <v>53528</v>
      </c>
      <c r="B3796" s="24" t="inlineStr">
        <is>
          <t>TIMOLOL (AS MALEATE) / BRIMONIDINE TARTRATE SOLUTION, DROPS OPHTHALMIC 0.5 %/0.2 % 5 mL</t>
        </is>
      </c>
      <c r="C3796" s="25">
        <f>IF(COUNTIF('کدهای پیام‌داروساز'!$A$2:$A$2442,A3796)&gt;0,"بله","خیر")</f>
        <v/>
      </c>
    </row>
    <row r="3797" ht="15" customHeight="1" s="14">
      <c r="A3797" s="24" t="n">
        <v>53530</v>
      </c>
      <c r="B3797" s="24" t="inlineStr">
        <is>
          <t>ABACAVIR (AS SULFATE) SOLUTION ORAL 20 mg/1mL 60 mL</t>
        </is>
      </c>
      <c r="C3797" s="25">
        <f>IF(COUNTIF('کدهای پیام‌داروساز'!$A$2:$A$2442,A3797)&gt;0,"بله","خیر")</f>
        <v/>
      </c>
    </row>
    <row r="3798" ht="15" customHeight="1" s="14">
      <c r="A3798" s="24" t="n">
        <v>53531</v>
      </c>
      <c r="B3798" s="24" t="inlineStr">
        <is>
          <t>ALBENDAZOLE TABLET ORAL 400 mg</t>
        </is>
      </c>
      <c r="C3798" s="25">
        <f>IF(COUNTIF('کدهای پیام‌داروساز'!$A$2:$A$2442,A3798)&gt;0,"بله","خیر")</f>
        <v/>
      </c>
    </row>
    <row r="3799" ht="15" customHeight="1" s="14">
      <c r="A3799" s="24" t="n">
        <v>53532</v>
      </c>
      <c r="B3799" s="24" t="inlineStr">
        <is>
          <t>BUPRENORPHINE  INJECTION, SOLUTION, EXTENDED RELEASE PARENTERAL 64 mg/0.18 ml</t>
        </is>
      </c>
      <c r="C3799" s="25">
        <f>IF(COUNTIF('کدهای پیام‌داروساز'!$A$2:$A$2442,A3799)&gt;0,"بله","خیر")</f>
        <v/>
      </c>
    </row>
    <row r="3800" ht="15" customHeight="1" s="14">
      <c r="A3800" s="24" t="n">
        <v>53533</v>
      </c>
      <c r="B3800" s="24" t="inlineStr">
        <is>
          <t>SOMATROPIN INJECTION PARENTERAL 10 [iU]/1mL 0.4 mL</t>
        </is>
      </c>
      <c r="C3800" s="25">
        <f>IF(COUNTIF('کدهای پیام‌داروساز'!$A$2:$A$2442,A3800)&gt;0,"بله","خیر")</f>
        <v/>
      </c>
    </row>
    <row r="3801" ht="15" customHeight="1" s="14">
      <c r="A3801" s="24" t="n">
        <v>53534</v>
      </c>
      <c r="B3801" s="24" t="inlineStr">
        <is>
          <t>PERAMPANEL SUSPENSION ORAL 0.5 mg/1 mL 340 mL</t>
        </is>
      </c>
      <c r="C3801" s="25">
        <f>IF(COUNTIF('کدهای پیام‌داروساز'!$A$2:$A$2442,A3801)&gt;0,"بله","خیر")</f>
        <v/>
      </c>
    </row>
    <row r="3802" ht="15" customHeight="1" s="14">
      <c r="A3802" s="24" t="n">
        <v>53535</v>
      </c>
      <c r="B3802" s="24" t="inlineStr">
        <is>
          <t>PERAMPANEL TABLET ORAL 2 mg</t>
        </is>
      </c>
      <c r="C3802" s="25">
        <f>IF(COUNTIF('کدهای پیام‌داروساز'!$A$2:$A$2442,A3802)&gt;0,"بله","خیر")</f>
        <v/>
      </c>
    </row>
    <row r="3803" ht="15" customHeight="1" s="14">
      <c r="A3803" s="24" t="n">
        <v>53536</v>
      </c>
      <c r="B3803" s="24" t="inlineStr">
        <is>
          <t>PERAMPANEL TABLET ORAL 4 mg</t>
        </is>
      </c>
      <c r="C3803" s="25">
        <f>IF(COUNTIF('کدهای پیام‌داروساز'!$A$2:$A$2442,A3803)&gt;0,"بله","خیر")</f>
        <v/>
      </c>
    </row>
    <row r="3804" ht="15" customHeight="1" s="14">
      <c r="A3804" s="24" t="n">
        <v>53537</v>
      </c>
      <c r="B3804" s="24" t="inlineStr">
        <is>
          <t>PERAMPANEL TABLET ORAL 8 mg</t>
        </is>
      </c>
      <c r="C3804" s="25">
        <f>IF(COUNTIF('کدهای پیام‌داروساز'!$A$2:$A$2442,A3804)&gt;0,"بله","خیر")</f>
        <v/>
      </c>
    </row>
    <row r="3805" ht="15" customHeight="1" s="14">
      <c r="A3805" s="24" t="n">
        <v>53538</v>
      </c>
      <c r="B3805" s="24" t="inlineStr">
        <is>
          <t>PERAMPANEL TABLET ORAL 6 mg</t>
        </is>
      </c>
      <c r="C3805" s="25">
        <f>IF(COUNTIF('کدهای پیام‌داروساز'!$A$2:$A$2442,A3805)&gt;0,"بله","خیر")</f>
        <v/>
      </c>
    </row>
    <row r="3806" ht="15" customHeight="1" s="14">
      <c r="A3806" s="24" t="n">
        <v>53541</v>
      </c>
      <c r="B3806" s="24" t="inlineStr">
        <is>
          <t>RABIES HUMAN MONOCLONAL ANTIBODY (rDNA) INJECTION PARENTERAL 100 [iU]/2.5mL</t>
        </is>
      </c>
      <c r="C3806" s="25">
        <f>IF(COUNTIF('کدهای پیام‌داروساز'!$A$2:$A$2442,A3806)&gt;0,"بله","خیر")</f>
        <v/>
      </c>
    </row>
    <row r="3807" ht="15" customHeight="1" s="14">
      <c r="A3807" s="24" t="n">
        <v>53542</v>
      </c>
      <c r="B3807" s="24" t="inlineStr">
        <is>
          <t>SODIUM BICARBONATE INJECTION PARENTERAL 8.4 % 100 mL</t>
        </is>
      </c>
      <c r="C3807" s="25">
        <f>IF(COUNTIF('کدهای پیام‌داروساز'!$A$2:$A$2442,A3807)&gt;0,"بله","خیر")</f>
        <v/>
      </c>
    </row>
    <row r="3808" ht="15" customHeight="1" s="14">
      <c r="A3808" s="24" t="n">
        <v>53543</v>
      </c>
      <c r="B3808" s="24" t="inlineStr">
        <is>
          <t>MEASLES VACCINE, MONOVALENT INJECTION PARENTERAL 10 {dose}</t>
        </is>
      </c>
      <c r="C3808" s="25">
        <f>IF(COUNTIF('کدهای پیام‌داروساز'!$A$2:$A$2442,A3808)&gt;0,"بله","خیر")</f>
        <v/>
      </c>
    </row>
    <row r="3809" ht="15" customHeight="1" s="14">
      <c r="A3809" s="24" t="n">
        <v>53544</v>
      </c>
      <c r="B3809" s="24" t="inlineStr">
        <is>
          <t>153 Sm-EDTMP INJECTION, POWDER, LYOPHILIZED, FOR SOLUTION PARENTERAL 150 mg</t>
        </is>
      </c>
      <c r="C3809" s="25">
        <f>IF(COUNTIF('کدهای پیام‌داروساز'!$A$2:$A$2442,A3809)&gt;0,"بله","خیر")</f>
        <v/>
      </c>
    </row>
    <row r="3810" ht="15" customHeight="1" s="14">
      <c r="A3810" s="24" t="n">
        <v>53545</v>
      </c>
      <c r="B3810" s="24" t="inlineStr">
        <is>
          <t>18F-FPSMA INJECTION, SOLUTION PARENTERAL 10 mCi</t>
        </is>
      </c>
      <c r="C3810" s="25">
        <f>IF(COUNTIF('کدهای پیام‌داروساز'!$A$2:$A$2442,A3810)&gt;0,"بله","خیر")</f>
        <v/>
      </c>
    </row>
    <row r="3811" ht="15" customHeight="1" s="14">
      <c r="A3811" s="24" t="n">
        <v>53546</v>
      </c>
      <c r="B3811" s="24" t="inlineStr">
        <is>
          <t>18F-FET INJECTION, SOLUTION PARENTERAL 5 mCi 3 mL</t>
        </is>
      </c>
      <c r="C3811" s="25">
        <f>IF(COUNTIF('کدهای پیام‌داروساز'!$A$2:$A$2442,A3811)&gt;0,"بله","خیر")</f>
        <v/>
      </c>
    </row>
    <row r="3812" ht="15" customHeight="1" s="14">
      <c r="A3812" s="24" t="n">
        <v>53547</v>
      </c>
      <c r="B3812" s="24" t="inlineStr">
        <is>
          <t>18F-FES INJECTION, SOLUTION PARENTERAL 5 mCi</t>
        </is>
      </c>
      <c r="C3812" s="25">
        <f>IF(COUNTIF('کدهای پیام‌داروساز'!$A$2:$A$2442,A3812)&gt;0,"بله","خیر")</f>
        <v/>
      </c>
    </row>
    <row r="3813" ht="15" customHeight="1" s="14">
      <c r="A3813" s="24" t="n">
        <v>53548</v>
      </c>
      <c r="B3813" s="24" t="inlineStr">
        <is>
          <t>18F-FBP INJECTION, SOLUTION PARENTERAL 5 mCi</t>
        </is>
      </c>
      <c r="C3813" s="25">
        <f>IF(COUNTIF('کدهای پیام‌داروساز'!$A$2:$A$2442,A3813)&gt;0,"بله","خیر")</f>
        <v/>
      </c>
    </row>
    <row r="3814" ht="15" customHeight="1" s="14">
      <c r="A3814" s="24" t="n">
        <v>53549</v>
      </c>
      <c r="B3814" s="24" t="inlineStr">
        <is>
          <t>Ga68-FAPI-46 INJECTION, SOLUTION PARENTERAL 5 mCi</t>
        </is>
      </c>
      <c r="C3814" s="25">
        <f>IF(COUNTIF('کدهای پیام‌داروساز'!$A$2:$A$2442,A3814)&gt;0,"بله","خیر")</f>
        <v/>
      </c>
    </row>
    <row r="3815" ht="15" customHeight="1" s="14">
      <c r="A3815" s="24" t="n">
        <v>53550</v>
      </c>
      <c r="B3815" s="24" t="inlineStr">
        <is>
          <t>LU177-Pentixather INJECTION, SOLUTION PARENTERAL 200 mCi</t>
        </is>
      </c>
      <c r="C3815" s="25">
        <f>IF(COUNTIF('کدهای پیام‌داروساز'!$A$2:$A$2442,A3815)&gt;0,"بله","خیر")</f>
        <v/>
      </c>
    </row>
    <row r="3816" ht="15" customHeight="1" s="14">
      <c r="A3816" s="24" t="n">
        <v>53551</v>
      </c>
      <c r="B3816" s="24" t="inlineStr">
        <is>
          <t>Ga68-pentixafor INJECTION, SOLUTION PARENTERAL 5 mCi</t>
        </is>
      </c>
      <c r="C3816" s="25">
        <f>IF(COUNTIF('کدهای پیام‌داروساز'!$A$2:$A$2442,A3816)&gt;0,"بله","خیر")</f>
        <v/>
      </c>
    </row>
    <row r="3817" ht="15" customHeight="1" s="14">
      <c r="A3817" s="24" t="n">
        <v>53552</v>
      </c>
      <c r="B3817" s="24" t="inlineStr">
        <is>
          <t>RA-223 DICHLORIDE INJECTION, SOLUTION PARENTERAL 0.2 mCi</t>
        </is>
      </c>
      <c r="C3817" s="25">
        <f>IF(COUNTIF('کدهای پیام‌داروساز'!$A$2:$A$2442,A3817)&gt;0,"بله","خیر")</f>
        <v/>
      </c>
    </row>
    <row r="3818" ht="15" customHeight="1" s="14">
      <c r="A3818" s="24" t="n">
        <v>53553</v>
      </c>
      <c r="B3818" s="24" t="inlineStr">
        <is>
          <t>AC-225-DOTATATE INJECTION, SOLUTION PARENTERAL 0.2 mCi</t>
        </is>
      </c>
      <c r="C3818" s="25">
        <f>IF(COUNTIF('کدهای پیام‌داروساز'!$A$2:$A$2442,A3818)&gt;0,"بله","خیر")</f>
        <v/>
      </c>
    </row>
    <row r="3819" ht="15" customHeight="1" s="14">
      <c r="A3819" s="24" t="n">
        <v>53554</v>
      </c>
      <c r="B3819" s="24" t="inlineStr">
        <is>
          <t>AC-225-PSMA INJECTION, SOLUTION PARENTERAL 0.2 mCi</t>
        </is>
      </c>
      <c r="C3819" s="25">
        <f>IF(COUNTIF('کدهای پیام‌داروساز'!$A$2:$A$2442,A3819)&gt;0,"بله","خیر")</f>
        <v/>
      </c>
    </row>
    <row r="3820" ht="15" customHeight="1" s="14">
      <c r="A3820" s="24" t="n">
        <v>53555</v>
      </c>
      <c r="B3820" s="24" t="inlineStr">
        <is>
          <t>LU177-FAP-2286 INJECTION, SOLUTION PARENTERAL 250 mCi</t>
        </is>
      </c>
      <c r="C3820" s="25">
        <f>IF(COUNTIF('کدهای پیام‌داروساز'!$A$2:$A$2442,A3820)&gt;0,"بله","خیر")</f>
        <v/>
      </c>
    </row>
    <row r="3821" ht="15" customHeight="1" s="14">
      <c r="A3821" s="24" t="n">
        <v>53556</v>
      </c>
      <c r="B3821" s="24" t="inlineStr">
        <is>
          <t>Ga-68-FAP-2286 INJECTION, SOLUTION PARENTERAL 5 mCi</t>
        </is>
      </c>
      <c r="C3821" s="25">
        <f>IF(COUNTIF('کدهای پیام‌داروساز'!$A$2:$A$2442,A3821)&gt;0,"بله","خیر")</f>
        <v/>
      </c>
    </row>
    <row r="3822" ht="15" customHeight="1" s="14">
      <c r="A3822" s="24" t="n">
        <v>53557</v>
      </c>
      <c r="B3822" s="24" t="inlineStr">
        <is>
          <t>LUTETIUM (177LU) PSMA 617 INJECTION, POWDER PARENTERAL 135 ug</t>
        </is>
      </c>
      <c r="C3822" s="25">
        <f>IF(COUNTIF('کدهای پیام‌داروساز'!$A$2:$A$2442,A3822)&gt;0,"بله","خیر")</f>
        <v/>
      </c>
    </row>
    <row r="3823" ht="15" customHeight="1" s="14">
      <c r="A3823" s="24" t="n">
        <v>53558</v>
      </c>
      <c r="B3823" s="24" t="inlineStr">
        <is>
          <t>TERBINAFINE SPRAY TOPICAL 1 % 50 mL</t>
        </is>
      </c>
      <c r="C3823" s="25">
        <f>IF(COUNTIF('کدهای پیام‌داروساز'!$A$2:$A$2442,A3823)&gt;0,"بله","خیر")</f>
        <v/>
      </c>
    </row>
    <row r="3824" ht="15" customHeight="1" s="14">
      <c r="A3824" s="24" t="n">
        <v>53559</v>
      </c>
      <c r="B3824" s="24" t="inlineStr">
        <is>
          <t>CICLOSPORIN SOLUTION, DROPS OPHTHALMIC 0.05 % 0.4 mL</t>
        </is>
      </c>
      <c r="C3824" s="25">
        <f>IF(COUNTIF('کدهای پیام‌داروساز'!$A$2:$A$2442,A3824)&gt;0,"بله","خیر")</f>
        <v/>
      </c>
    </row>
    <row r="3825" ht="15" customHeight="1" s="14">
      <c r="A3825" s="24" t="n">
        <v>53560</v>
      </c>
      <c r="B3825" s="24" t="inlineStr">
        <is>
          <t>RESMETIROM TABLET ORAL 80 mg</t>
        </is>
      </c>
      <c r="C3825" s="25">
        <f>IF(COUNTIF('کدهای پیام‌داروساز'!$A$2:$A$2442,A3825)&gt;0,"بله","خیر")</f>
        <v/>
      </c>
    </row>
    <row r="3826" ht="15" customHeight="1" s="14">
      <c r="A3826" s="24" t="n">
        <v>53561</v>
      </c>
      <c r="B3826" s="24" t="inlineStr">
        <is>
          <t>RESMETIROM TABLET ORAL 100 mg</t>
        </is>
      </c>
      <c r="C3826" s="25">
        <f>IF(COUNTIF('کدهای پیام‌داروساز'!$A$2:$A$2442,A3826)&gt;0,"بله","خیر")</f>
        <v/>
      </c>
    </row>
    <row r="3827" ht="15" customHeight="1" s="14">
      <c r="A3827" s="24" t="n">
        <v>53563</v>
      </c>
      <c r="B3827" s="24" t="inlineStr">
        <is>
          <t>CHLORTHALIDONE TABLET ORAL 50 mg</t>
        </is>
      </c>
      <c r="C3827" s="25">
        <f>IF(COUNTIF('کدهای پیام‌داروساز'!$A$2:$A$2442,A3827)&gt;0,"بله","خیر")</f>
        <v/>
      </c>
    </row>
    <row r="3828" ht="15" customHeight="1" s="14">
      <c r="A3828" s="24" t="n">
        <v>53565</v>
      </c>
      <c r="B3828" s="24" t="inlineStr">
        <is>
          <t>CHLORTHALIDONE TABLET ORAL 25 mg</t>
        </is>
      </c>
      <c r="C3828" s="25">
        <f>IF(COUNTIF('کدهای پیام‌داروساز'!$A$2:$A$2442,A3828)&gt;0,"بله","خیر")</f>
        <v/>
      </c>
    </row>
    <row r="3829" ht="15" customHeight="1" s="14">
      <c r="A3829" s="24" t="n">
        <v>53566</v>
      </c>
      <c r="B3829" s="24" t="inlineStr">
        <is>
          <t>BEMPEDOIC ACID / EZETIMIBE TABLET ORAL 180 mg/10 mg</t>
        </is>
      </c>
      <c r="C3829" s="25">
        <f>IF(COUNTIF('کدهای پیام‌داروساز'!$A$2:$A$2442,A3829)&gt;0,"بله","خیر")</f>
        <v/>
      </c>
    </row>
    <row r="3830" ht="15" customHeight="1" s="14">
      <c r="A3830" s="24" t="n">
        <v>53567</v>
      </c>
      <c r="B3830" s="24" t="inlineStr">
        <is>
          <t>RHENIUM (SUP188/SUPRE) ETIDRONIC ACID INJECTION, SOLUTION PARENTERAL 1 mCi/1kg</t>
        </is>
      </c>
      <c r="C3830" s="25">
        <f>IF(COUNTIF('کدهای پیام‌داروساز'!$A$2:$A$2442,A3830)&gt;0,"بله","خیر")</f>
        <v/>
      </c>
    </row>
    <row r="3831" ht="15" customHeight="1" s="14">
      <c r="A3831" s="24" t="n">
        <v>53569</v>
      </c>
      <c r="B3831" s="24" t="inlineStr">
        <is>
          <t>HEMODIALYSIS CONCENTRATED II ACIDIC SOLUTION, CONCENTRATE HEMODIALYSIS 3710 meq/70 meq/35 meq/87.5 meq/70 g/122.5 meq/3902.5 meq/1L 4000 mL</t>
        </is>
      </c>
      <c r="C3831" s="25">
        <f>IF(COUNTIF('کدهای پیام‌داروساز'!$A$2:$A$2442,A3831)&gt;0,"بله","خیر")</f>
        <v/>
      </c>
    </row>
    <row r="3832" ht="15" customHeight="1" s="14">
      <c r="A3832" s="24" t="n">
        <v>53571</v>
      </c>
      <c r="B3832" s="24" t="inlineStr">
        <is>
          <t>LUTETIUM (177LU) EDTMP KIT PARENTERAL 50 mg</t>
        </is>
      </c>
      <c r="C3832" s="25">
        <f>IF(COUNTIF('کدهای پیام‌داروساز'!$A$2:$A$2442,A3832)&gt;0,"بله","خیر")</f>
        <v/>
      </c>
    </row>
    <row r="3833" ht="15" customHeight="1" s="14">
      <c r="A3833" s="24" t="n">
        <v>53572</v>
      </c>
      <c r="B3833" s="24" t="inlineStr">
        <is>
          <t>POLATUZUMAB VEDOTIN INJECTION, POWDER, LYOPHILIZED, FOR SOLUTION PARENTERAL 30 mg</t>
        </is>
      </c>
      <c r="C3833" s="25">
        <f>IF(COUNTIF('کدهای پیام‌داروساز'!$A$2:$A$2442,A3833)&gt;0,"بله","خیر")</f>
        <v/>
      </c>
    </row>
    <row r="3834" ht="15" customHeight="1" s="14">
      <c r="A3834" s="24" t="n">
        <v>53573</v>
      </c>
      <c r="B3834" s="24" t="inlineStr">
        <is>
          <t>ATOVAQUONE SUSPENSION ORAL 750 mg/5mL 226 mL</t>
        </is>
      </c>
      <c r="C3834" s="25">
        <f>IF(COUNTIF('کدهای پیام‌داروساز'!$A$2:$A$2442,A3834)&gt;0,"بله","خیر")</f>
        <v/>
      </c>
    </row>
    <row r="3835" ht="15" customHeight="1" s="14">
      <c r="A3835" s="24" t="n">
        <v>53574</v>
      </c>
      <c r="B3835" s="24" t="inlineStr">
        <is>
          <t>MOMETASONE FUROATE / OLOPATADINE HYDROCHLORIDE SPRAY NASAL 0.025 mg/0.6 mg 240 {Puff}</t>
        </is>
      </c>
      <c r="C3835" s="25">
        <f>IF(COUNTIF('کدهای پیام‌داروساز'!$A$2:$A$2442,A3835)&gt;0,"بله","خیر")</f>
        <v/>
      </c>
    </row>
    <row r="3836" ht="15" customHeight="1" s="14">
      <c r="A3836" s="24" t="n">
        <v>53577</v>
      </c>
      <c r="B3836" s="24" t="inlineStr">
        <is>
          <t>VARDENAFIL (AS HYDROCHLORIDE) TABLET ORAL 20 mg</t>
        </is>
      </c>
      <c r="C3836" s="25">
        <f>IF(COUNTIF('کدهای پیام‌داروساز'!$A$2:$A$2442,A3836)&gt;0,"بله","خیر")</f>
        <v/>
      </c>
    </row>
    <row r="3837" ht="15" customHeight="1" s="14">
      <c r="A3837" s="24" t="n">
        <v>53578</v>
      </c>
      <c r="B3837" s="24" t="inlineStr">
        <is>
          <t>RABIES IMMUNE GLOBULIN (HUMAN) INJECTION PARENTERAL 300 [iU]/1mL 5 mL</t>
        </is>
      </c>
      <c r="C3837" s="25">
        <f>IF(COUNTIF('کدهای پیام‌داروساز'!$A$2:$A$2442,A3837)&gt;0,"بله","خیر")</f>
        <v/>
      </c>
    </row>
    <row r="3838" ht="15" customHeight="1" s="14">
      <c r="A3838" s="24" t="n">
        <v>53579</v>
      </c>
      <c r="B3838" s="24" t="inlineStr">
        <is>
          <t>PRUCALOPRIDE (AS SUCCINATE) TABLET ORAL 2 mg</t>
        </is>
      </c>
      <c r="C3838" s="25">
        <f>IF(COUNTIF('کدهای پیام‌داروساز'!$A$2:$A$2442,A3838)&gt;0,"بله","خیر")</f>
        <v/>
      </c>
    </row>
    <row r="3839" ht="15" customHeight="1" s="14">
      <c r="A3839" s="24" t="n">
        <v>53583</v>
      </c>
      <c r="B3839" s="24" t="inlineStr">
        <is>
          <t>AZITHROMYCIN TABLET ORAL 600 mg</t>
        </is>
      </c>
      <c r="C3839" s="25">
        <f>IF(COUNTIF('کدهای پیام‌داروساز'!$A$2:$A$2442,A3839)&gt;0,"بله","خیر")</f>
        <v/>
      </c>
    </row>
    <row r="3840" ht="15" customHeight="1" s="14">
      <c r="A3840" s="24" t="n">
        <v>53584</v>
      </c>
      <c r="B3840" s="24" t="inlineStr">
        <is>
          <t>TIRZEPATIDE INJECTION, SOLUTION SUBCUTANEOUS 12.5 mg/0.5 mL</t>
        </is>
      </c>
      <c r="C3840" s="25">
        <f>IF(COUNTIF('کدهای پیام‌داروساز'!$A$2:$A$2442,A3840)&gt;0,"بله","خیر")</f>
        <v/>
      </c>
    </row>
    <row r="3841" ht="15" customHeight="1" s="14">
      <c r="A3841" s="24" t="n">
        <v>53585</v>
      </c>
      <c r="B3841" s="24" t="inlineStr">
        <is>
          <t>TIRZEPATIDE INJECTION, SOLUTION SUBCUTANEOUS 10 mg/0.5 mL</t>
        </is>
      </c>
      <c r="C3841" s="25">
        <f>IF(COUNTIF('کدهای پیام‌داروساز'!$A$2:$A$2442,A3841)&gt;0,"بله","خیر")</f>
        <v/>
      </c>
    </row>
    <row r="3842" ht="15" customHeight="1" s="14">
      <c r="A3842" s="24" t="n">
        <v>53586</v>
      </c>
      <c r="B3842" s="24" t="inlineStr">
        <is>
          <t>TIRZEPATIDE INJECTION, SOLUTION SUBCUTANEOUS 15 mg/0.5 mL</t>
        </is>
      </c>
      <c r="C3842" s="25">
        <f>IF(COUNTIF('کدهای پیام‌داروساز'!$A$2:$A$2442,A3842)&gt;0,"بله","خیر")</f>
        <v/>
      </c>
    </row>
    <row r="3843" ht="15" customHeight="1" s="14">
      <c r="A3843" s="24" t="n">
        <v>53587</v>
      </c>
      <c r="B3843" s="24" t="inlineStr">
        <is>
          <t>TIRZEPATIDE INJECTION, SOLUTION PARENTERAL 2.5 mg/0.6 mL</t>
        </is>
      </c>
      <c r="C3843" s="25">
        <f>IF(COUNTIF('کدهای پیام‌داروساز'!$A$2:$A$2442,A3843)&gt;0,"بله","خیر")</f>
        <v/>
      </c>
    </row>
    <row r="3844" ht="15" customHeight="1" s="14">
      <c r="A3844" s="24" t="n">
        <v>53588</v>
      </c>
      <c r="B3844" s="24" t="inlineStr">
        <is>
          <t>TIRZEPATIDE INJECTION, SOLUTION PARENTERAL 5 mg/0.6 mL</t>
        </is>
      </c>
      <c r="C3844" s="25">
        <f>IF(COUNTIF('کدهای پیام‌داروساز'!$A$2:$A$2442,A3844)&gt;0,"بله","خیر")</f>
        <v/>
      </c>
    </row>
    <row r="3845" ht="15" customHeight="1" s="14">
      <c r="A3845" s="24" t="n">
        <v>53589</v>
      </c>
      <c r="B3845" s="24" t="inlineStr">
        <is>
          <t>TIRZEPATIDE INJECTION, SOLUTION PARENTERAL 7.5 mg/0.6 mL</t>
        </is>
      </c>
      <c r="C3845" s="25">
        <f>IF(COUNTIF('کدهای پیام‌داروساز'!$A$2:$A$2442,A3845)&gt;0,"بله","خیر")</f>
        <v/>
      </c>
    </row>
    <row r="3846" ht="15" customHeight="1" s="14">
      <c r="A3846" s="24" t="n">
        <v>53590</v>
      </c>
      <c r="B3846" s="24" t="inlineStr">
        <is>
          <t>TIRZEPATIDE INJECTION, SOLUTION PARENTERAL 10 mg/0.6 mL</t>
        </is>
      </c>
      <c r="C3846" s="25">
        <f>IF(COUNTIF('کدهای پیام‌داروساز'!$A$2:$A$2442,A3846)&gt;0,"بله","خیر")</f>
        <v/>
      </c>
    </row>
    <row r="3847" ht="15" customHeight="1" s="14">
      <c r="A3847" s="24" t="n">
        <v>53591</v>
      </c>
      <c r="B3847" s="24" t="inlineStr">
        <is>
          <t>TIRZEPATIDE INJECTION, SOLUTION PARENTERAL 12.5 mg/0.6 mL</t>
        </is>
      </c>
      <c r="C3847" s="25">
        <f>IF(COUNTIF('کدهای پیام‌داروساز'!$A$2:$A$2442,A3847)&gt;0,"بله","خیر")</f>
        <v/>
      </c>
    </row>
    <row r="3848" ht="15" customHeight="1" s="14">
      <c r="A3848" s="24" t="n">
        <v>53592</v>
      </c>
      <c r="B3848" s="24" t="inlineStr">
        <is>
          <t>TIRZEPATIDE INJECTION, SOLUTION PARENTERAL 15 mg/0.6 mL</t>
        </is>
      </c>
      <c r="C3848" s="25">
        <f>IF(COUNTIF('کدهای پیام‌داروساز'!$A$2:$A$2442,A3848)&gt;0,"بله","خیر")</f>
        <v/>
      </c>
    </row>
    <row r="3849" ht="15" customHeight="1" s="14">
      <c r="A3849" s="24" t="n">
        <v>53593</v>
      </c>
      <c r="B3849" s="24" t="inlineStr">
        <is>
          <t>CLINDAMYCIN (AS PHOSPHATE) CREAM VAGINAL 2 % 50 g</t>
        </is>
      </c>
      <c r="C3849" s="25">
        <f>IF(COUNTIF('کدهای پیام‌داروساز'!$A$2:$A$2442,A3849)&gt;0,"بله","خیر")</f>
        <v/>
      </c>
    </row>
    <row r="3850" ht="15" customHeight="1" s="14">
      <c r="A3850" s="24" t="n">
        <v>53594</v>
      </c>
      <c r="B3850" s="24" t="inlineStr">
        <is>
          <t>LUTETIUM (177LU) DOTATATE INJECTION, POWDER PARENTERAL 140 ug</t>
        </is>
      </c>
      <c r="C3850" s="25">
        <f>IF(COUNTIF('کدهای پیام‌داروساز'!$A$2:$A$2442,A3850)&gt;0,"بله","خیر")</f>
        <v/>
      </c>
    </row>
    <row r="3851" ht="15" customHeight="1" s="14">
      <c r="A3851" s="24" t="n">
        <v>53595</v>
      </c>
      <c r="B3851" s="24" t="inlineStr">
        <is>
          <t>LEVETIRACETAM TABLET, EXTENDED RELEASE ORAL 500 mg</t>
        </is>
      </c>
      <c r="C3851" s="25">
        <f>IF(COUNTIF('کدهای پیام‌داروساز'!$A$2:$A$2442,A3851)&gt;0,"بله","خیر")</f>
        <v/>
      </c>
    </row>
    <row r="3852" ht="15" customHeight="1" s="14">
      <c r="A3852" s="24" t="n">
        <v>53596</v>
      </c>
      <c r="B3852" s="24" t="inlineStr">
        <is>
          <t>LEVETIRACETAM TABLET, EXTENDED RELEASE ORAL 750 mg</t>
        </is>
      </c>
      <c r="C3852" s="25">
        <f>IF(COUNTIF('کدهای پیام‌داروساز'!$A$2:$A$2442,A3852)&gt;0,"بله","خیر")</f>
        <v/>
      </c>
    </row>
    <row r="3853" ht="15" customHeight="1" s="14">
      <c r="A3853" s="24" t="n">
        <v>53597</v>
      </c>
      <c r="B3853" s="24" t="inlineStr">
        <is>
          <t>LEVETIRACETAM TABLET, EXTENDED RELEASE ORAL 1000 mg</t>
        </is>
      </c>
      <c r="C3853" s="25">
        <f>IF(COUNTIF('کدهای پیام‌داروساز'!$A$2:$A$2442,A3853)&gt;0,"بله","خیر")</f>
        <v/>
      </c>
    </row>
    <row r="3854" ht="15" customHeight="1" s="14">
      <c r="A3854" s="24" t="n">
        <v>53598</v>
      </c>
      <c r="B3854" s="24" t="inlineStr">
        <is>
          <t>NAPROXEN (AS SODIUM) TABLET, EXTENDED RELEASE ORAL 750 mg</t>
        </is>
      </c>
      <c r="C3854" s="25">
        <f>IF(COUNTIF('کدهای پیام‌داروساز'!$A$2:$A$2442,A3854)&gt;0,"بله","خیر")</f>
        <v/>
      </c>
    </row>
    <row r="3855" ht="15" customHeight="1" s="14">
      <c r="A3855" s="24" t="n">
        <v>53599</v>
      </c>
      <c r="B3855" s="24" t="inlineStr">
        <is>
          <t>SODIUM CHLORIDE SPRAY NASAL 0.9 % 150 mL</t>
        </is>
      </c>
      <c r="C3855" s="25">
        <f>IF(COUNTIF('کدهای پیام‌داروساز'!$A$2:$A$2442,A3855)&gt;0,"بله","خیر")</f>
        <v/>
      </c>
    </row>
    <row r="3856" ht="15" customHeight="1" s="14">
      <c r="A3856" s="24" t="n">
        <v>53600</v>
      </c>
      <c r="B3856" s="24" t="inlineStr">
        <is>
          <t>DARATUMUMAB INJECTION, SOLUTION PARENTERAL 120 mg/1 mL 15 mL</t>
        </is>
      </c>
      <c r="C3856" s="25">
        <f>IF(COUNTIF('کدهای پیام‌داروساز'!$A$2:$A$2442,A3856)&gt;0,"بله","خیر")</f>
        <v/>
      </c>
    </row>
    <row r="3857" ht="15" customHeight="1" s="14">
      <c r="A3857" s="24" t="n">
        <v>53601</v>
      </c>
      <c r="B3857" s="24" t="inlineStr">
        <is>
          <t>FAMOTIDINE POWDER, FOR SUSPENSION ORAL 40 mg/5mL 100 mL</t>
        </is>
      </c>
      <c r="C3857" s="25">
        <f>IF(COUNTIF('کدهای پیام‌داروساز'!$A$2:$A$2442,A3857)&gt;0,"بله","خیر")</f>
        <v/>
      </c>
    </row>
    <row r="3858" ht="15" customHeight="1" s="14">
      <c r="A3858" s="24" t="n">
        <v>53602</v>
      </c>
      <c r="B3858" s="24" t="inlineStr">
        <is>
          <t>DEXTROMETHORPHAN HYDROBROMIDE SYRUP ORAL 15 mg/5mL 100 mL</t>
        </is>
      </c>
      <c r="C3858" s="25">
        <f>IF(COUNTIF('کدهای پیام‌داروساز'!$A$2:$A$2442,A3858)&gt;0,"بله","خیر")</f>
        <v/>
      </c>
    </row>
    <row r="3859" ht="15" customHeight="1" s="14">
      <c r="A3859" s="24" t="n">
        <v>53603</v>
      </c>
      <c r="B3859" s="24" t="inlineStr">
        <is>
          <t>ACETAMINOPHEN TABLET ORAL 1000 mg</t>
        </is>
      </c>
      <c r="C3859" s="25">
        <f>IF(COUNTIF('کدهای پیام‌داروساز'!$A$2:$A$2442,A3859)&gt;0,"بله","خیر")</f>
        <v/>
      </c>
    </row>
    <row r="3860" ht="15" customHeight="1" s="14">
      <c r="A3860" s="24" t="n">
        <v>53604</v>
      </c>
      <c r="B3860" s="24" t="inlineStr">
        <is>
          <t>FACTOR VIII / VON WILLEBRAND FACTOR INJECTION, POWDER, LYOPHILIZED, FOR SOLUTION PARENTERAL 500 [iU]/375 [iU]</t>
        </is>
      </c>
      <c r="C3860" s="25">
        <f>IF(COUNTIF('کدهای پیام‌داروساز'!$A$2:$A$2442,A3860)&gt;0,"بله","خیر")</f>
        <v/>
      </c>
    </row>
    <row r="3861" ht="15" customHeight="1" s="14">
      <c r="A3861" s="24" t="n">
        <v>53605</v>
      </c>
      <c r="B3861" s="24" t="inlineStr">
        <is>
          <t>POLYSACCHARIDE IRON COMPLEX CAPSULE ORAL 150 mg</t>
        </is>
      </c>
      <c r="C3861" s="25">
        <f>IF(COUNTIF('کدهای پیام‌داروساز'!$A$2:$A$2442,A3861)&gt;0,"بله","خیر")</f>
        <v/>
      </c>
    </row>
    <row r="3862" ht="15" customHeight="1" s="14">
      <c r="A3862" s="24" t="n">
        <v>53606</v>
      </c>
      <c r="B3862" s="24" t="inlineStr">
        <is>
          <t>LACTULOSE SYRUP ORAL 10 g/15mL 120 mL</t>
        </is>
      </c>
      <c r="C3862" s="25">
        <f>IF(COUNTIF('کدهای پیام‌داروساز'!$A$2:$A$2442,A3862)&gt;0,"بله","خیر")</f>
        <v/>
      </c>
    </row>
    <row r="3863" ht="15" customHeight="1" s="14">
      <c r="A3863" s="24" t="n">
        <v>53607</v>
      </c>
      <c r="B3863" s="24" t="inlineStr">
        <is>
          <t>GILTERITINIB (AS FUMARATE) TABLET ORAL 40 mg</t>
        </is>
      </c>
      <c r="C3863" s="25">
        <f>IF(COUNTIF('کدهای پیام‌داروساز'!$A$2:$A$2442,A3863)&gt;0,"بله","خیر")</f>
        <v/>
      </c>
    </row>
    <row r="3864" ht="15" customHeight="1" s="14">
      <c r="A3864" s="24" t="n">
        <v>53609</v>
      </c>
      <c r="B3864" s="24" t="inlineStr">
        <is>
          <t>VITAMIN B6 INJECTION PARENTERAL 100 mg/1mL 1 mL</t>
        </is>
      </c>
      <c r="C3864" s="25">
        <f>IF(COUNTIF('کدهای پیام‌داروساز'!$A$2:$A$2442,A3864)&gt;0,"بله","خیر")</f>
        <v/>
      </c>
    </row>
    <row r="3865" ht="15" customHeight="1" s="14">
      <c r="A3865" s="24" t="n">
        <v>53610</v>
      </c>
      <c r="B3865" s="24" t="inlineStr">
        <is>
          <t>RUXOLITINIB (AS PHOSPHATE) CREAM TOPICAL 1.5 % 60 g</t>
        </is>
      </c>
      <c r="C3865" s="25">
        <f>IF(COUNTIF('کدهای پیام‌داروساز'!$A$2:$A$2442,A3865)&gt;0,"بله","خیر")</f>
        <v/>
      </c>
    </row>
    <row r="3866" ht="15" customHeight="1" s="14">
      <c r="A3866" s="24" t="n">
        <v>53611</v>
      </c>
      <c r="B3866" s="24" t="inlineStr">
        <is>
          <t>VERICIGUAT TABLET ORAL 2.5 mg</t>
        </is>
      </c>
      <c r="C3866" s="25">
        <f>IF(COUNTIF('کدهای پیام‌داروساز'!$A$2:$A$2442,A3866)&gt;0,"بله","خیر")</f>
        <v/>
      </c>
    </row>
    <row r="3867" ht="15" customHeight="1" s="14">
      <c r="A3867" s="24" t="n">
        <v>53612</v>
      </c>
      <c r="B3867" s="24" t="inlineStr">
        <is>
          <t>VERICIGUAT TABLET ORAL 5 mg</t>
        </is>
      </c>
      <c r="C3867" s="25">
        <f>IF(COUNTIF('کدهای پیام‌داروساز'!$A$2:$A$2442,A3867)&gt;0,"بله","خیر")</f>
        <v/>
      </c>
    </row>
    <row r="3868" ht="15" customHeight="1" s="14">
      <c r="A3868" s="24" t="n">
        <v>53613</v>
      </c>
      <c r="B3868" s="24" t="inlineStr">
        <is>
          <t>VERICIGUAT TABLET ORAL 10 mg</t>
        </is>
      </c>
      <c r="C3868" s="25">
        <f>IF(COUNTIF('کدهای پیام‌داروساز'!$A$2:$A$2442,A3868)&gt;0,"بله","خیر")</f>
        <v/>
      </c>
    </row>
    <row r="3869" ht="15" customHeight="1" s="14">
      <c r="A3869" s="24" t="n">
        <v>53614</v>
      </c>
      <c r="B3869" s="24" t="inlineStr">
        <is>
          <t>DURVALUMAB INJECTION PARENTERAL 50 mg/1mL 2.4 mL</t>
        </is>
      </c>
      <c r="C3869" s="25">
        <f>IF(COUNTIF('کدهای پیام‌داروساز'!$A$2:$A$2442,A3869)&gt;0,"بله","خیر")</f>
        <v/>
      </c>
    </row>
    <row r="3870" ht="15" customHeight="1" s="14">
      <c r="A3870" s="24" t="n">
        <v>53615</v>
      </c>
      <c r="B3870" s="24" t="inlineStr">
        <is>
          <t>IOHEXOL SOLUTION ORAL 9 mg/1mL 500 mL</t>
        </is>
      </c>
      <c r="C3870" s="25">
        <f>IF(COUNTIF('کدهای پیام‌داروساز'!$A$2:$A$2442,A3870)&gt;0,"بله","خیر")</f>
        <v/>
      </c>
    </row>
    <row r="3871" ht="15" customHeight="1" s="14">
      <c r="A3871" s="24" t="n">
        <v>53616</v>
      </c>
      <c r="B3871" s="24" t="inlineStr">
        <is>
          <t>SEMAGLUTIDE INJECTION, SOLUTION PARENTERAL 1.7 mg/0.75 mL</t>
        </is>
      </c>
      <c r="C3871" s="25">
        <f>IF(COUNTIF('کدهای پیام‌داروساز'!$A$2:$A$2442,A3871)&gt;0,"بله","خیر")</f>
        <v/>
      </c>
    </row>
    <row r="3872" ht="15" customHeight="1" s="14">
      <c r="A3872" s="24" t="n">
        <v>53617</v>
      </c>
      <c r="B3872" s="24" t="inlineStr">
        <is>
          <t>SEMAGLUTIDE INJECTION, SOLUTION PARENTERAL 2.4 mg/0.75 mL</t>
        </is>
      </c>
      <c r="C3872" s="25">
        <f>IF(COUNTIF('کدهای پیام‌داروساز'!$A$2:$A$2442,A3872)&gt;0,"بله","خیر")</f>
        <v/>
      </c>
    </row>
    <row r="3873" ht="15" customHeight="1" s="14">
      <c r="A3873" s="24" t="n">
        <v>53618</v>
      </c>
      <c r="B3873" s="24" t="inlineStr">
        <is>
          <t>TRAMADOL HYDROCHLORIDE TABLET, EXTENDED RELEASE ORAL 225 mg</t>
        </is>
      </c>
      <c r="C3873" s="25">
        <f>IF(COUNTIF('کدهای پیام‌داروساز'!$A$2:$A$2442,A3873)&gt;0,"بله","خیر")</f>
        <v/>
      </c>
    </row>
    <row r="3874" ht="15" customHeight="1" s="14">
      <c r="A3874" s="24" t="n">
        <v>53619</v>
      </c>
      <c r="B3874" s="24" t="inlineStr">
        <is>
          <t>ZOLBETUXIMAB-CLZB INJECTION, POWDER, LYOPHILIZED, FOR SOLUTION PARENTERAL 100 mg</t>
        </is>
      </c>
      <c r="C3874" s="25">
        <f>IF(COUNTIF('کدهای پیام‌داروساز'!$A$2:$A$2442,A3874)&gt;0,"بله","خیر")</f>
        <v/>
      </c>
    </row>
    <row r="3875" ht="15" customHeight="1" s="14">
      <c r="A3875" s="24" t="n">
        <v>53620</v>
      </c>
      <c r="B3875" s="24" t="inlineStr">
        <is>
          <t>VARICELLA, LIVE ATTENUATED INJECTION, POWDER, FOR SOLUTION PARENTERAL 2400 [PFU]/0.5 mL</t>
        </is>
      </c>
      <c r="C3875" s="25">
        <f>IF(COUNTIF('کدهای پیام‌داروساز'!$A$2:$A$2442,A3875)&gt;0,"بله","خیر")</f>
        <v/>
      </c>
    </row>
    <row r="3876" ht="15" customHeight="1" s="14">
      <c r="A3876" s="24" t="n">
        <v>53621</v>
      </c>
      <c r="B3876" s="24" t="inlineStr">
        <is>
          <t>VERAPAMIL HYDROCHLORIDE INJECTION PARENTERAL 2.5 mg/1mL 4 mL</t>
        </is>
      </c>
      <c r="C3876" s="25">
        <f>IF(COUNTIF('کدهای پیام‌داروساز'!$A$2:$A$2442,A3876)&gt;0,"بله","خیر")</f>
        <v/>
      </c>
    </row>
    <row r="3877" ht="15" customHeight="1" s="14">
      <c r="A3877" s="24" t="n">
        <v>53622</v>
      </c>
      <c r="B3877" s="24" t="inlineStr">
        <is>
          <t>NAPROXEN SUSPENSION ORAL 125 mg/5 mL 120 mL</t>
        </is>
      </c>
      <c r="C3877" s="25">
        <f>IF(COUNTIF('کدهای پیام‌داروساز'!$A$2:$A$2442,A3877)&gt;0,"بله","خیر")</f>
        <v/>
      </c>
    </row>
    <row r="3878" ht="15" customHeight="1" s="14">
      <c r="A3878" s="24" t="n">
        <v>53623</v>
      </c>
      <c r="B3878" s="24" t="inlineStr">
        <is>
          <t>GLYCOPYRRONIUM BROMIDE CAPSULE RESPIRATORY 55 ug</t>
        </is>
      </c>
      <c r="C3878" s="25">
        <f>IF(COUNTIF('کدهای پیام‌داروساز'!$A$2:$A$2442,A3878)&gt;0,"بله","خیر")</f>
        <v/>
      </c>
    </row>
    <row r="3879" ht="15" customHeight="1" s="14">
      <c r="A3879" s="24" t="n">
        <v>53624</v>
      </c>
      <c r="B3879" s="24" t="inlineStr">
        <is>
          <t>ALENDRONATE (AS SODIUM) SOLUTION ORAL 70 mg/75 mL</t>
        </is>
      </c>
      <c r="C3879" s="25">
        <f>IF(COUNTIF('کدهای پیام‌داروساز'!$A$2:$A$2442,A3879)&gt;0,"بله","خیر")</f>
        <v/>
      </c>
    </row>
    <row r="3880" ht="15" customHeight="1" s="14">
      <c r="A3880" s="24" t="n">
        <v>53625</v>
      </c>
      <c r="B3880" s="24" t="inlineStr">
        <is>
          <t>LAROTRECTINIB (AS SULFATE) CAPSULE ORAL 100 mg</t>
        </is>
      </c>
      <c r="C3880" s="25">
        <f>IF(COUNTIF('کدهای پیام‌داروساز'!$A$2:$A$2442,A3880)&gt;0,"بله","خیر")</f>
        <v/>
      </c>
    </row>
    <row r="3881" ht="15" customHeight="1" s="14">
      <c r="A3881" s="24" t="n">
        <v>53626</v>
      </c>
      <c r="B3881" s="24" t="inlineStr">
        <is>
          <t>DATOPOTAMAB DERUXTECAN INJECTION, POWDER, LYOPHILIZED, FOR SOLUTION PARENTERAL 100 mg</t>
        </is>
      </c>
      <c r="C3881" s="25">
        <f>IF(COUNTIF('کدهای پیام‌داروساز'!$A$2:$A$2442,A3881)&gt;0,"بله","خیر")</f>
        <v/>
      </c>
    </row>
    <row r="3882" ht="15" customHeight="1" s="14">
      <c r="A3882" s="24" t="n">
        <v>53628</v>
      </c>
      <c r="B3882" s="24" t="inlineStr">
        <is>
          <t>OBETICHOLIC ACID TABLET ORAL 5 mg</t>
        </is>
      </c>
      <c r="C3882" s="25">
        <f>IF(COUNTIF('کدهای پیام‌داروساز'!$A$2:$A$2442,A3882)&gt;0,"بله","خیر")</f>
        <v/>
      </c>
    </row>
    <row r="3883" ht="15" customHeight="1" s="14">
      <c r="A3883" s="24" t="n">
        <v>53629</v>
      </c>
      <c r="B3883" s="24" t="inlineStr">
        <is>
          <t>RIOCIGUAT TABLET ORAL 0.5 mg</t>
        </is>
      </c>
      <c r="C3883" s="25">
        <f>IF(COUNTIF('کدهای پیام‌داروساز'!$A$2:$A$2442,A3883)&gt;0,"بله","خیر")</f>
        <v/>
      </c>
    </row>
    <row r="3884" ht="15" customHeight="1" s="14">
      <c r="A3884" s="24" t="n">
        <v>53630</v>
      </c>
      <c r="B3884" s="24" t="inlineStr">
        <is>
          <t>GLOFITAMAB INJECTION, SOLUTION, CONCENTRATE PARENTERAL 1 mg/1mL 2.5 mL</t>
        </is>
      </c>
      <c r="C3884" s="25">
        <f>IF(COUNTIF('کدهای پیام‌داروساز'!$A$2:$A$2442,A3884)&gt;0,"بله","خیر")</f>
        <v/>
      </c>
    </row>
    <row r="3885" ht="15" customHeight="1" s="14">
      <c r="A3885" s="24" t="n">
        <v>53631</v>
      </c>
      <c r="B3885" s="24" t="inlineStr">
        <is>
          <t>GLOFITAMAB INJECTION, SOLUTION, CONCENTRATE PARENTERAL 1 mg/1mL 10 mL</t>
        </is>
      </c>
      <c r="C3885" s="25">
        <f>IF(COUNTIF('کدهای پیام‌داروساز'!$A$2:$A$2442,A3885)&gt;0,"بله","خیر")</f>
        <v/>
      </c>
    </row>
    <row r="3886" ht="15" customHeight="1" s="14">
      <c r="A3886" s="24" t="n">
        <v>53632</v>
      </c>
      <c r="B3886" s="24" t="inlineStr">
        <is>
          <t>AZACITIDINE TABLET ORAL 200 mg</t>
        </is>
      </c>
      <c r="C3886" s="25">
        <f>IF(COUNTIF('کدهای پیام‌داروساز'!$A$2:$A$2442,A3886)&gt;0,"بله","خیر")</f>
        <v/>
      </c>
    </row>
    <row r="3887" ht="15" customHeight="1" s="14">
      <c r="A3887" s="24" t="n">
        <v>53633</v>
      </c>
      <c r="B3887" s="24" t="inlineStr">
        <is>
          <t>ARIPIPRAZOLE SOLUTION ORAL 1 mg/1mL 150 mL</t>
        </is>
      </c>
      <c r="C3887" s="25">
        <f>IF(COUNTIF('کدهای پیام‌داروساز'!$A$2:$A$2442,A3887)&gt;0,"بله","خیر")</f>
        <v/>
      </c>
    </row>
    <row r="3888" ht="15" customHeight="1" s="14">
      <c r="A3888" s="24" t="n">
        <v>53634</v>
      </c>
      <c r="B3888" s="24" t="inlineStr">
        <is>
          <t>PRIMAQUINE (AS PHOSPHATE) TABLET ORAL 7.5 mg</t>
        </is>
      </c>
      <c r="C3888" s="25">
        <f>IF(COUNTIF('کدهای پیام‌داروساز'!$A$2:$A$2442,A3888)&gt;0,"بله","خیر")</f>
        <v/>
      </c>
    </row>
    <row r="3889" ht="15" customHeight="1" s="14">
      <c r="A3889" s="24" t="n">
        <v>53635</v>
      </c>
      <c r="B3889" s="24" t="inlineStr">
        <is>
          <t>PRETOMANID TABLET ORAL 200 mg</t>
        </is>
      </c>
      <c r="C3889" s="25">
        <f>IF(COUNTIF('کدهای پیام‌داروساز'!$A$2:$A$2442,A3889)&gt;0,"بله","خیر")</f>
        <v/>
      </c>
    </row>
    <row r="3890" ht="15" customHeight="1" s="14">
      <c r="A3890" s="24" t="n">
        <v>53636</v>
      </c>
      <c r="B3890" s="24" t="inlineStr">
        <is>
          <t>FINERENONE TABLET ORAL 10 mg</t>
        </is>
      </c>
      <c r="C3890" s="25">
        <f>IF(COUNTIF('کدهای پیام‌داروساز'!$A$2:$A$2442,A3890)&gt;0,"بله","خیر")</f>
        <v/>
      </c>
    </row>
    <row r="3891" ht="15" customHeight="1" s="14">
      <c r="A3891" s="24" t="n">
        <v>53637</v>
      </c>
      <c r="B3891" s="24" t="inlineStr">
        <is>
          <t>FINERENONE TABLET ORAL 20 mg</t>
        </is>
      </c>
      <c r="C3891" s="25">
        <f>IF(COUNTIF('کدهای پیام‌داروساز'!$A$2:$A$2442,A3891)&gt;0,"بله","خیر")</f>
        <v/>
      </c>
    </row>
    <row r="3892" ht="15" customHeight="1" s="14">
      <c r="A3892" s="24" t="n">
        <v>53643</v>
      </c>
      <c r="B3892" s="24" t="inlineStr">
        <is>
          <t>AVALGLUCOSIDASE ALFA INJECTION, POWDER, FOR SOLUTION PARENTERAL 100 mg</t>
        </is>
      </c>
      <c r="C3892" s="25">
        <f>IF(COUNTIF('کدهای پیام‌داروساز'!$A$2:$A$2442,A3892)&gt;0,"بله","خیر")</f>
        <v/>
      </c>
    </row>
    <row r="3893" ht="15" customHeight="1" s="14">
      <c r="A3893" s="24" t="n">
        <v>53650</v>
      </c>
      <c r="B3893" s="24" t="inlineStr">
        <is>
          <t>PONATINIB (AS HYDROCHLORIDE) TABLET ORAL 15 mg</t>
        </is>
      </c>
      <c r="C3893" s="25">
        <f>IF(COUNTIF('کدهای پیام‌داروساز'!$A$2:$A$2442,A3893)&gt;0,"بله","خیر")</f>
        <v/>
      </c>
    </row>
    <row r="3894" ht="15" customHeight="1" s="14">
      <c r="A3894" s="24" t="n">
        <v>53651</v>
      </c>
      <c r="B3894" s="24" t="inlineStr">
        <is>
          <t>TENOFOVIR DISOPROXIL FUMARATE / DOLUTEGRAVIR / LAMIVUDINE TABLET ORAL 300 mg/50 mg/300 mg</t>
        </is>
      </c>
      <c r="C3894" s="25">
        <f>IF(COUNTIF('کدهای پیام‌داروساز'!$A$2:$A$2442,A3894)&gt;0,"بله","خیر")</f>
        <v/>
      </c>
    </row>
    <row r="3895" ht="15" customHeight="1" s="14">
      <c r="A3895" s="24" t="n">
        <v>53652</v>
      </c>
      <c r="B3895" s="24" t="inlineStr">
        <is>
          <t>RIMEGEPANT (AS SULFATE) TABLET, ORALLY DISINTEGRATING ORAL 75 mg</t>
        </is>
      </c>
      <c r="C3895" s="25">
        <f>IF(COUNTIF('کدهای پیام‌داروساز'!$A$2:$A$2442,A3895)&gt;0,"بله","خیر")</f>
        <v/>
      </c>
    </row>
    <row r="3896" ht="15" customHeight="1" s="14">
      <c r="A3896" s="24" t="n">
        <v>53653</v>
      </c>
      <c r="B3896" s="24" t="inlineStr">
        <is>
          <t>NITROUS OXIDE GAS RESPIRATORY  19000 kg</t>
        </is>
      </c>
      <c r="C3896" s="25">
        <f>IF(COUNTIF('کدهای پیام‌داروساز'!$A$2:$A$2442,A3896)&gt;0,"بله","خیر")</f>
        <v/>
      </c>
    </row>
    <row r="3897" ht="15" customHeight="1" s="14">
      <c r="A3897" s="24" t="n">
        <v>53654</v>
      </c>
      <c r="B3897" s="24" t="inlineStr">
        <is>
          <t>NITROUS OXIDE GAS RESPIRATORY  21000 kg</t>
        </is>
      </c>
      <c r="C3897" s="25">
        <f>IF(COUNTIF('کدهای پیام‌داروساز'!$A$2:$A$2442,A3897)&gt;0,"بله","خیر")</f>
        <v/>
      </c>
    </row>
    <row r="3898" ht="15" customHeight="1" s="14">
      <c r="A3898" s="24" t="n">
        <v>53655</v>
      </c>
      <c r="B3898" s="24" t="inlineStr">
        <is>
          <t>RUXOLITINIB (AS PHOSPHATE) CREAM TOPICAL 1.5 % 30 g</t>
        </is>
      </c>
      <c r="C3898" s="25">
        <f>IF(COUNTIF('کدهای پیام‌داروساز'!$A$2:$A$2442,A3898)&gt;0,"بله","خیر")</f>
        <v/>
      </c>
    </row>
    <row r="3899" ht="15" customHeight="1" s="14">
      <c r="A3899" s="24" t="n">
        <v>53656</v>
      </c>
      <c r="B3899" s="24" t="inlineStr">
        <is>
          <t>RESMETIROM TABLET ORAL 60 mg</t>
        </is>
      </c>
      <c r="C3899" s="25">
        <f>IF(COUNTIF('کدهای پیام‌داروساز'!$A$2:$A$2442,A3899)&gt;0,"بله","خیر")</f>
        <v/>
      </c>
    </row>
    <row r="3900" ht="15" customHeight="1" s="14">
      <c r="A3900" s="24" t="n">
        <v>53657</v>
      </c>
      <c r="B3900" s="24" t="inlineStr">
        <is>
          <t>FILGRASTIM INJECTION PARENTERAL 600 ug/1mL 0.8 mL</t>
        </is>
      </c>
      <c r="C3900" s="25">
        <f>IF(COUNTIF('کدهای پیام‌داروساز'!$A$2:$A$2442,A3900)&gt;0,"بله","خیر")</f>
        <v/>
      </c>
    </row>
    <row r="3901" ht="15" customHeight="1" s="14">
      <c r="A3901" s="24" t="n">
        <v>53658</v>
      </c>
      <c r="B3901" s="24" t="inlineStr">
        <is>
          <t>TISAGENLECLEUCEL INJECTION, SUSPENSION INTRAVENOUS 1 cells</t>
        </is>
      </c>
      <c r="C3901" s="25">
        <f>IF(COUNTIF('کدهای پیام‌داروساز'!$A$2:$A$2442,A3901)&gt;0,"بله","خیر")</f>
        <v/>
      </c>
    </row>
    <row r="3902" ht="15" customHeight="1" s="14">
      <c r="A3902" s="24" t="n">
        <v>53659</v>
      </c>
      <c r="B3902" s="24" t="inlineStr">
        <is>
          <t>HEMODIALYSIS CONCENTRATED II ACIDIC SOLUTION, CONCENTRATE HEMODIALYSIS 3710 meq/70 meq/35 meq/87.5 meq/70 g/122.5 meq/3902.5 meq/1L 4710 mL</t>
        </is>
      </c>
      <c r="C3902" s="25">
        <f>IF(COUNTIF('کدهای پیام‌داروساز'!$A$2:$A$2442,A3902)&gt;0,"بله","خیر")</f>
        <v/>
      </c>
    </row>
    <row r="3903" ht="15" customHeight="1" s="14">
      <c r="A3903" s="24" t="n">
        <v>53660</v>
      </c>
      <c r="B3903" s="24" t="inlineStr">
        <is>
          <t>PLACENTA DERIVED STROMAL MESENCHYMAL CELLS INJECTION, SUSPENSION PARENTERAL 2000000 cm2/1mL 5 mL</t>
        </is>
      </c>
      <c r="C3903" s="25">
        <f>IF(COUNTIF('کدهای پیام‌داروساز'!$A$2:$A$2442,A3903)&gt;0,"بله","خیر")</f>
        <v/>
      </c>
    </row>
    <row r="3904" ht="15" customHeight="1" s="14">
      <c r="A3904" s="24" t="n">
        <v>53661</v>
      </c>
      <c r="B3904" s="24" t="inlineStr">
        <is>
          <t>OSELTAMIVIR (AS PHOSPHATE) POWDER, FOR SOLUTION ORAL 60 mg/5 mL 60 mL</t>
        </is>
      </c>
      <c r="C3904" s="25">
        <f>IF(COUNTIF('کدهای پیام‌داروساز'!$A$2:$A$2442,A3904)&gt;0,"بله","خیر")</f>
        <v/>
      </c>
    </row>
    <row r="3905" ht="15" customHeight="1" s="14">
      <c r="A3905" s="24" t="n">
        <v>53662</v>
      </c>
      <c r="B3905" s="24" t="inlineStr">
        <is>
          <t>HUMAN AUTOLOGOUS CULTURED FIBROBLAST CELLS (AZFICEL-T) INJECTION, SUSPENSION PARENTERAL 30000000 cells/3mL</t>
        </is>
      </c>
      <c r="C3905" s="25">
        <f>IF(COUNTIF('کدهای پیام‌داروساز'!$A$2:$A$2442,A3905)&gt;0,"بله","خیر")</f>
        <v/>
      </c>
    </row>
    <row r="3906" ht="15" customHeight="1" s="14">
      <c r="A3906" s="24" t="n">
        <v>53663</v>
      </c>
      <c r="B3906" s="24" t="inlineStr">
        <is>
          <t>HUMAN ALLOGENIC UMBILICAL CORD TISSUE-DERIVED MESENCHYMAL STROMAL CELLS INJECTION, SUSPENSION PARENTERAL 30000000 cells/3mL</t>
        </is>
      </c>
      <c r="C3906" s="25">
        <f>IF(COUNTIF('کدهای پیام‌داروساز'!$A$2:$A$2442,A3906)&gt;0,"بله","خیر")</f>
        <v/>
      </c>
    </row>
    <row r="3907" ht="15" customHeight="1" s="14">
      <c r="A3907" s="24" t="n">
        <v>53664</v>
      </c>
      <c r="B3907" s="24" t="inlineStr">
        <is>
          <t>LUSPATERCEPT INJECTION, POWDER, FOR SOLUTION PARENTERAL 25 mg</t>
        </is>
      </c>
      <c r="C3907" s="25">
        <f>IF(COUNTIF('کدهای پیام‌داروساز'!$A$2:$A$2442,A3907)&gt;0,"بله","خیر")</f>
        <v/>
      </c>
    </row>
    <row r="3908" ht="15" customHeight="1" s="14">
      <c r="A3908" s="24" t="n">
        <v>53665</v>
      </c>
      <c r="B3908" s="24" t="inlineStr">
        <is>
          <t>DICLOFENAC POTASSIUM POWDER, FOR SOLUTION ORAL 50 mg</t>
        </is>
      </c>
      <c r="C3908" s="25">
        <f>IF(COUNTIF('کدهای پیام‌داروساز'!$A$2:$A$2442,A3908)&gt;0,"بله","خیر")</f>
        <v/>
      </c>
    </row>
    <row r="3909" ht="15" customHeight="1" s="14">
      <c r="A3909" s="24" t="n">
        <v>53666</v>
      </c>
      <c r="B3909" s="24" t="inlineStr">
        <is>
          <t>BLINATUMOMAB INJECTION, POWDER PARENTERAL 35 ug</t>
        </is>
      </c>
      <c r="C3909" s="25">
        <f>IF(COUNTIF('کدهای پیام‌داروساز'!$A$2:$A$2442,A3909)&gt;0,"بله","خیر")</f>
        <v/>
      </c>
    </row>
    <row r="3910" ht="15" customHeight="1" s="14">
      <c r="A3910" s="24" t="n">
        <v>53667</v>
      </c>
      <c r="B3910" s="24" t="inlineStr">
        <is>
          <t>BETAMETHASONE (AS VALERATE) LOTION TOPICAL 0.1 % 30 mL</t>
        </is>
      </c>
      <c r="C3910" s="25">
        <f>IF(COUNTIF('کدهای پیام‌داروساز'!$A$2:$A$2442,A3910)&gt;0,"بله","خیر")</f>
        <v/>
      </c>
    </row>
    <row r="3911" ht="15" customHeight="1" s="14">
      <c r="A3911" s="24" t="n">
        <v>53668</v>
      </c>
      <c r="B3911" s="24" t="inlineStr">
        <is>
          <t>CLOTRIMAZOLE SOLUTION TOPICAL 1 % 30 mL</t>
        </is>
      </c>
      <c r="C3911" s="25">
        <f>IF(COUNTIF('کدهای پیام‌داروساز'!$A$2:$A$2442,A3911)&gt;0,"بله","خیر")</f>
        <v/>
      </c>
    </row>
    <row r="3912" ht="15" customHeight="1" s="14">
      <c r="A3912" s="24" t="n">
        <v>53669</v>
      </c>
      <c r="B3912" s="24" t="inlineStr">
        <is>
          <t>CLOBETASOL PROPIONATE SHAMPOO TOPICAL 0.05 % 150 mL</t>
        </is>
      </c>
      <c r="C3912" s="25">
        <f>IF(COUNTIF('کدهای پیام‌داروساز'!$A$2:$A$2442,A3912)&gt;0,"بله","خیر")</f>
        <v/>
      </c>
    </row>
    <row r="3913" ht="15" customHeight="1" s="14">
      <c r="A3913" s="24" t="n">
        <v>53670</v>
      </c>
      <c r="B3913" s="24" t="inlineStr">
        <is>
          <t>COAGULATION FACTOR VIII, Long Acting INJECTION, POWDER, LYOPHILIZED PARENTERAL 250 [iU]</t>
        </is>
      </c>
      <c r="C3913" s="25">
        <f>IF(COUNTIF('کدهای پیام‌داروساز'!$A$2:$A$2442,A3913)&gt;0,"بله","خیر")</f>
        <v/>
      </c>
    </row>
    <row r="3914" ht="15" customHeight="1" s="14">
      <c r="A3914" s="24" t="n">
        <v>53671</v>
      </c>
      <c r="B3914" s="24" t="inlineStr">
        <is>
          <t>KETAMINE (AS HYDROCHLORIDE) INJECTION PARENTERAL 50 mg/1mL 5 mL</t>
        </is>
      </c>
      <c r="C3914" s="25">
        <f>IF(COUNTIF('کدهای پیام‌داروساز'!$A$2:$A$2442,A3914)&gt;0,"بله","خیر")</f>
        <v/>
      </c>
    </row>
    <row r="3915" ht="15" customHeight="1" s="14">
      <c r="A3915" s="24" t="n">
        <v>53672</v>
      </c>
      <c r="B3915" s="24" t="inlineStr">
        <is>
          <t>VOSORITIDE INJECTION, POWDER, LYOPHILIZED, FOR SOLUTION PARENTERAL 0.56 mg</t>
        </is>
      </c>
      <c r="C3915" s="25">
        <f>IF(COUNTIF('کدهای پیام‌داروساز'!$A$2:$A$2442,A3915)&gt;0,"بله","خیر")</f>
        <v/>
      </c>
    </row>
    <row r="3916" ht="15" customHeight="1" s="14">
      <c r="A3916" s="24" t="n">
        <v>53674</v>
      </c>
      <c r="B3916" s="24" t="inlineStr">
        <is>
          <t>MAVACAMTEN CAPSULE ORAL 10 mg</t>
        </is>
      </c>
      <c r="C3916" s="25">
        <f>IF(COUNTIF('کدهای پیام‌داروساز'!$A$2:$A$2442,A3916)&gt;0,"بله","خیر")</f>
        <v/>
      </c>
    </row>
    <row r="3917" ht="15" customHeight="1" s="14">
      <c r="A3917" s="24" t="n">
        <v>53675</v>
      </c>
      <c r="B3917" s="24" t="inlineStr">
        <is>
          <t>MAVACAMTEN CAPSULE ORAL 15 mg</t>
        </is>
      </c>
      <c r="C3917" s="25">
        <f>IF(COUNTIF('کدهای پیام‌داروساز'!$A$2:$A$2442,A3917)&gt;0,"بله","خیر")</f>
        <v/>
      </c>
    </row>
    <row r="3918" ht="15" customHeight="1" s="14">
      <c r="A3918" s="24" t="n">
        <v>53676</v>
      </c>
      <c r="B3918" s="24" t="inlineStr">
        <is>
          <t>TOFERSEN INJECTION, SOLUTION PARENTERAL 6.7 mg/1mL 15 mL</t>
        </is>
      </c>
      <c r="C3918" s="25">
        <f>IF(COUNTIF('کدهای پیام‌داروساز'!$A$2:$A$2442,A3918)&gt;0,"بله","خیر")</f>
        <v/>
      </c>
    </row>
    <row r="3919" ht="15" customHeight="1" s="14">
      <c r="A3919" s="24" t="n">
        <v>53677</v>
      </c>
      <c r="B3919" s="24" t="inlineStr">
        <is>
          <t>APREMILAST (10,20) TABLET ORAL</t>
        </is>
      </c>
      <c r="C3919" s="25">
        <f>IF(COUNTIF('کدهای پیام‌داروساز'!$A$2:$A$2442,A3919)&gt;0,"بله","خیر")</f>
        <v/>
      </c>
    </row>
    <row r="3920" ht="15" customHeight="1" s="14">
      <c r="A3920" s="24" t="n">
        <v>53678</v>
      </c>
      <c r="B3920" s="24" t="inlineStr">
        <is>
          <t>FEZOLINETANT TABLET ORAL 45 mg</t>
        </is>
      </c>
      <c r="C3920" s="25">
        <f>IF(COUNTIF('کدهای پیام‌داروساز'!$A$2:$A$2442,A3920)&gt;0,"بله","خیر")</f>
        <v/>
      </c>
    </row>
    <row r="3921" ht="15" customHeight="1" s="14">
      <c r="A3921" s="24" t="n">
        <v>53679</v>
      </c>
      <c r="B3921" s="24" t="inlineStr">
        <is>
          <t>METHYLPREDNISOLONE (AS SODIUM SUCCINATE) INJECTION, POWDER, FOR SOLUTION PARENTERAL 125 mg</t>
        </is>
      </c>
      <c r="C3921" s="25">
        <f>IF(COUNTIF('کدهای پیام‌داروساز'!$A$2:$A$2442,A3921)&gt;0,"بله","خیر")</f>
        <v/>
      </c>
    </row>
    <row r="3922" ht="15" customHeight="1" s="14">
      <c r="A3922" s="24" t="n">
        <v>53680</v>
      </c>
      <c r="B3922" s="24" t="inlineStr">
        <is>
          <t>PREDNISOLONE (AS SODIUM PHOSPHATE) SOLUTION ORAL 15 mg/5mL 120 mL</t>
        </is>
      </c>
      <c r="C3922" s="25">
        <f>IF(COUNTIF('کدهای پیام‌داروساز'!$A$2:$A$2442,A3922)&gt;0,"بله","خیر")</f>
        <v/>
      </c>
    </row>
    <row r="3923" ht="15" customHeight="1" s="14">
      <c r="A3923" s="24" t="n">
        <v>53681</v>
      </c>
      <c r="B3923" s="24" t="inlineStr">
        <is>
          <t>CENOBAMATE TABLET ORAL 200 mg</t>
        </is>
      </c>
      <c r="C3923" s="25">
        <f>IF(COUNTIF('کدهای پیام‌داروساز'!$A$2:$A$2442,A3923)&gt;0,"بله","خیر")</f>
        <v/>
      </c>
    </row>
    <row r="3924" ht="15" customHeight="1" s="14">
      <c r="A3924" s="24" t="n">
        <v>53682</v>
      </c>
      <c r="B3924" s="24" t="inlineStr">
        <is>
          <t>INDACATEROL (AS MALEATE) / GLYCOPYRRONIUM (AS BROMIDE) CAPSULE RESPIRATORY 85 ug/43 ug</t>
        </is>
      </c>
      <c r="C3924" s="25">
        <f>IF(COUNTIF('کدهای پیام‌داروساز'!$A$2:$A$2442,A3924)&gt;0,"بله","خیر")</f>
        <v/>
      </c>
    </row>
    <row r="3925" ht="15" customHeight="1" s="14">
      <c r="A3925" s="24" t="n">
        <v>53683</v>
      </c>
      <c r="B3925" s="24" t="inlineStr">
        <is>
          <t>CATRIDECACOG (RECOMBINANT COAGULATION FACTOR XIII) INJECTION, POWDER, FOR SOLUTION PARENTERAL 2500 TU/ML</t>
        </is>
      </c>
      <c r="C3925" s="25">
        <f>IF(COUNTIF('کدهای پیام‌داروساز'!$A$2:$A$2442,A3925)&gt;0,"بله","خیر")</f>
        <v/>
      </c>
    </row>
    <row r="3926" ht="15" customHeight="1" s="14">
      <c r="A3926" s="24" t="n">
        <v>53684</v>
      </c>
      <c r="B3926" s="24" t="inlineStr">
        <is>
          <t>PACRITINIB CAPSULE ORAL 100 mg</t>
        </is>
      </c>
      <c r="C3926" s="25">
        <f>IF(COUNTIF('کدهای پیام‌داروساز'!$A$2:$A$2442,A3926)&gt;0,"بله","خیر")</f>
        <v/>
      </c>
    </row>
    <row r="3927" ht="15" customHeight="1" s="14">
      <c r="A3927" s="24" t="n">
        <v>53685</v>
      </c>
      <c r="B3927" s="24" t="inlineStr">
        <is>
          <t>IRINOTECAN LIPOSOMAL INJECTION PARENTERAL 4.3 mg/1mL 10 mL</t>
        </is>
      </c>
      <c r="C3927" s="25">
        <f>IF(COUNTIF('کدهای پیام‌داروساز'!$A$2:$A$2442,A3927)&gt;0,"بله","خیر")</f>
        <v/>
      </c>
    </row>
    <row r="3928" ht="15" customHeight="1" s="14">
      <c r="A3928" s="24" t="n">
        <v>53686</v>
      </c>
      <c r="B3928" s="24" t="inlineStr">
        <is>
          <t>ISATUXIMAB INJECTION PARENTERAL 100 mg/1mL</t>
        </is>
      </c>
      <c r="C3928" s="25">
        <f>IF(COUNTIF('کدهای پیام‌داروساز'!$A$2:$A$2442,A3928)&gt;0,"بله","خیر")</f>
        <v/>
      </c>
    </row>
    <row r="3929" ht="15" customHeight="1" s="14">
      <c r="A3929" s="24" t="n">
        <v>53687</v>
      </c>
      <c r="B3929" s="24" t="inlineStr">
        <is>
          <t>MOMELOTINIB TABLET ORAL 100 mg</t>
        </is>
      </c>
      <c r="C3929" s="25">
        <f>IF(COUNTIF('کدهای پیام‌داروساز'!$A$2:$A$2442,A3929)&gt;0,"بله","خیر")</f>
        <v/>
      </c>
    </row>
    <row r="3930" ht="15" customHeight="1" s="14">
      <c r="A3930" s="24" t="n">
        <v>53688</v>
      </c>
      <c r="B3930" s="24" t="inlineStr">
        <is>
          <t>SODIUM BICARBONATE CAPSULE ORAL 840 mg</t>
        </is>
      </c>
      <c r="C3930" s="25">
        <f>IF(COUNTIF('کدهای پیام‌داروساز'!$A$2:$A$2442,A3930)&gt;0,"بله","خیر")</f>
        <v/>
      </c>
    </row>
    <row r="3931" ht="15" customHeight="1" s="14">
      <c r="A3931" s="24" t="n">
        <v>53689</v>
      </c>
      <c r="B3931" s="24" t="inlineStr">
        <is>
          <t>CALCIUM FOLINATE INJECTION, POWDER PARENTERAL 50 mg</t>
        </is>
      </c>
      <c r="C3931" s="25">
        <f>IF(COUNTIF('کدهای پیام‌داروساز'!$A$2:$A$2442,A3931)&gt;0,"بله","خیر")</f>
        <v/>
      </c>
    </row>
    <row r="3932" ht="15" customHeight="1" s="14">
      <c r="A3932" s="24" t="n">
        <v>53690</v>
      </c>
      <c r="B3932" s="24" t="inlineStr">
        <is>
          <t>CALCIUM FOLINATE INJECTION, POWDER PARENTERAL 350 mg</t>
        </is>
      </c>
      <c r="C3932" s="25">
        <f>IF(COUNTIF('کدهای پیام‌داروساز'!$A$2:$A$2442,A3932)&gt;0,"بله","خیر")</f>
        <v/>
      </c>
    </row>
    <row r="3933" ht="15" customHeight="1" s="14">
      <c r="A3933" s="24" t="n">
        <v>53693</v>
      </c>
      <c r="B3933" s="24" t="inlineStr">
        <is>
          <t>BORTEZOMIB INJECTION, SOLUTION PARENTERAL 2.5 mg/1mL 1 mL</t>
        </is>
      </c>
      <c r="C3933" s="25">
        <f>IF(COUNTIF('کدهای پیام‌داروساز'!$A$2:$A$2442,A3933)&gt;0,"بله","خیر")</f>
        <v/>
      </c>
    </row>
    <row r="3934" ht="15" customHeight="1" s="14">
      <c r="A3934" s="24" t="n">
        <v>53696</v>
      </c>
      <c r="B3934" s="24" t="inlineStr">
        <is>
          <t>PALIPERIDONE PALMITATE INJECTION, SUSPENSION, EXTENDED RELEASE PARENTERAL 78 mg/0.5 mL</t>
        </is>
      </c>
      <c r="C3934" s="25">
        <f>IF(COUNTIF('کدهای پیام‌داروساز'!$A$2:$A$2442,A3934)&gt;0,"بله","خیر")</f>
        <v/>
      </c>
    </row>
    <row r="3935" ht="15" customHeight="1" s="14">
      <c r="A3935" s="24" t="n">
        <v>53697</v>
      </c>
      <c r="B3935" s="24" t="inlineStr">
        <is>
          <t>PALIPERIDONE PALMITATE INJECTION, SUSPENSION, EXTENDED RELEASE PARENTERAL 156 mg/1 mL</t>
        </is>
      </c>
      <c r="C3935" s="25">
        <f>IF(COUNTIF('کدهای پیام‌داروساز'!$A$2:$A$2442,A3935)&gt;0,"بله","خیر")</f>
        <v/>
      </c>
    </row>
    <row r="3936" ht="15" customHeight="1" s="14">
      <c r="A3936" s="24" t="n">
        <v>53698</v>
      </c>
      <c r="B3936" s="24" t="inlineStr">
        <is>
          <t>PALIPERIDONE PALMITATE INJECTION, SUSPENSION, EXTENDED RELEASE PARENTERAL 234 mg/1.5 mL</t>
        </is>
      </c>
      <c r="C3936" s="25">
        <f>IF(COUNTIF('کدهای پیام‌داروساز'!$A$2:$A$2442,A3936)&gt;0,"بله","خیر")</f>
        <v/>
      </c>
    </row>
    <row r="3937" ht="15" customHeight="1" s="14">
      <c r="A3937" s="24" t="n">
        <v>53700</v>
      </c>
      <c r="B3937" s="24" t="inlineStr">
        <is>
          <t>MIRVETUXIMAB SORAVTANSINE INJECTION, SOLUTION, CONCENTRATE PARENTERAL 5 mg/1mL 20 mL</t>
        </is>
      </c>
      <c r="C3937" s="25">
        <f>IF(COUNTIF('کدهای پیام‌داروساز'!$A$2:$A$2442,A3937)&gt;0,"بله","خیر")</f>
        <v/>
      </c>
    </row>
    <row r="3938" ht="15" customHeight="1" s="14">
      <c r="A3938" s="24" t="n">
        <v>53701</v>
      </c>
      <c r="B3938" s="24" t="inlineStr">
        <is>
          <t>PREDNISOLONE (AS SODIUM PHOSPHATE) SOLUTION ORAL 25 mg/5 mL 60 mL</t>
        </is>
      </c>
      <c r="C3938" s="25">
        <f>IF(COUNTIF('کدهای پیام‌داروساز'!$A$2:$A$2442,A3938)&gt;0,"بله","خیر")</f>
        <v/>
      </c>
    </row>
    <row r="3939" ht="15" customHeight="1" s="14">
      <c r="A3939" s="24" t="n">
        <v>53704</v>
      </c>
      <c r="B3939" s="24" t="inlineStr">
        <is>
          <t>SEMAGLUTIDE INJECTION, SOLUTION PARENTERAL 0.25 mg/0.5 mL</t>
        </is>
      </c>
      <c r="C3939" s="25">
        <f>IF(COUNTIF('کدهای پیام‌داروساز'!$A$2:$A$2442,A3939)&gt;0,"بله","خیر")</f>
        <v/>
      </c>
    </row>
    <row r="3940" ht="15" customHeight="1" s="14">
      <c r="A3940" s="24" t="n">
        <v>53705</v>
      </c>
      <c r="B3940" s="24" t="inlineStr">
        <is>
          <t>SEMAGLUTIDE INJECTION, SOLUTION PARENTERAL 0.5 mg/0.5 mL</t>
        </is>
      </c>
      <c r="C3940" s="25">
        <f>IF(COUNTIF('کدهای پیام‌داروساز'!$A$2:$A$2442,A3940)&gt;0,"بله","خیر")</f>
        <v/>
      </c>
    </row>
    <row r="3941" ht="15" customHeight="1" s="14">
      <c r="A3941" s="24" t="n">
        <v>53706</v>
      </c>
      <c r="B3941" s="24" t="inlineStr">
        <is>
          <t>SEMAGLUTIDE INJECTION, SOLUTION PARENTERAL 1 mg/0.5 mL</t>
        </is>
      </c>
      <c r="C3941" s="25">
        <f>IF(COUNTIF('کدهای پیام‌داروساز'!$A$2:$A$2442,A3941)&gt;0,"بله","خیر")</f>
        <v/>
      </c>
    </row>
    <row r="3942" ht="15" customHeight="1" s="14">
      <c r="A3942" s="24" t="n">
        <v>53707</v>
      </c>
      <c r="B3942" s="24" t="inlineStr">
        <is>
          <t>BETAMETHASONE (AS VALERATE) / FUSIDIC ACID CREAM TOPICAL 1 mg/20 mg/1 g 15 g</t>
        </is>
      </c>
      <c r="C3942" s="25">
        <f>IF(COUNTIF('کدهای پیام‌داروساز'!$A$2:$A$2442,A3942)&gt;0,"بله","خیر")</f>
        <v/>
      </c>
    </row>
    <row r="3943" ht="15" customHeight="1" s="14">
      <c r="A3943" s="24" t="n">
        <v>53708</v>
      </c>
      <c r="B3943" s="24" t="inlineStr">
        <is>
          <t>SEMAGLUTIDE INJECTION, SOLUTION SUBCUTANEOUS 1 mg/1.5 mL</t>
        </is>
      </c>
      <c r="C3943" s="25">
        <f>IF(COUNTIF('کدهای پیام‌داروساز'!$A$2:$A$2442,A3943)&gt;0,"بله","خیر")</f>
        <v/>
      </c>
    </row>
    <row r="3944" ht="15" customHeight="1" s="14">
      <c r="A3944" s="24" t="n">
        <v>53709</v>
      </c>
      <c r="B3944" s="24" t="inlineStr">
        <is>
          <t>SEMAGLUTIDE INJECTION, SOLUTION SUBCUTANEOUS 6.8 mg/3 mL</t>
        </is>
      </c>
      <c r="C3944" s="25">
        <f>IF(COUNTIF('کدهای پیام‌داروساز'!$A$2:$A$2442,A3944)&gt;0,"بله","خیر")</f>
        <v/>
      </c>
    </row>
    <row r="3945" ht="15" customHeight="1" s="14">
      <c r="A3945" s="24" t="n">
        <v>53710</v>
      </c>
      <c r="B3945" s="24" t="inlineStr">
        <is>
          <t>SEMAGLUTIDE INJECTION, SOLUTION SUBCUTANEOUS 9.6 mg/3 mL</t>
        </is>
      </c>
      <c r="C3945" s="25">
        <f>IF(COUNTIF('کدهای پیام‌داروساز'!$A$2:$A$2442,A3945)&gt;0,"بله","خیر")</f>
        <v/>
      </c>
    </row>
    <row r="3946" ht="15" customHeight="1" s="14">
      <c r="A3946" s="24" t="n">
        <v>53711</v>
      </c>
      <c r="B3946" s="24" t="inlineStr">
        <is>
          <t>FACTOR VIII / VON WILLEBRAND FACTOR INJECTION, POWDER, LYOPHILIZED, FOR SOLUTION PARENTERAL 250 [iU]/190 [iU]</t>
        </is>
      </c>
      <c r="C3946" s="25">
        <f>IF(COUNTIF('کدهای پیام‌داروساز'!$A$2:$A$2442,A3946)&gt;0,"بله","خیر")</f>
        <v/>
      </c>
    </row>
    <row r="3947" ht="15" customHeight="1" s="14">
      <c r="A3947" s="24" t="n">
        <v>53712</v>
      </c>
      <c r="B3947" s="24" t="inlineStr">
        <is>
          <t>AFATINIB (AS DIMALEATE) TABLET ORAL 40 mg</t>
        </is>
      </c>
      <c r="C3947" s="25">
        <f>IF(COUNTIF('کدهای پیام‌داروساز'!$A$2:$A$2442,A3947)&gt;0,"بله","خیر")</f>
        <v/>
      </c>
    </row>
    <row r="3948" ht="15" customHeight="1" s="14">
      <c r="A3948" s="24" t="n">
        <v>53713</v>
      </c>
      <c r="B3948" s="24" t="inlineStr">
        <is>
          <t>TECLISTAMAB INJECTION, SOLUTION PARENTERAL 90 mg/1 mL 1.7 mL</t>
        </is>
      </c>
      <c r="C3948" s="25">
        <f>IF(COUNTIF('کدهای پیام‌داروساز'!$A$2:$A$2442,A3948)&gt;0,"بله","خیر")</f>
        <v/>
      </c>
    </row>
    <row r="3949" ht="15" customHeight="1" s="14">
      <c r="A3949" s="24" t="n">
        <v>53714</v>
      </c>
      <c r="B3949" s="24" t="inlineStr">
        <is>
          <t>DUPILUMAB INJECTION, SOLUTION SUBCUTANEOUS /1.14 mL</t>
        </is>
      </c>
      <c r="C3949" s="25">
        <f>IF(COUNTIF('کدهای پیام‌داروساز'!$A$2:$A$2442,A3949)&gt;0,"بله","خیر")</f>
        <v/>
      </c>
    </row>
    <row r="3950" ht="15" customHeight="1" s="14">
      <c r="A3950" s="24" t="n">
        <v>53715</v>
      </c>
      <c r="B3950" s="24" t="inlineStr">
        <is>
          <t>LIDOCAINE HYDROCHLORIDE INJECTION PARENTERAL 2 % 20 mL</t>
        </is>
      </c>
      <c r="C3950" s="25">
        <f>IF(COUNTIF('کدهای پیام‌داروساز'!$A$2:$A$2442,A3950)&gt;0,"بله","خیر")</f>
        <v/>
      </c>
    </row>
    <row r="3951" ht="15" customHeight="1" s="14">
      <c r="A3951" s="24" t="n">
        <v>53716</v>
      </c>
      <c r="B3951" s="24" t="inlineStr">
        <is>
          <t>VORTIOXETINE (AS HYDROBROMIDE) TABLET ORAL 5 mg</t>
        </is>
      </c>
      <c r="C3951" s="25">
        <f>IF(COUNTIF('کدهای پیام‌داروساز'!$A$2:$A$2442,A3951)&gt;0,"بله","خیر")</f>
        <v/>
      </c>
    </row>
    <row r="3952" ht="15" customHeight="1" s="14">
      <c r="A3952" s="24" t="n">
        <v>53717</v>
      </c>
      <c r="B3952" s="24" t="inlineStr">
        <is>
          <t>VORTIOXETINE (AS HYDROBROMIDE) TABLET ORAL 10 mg</t>
        </is>
      </c>
      <c r="C3952" s="25">
        <f>IF(COUNTIF('کدهای پیام‌داروساز'!$A$2:$A$2442,A3952)&gt;0,"بله","خیر")</f>
        <v/>
      </c>
    </row>
    <row r="3953" ht="15" customHeight="1" s="14">
      <c r="A3953" s="24" t="n">
        <v>53718</v>
      </c>
      <c r="B3953" s="24" t="inlineStr">
        <is>
          <t>VORTIOXETINE (AS HYDROBROMIDE) TABLET ORAL 20 mg</t>
        </is>
      </c>
      <c r="C3953" s="25">
        <f>IF(COUNTIF('کدهای پیام‌داروساز'!$A$2:$A$2442,A3953)&gt;0,"بله","خیر")</f>
        <v/>
      </c>
    </row>
    <row r="3954" ht="15" customHeight="1" s="14">
      <c r="A3954" s="24" t="n">
        <v>53720</v>
      </c>
      <c r="B3954" s="24" t="inlineStr">
        <is>
          <t>GALCANEZUMAB INJECTION, SOLUTION SUBCUTANEOUS 120 mg/1mL</t>
        </is>
      </c>
      <c r="C3954" s="25">
        <f>IF(COUNTIF('کدهای پیام‌داروساز'!$A$2:$A$2442,A3954)&gt;0,"بله","خیر")</f>
        <v/>
      </c>
    </row>
    <row r="3955" ht="15" customHeight="1" s="14">
      <c r="A3955" s="24" t="n">
        <v>53721</v>
      </c>
      <c r="B3955" s="24" t="inlineStr">
        <is>
          <t>FERRIC DERISOMALTOSE INJECTION PARENTERAL 100 mg/1mL 10 mL</t>
        </is>
      </c>
      <c r="C3955" s="25">
        <f>IF(COUNTIF('کدهای پیام‌داروساز'!$A$2:$A$2442,A3955)&gt;0,"بله","خیر")</f>
        <v/>
      </c>
    </row>
    <row r="3956" ht="15" customHeight="1" s="14">
      <c r="A3956" s="24" t="n">
        <v>53722</v>
      </c>
      <c r="B3956" s="24" t="inlineStr">
        <is>
          <t>RHENIUM (SUP186/SUPRE) HEDP KIT PARENTERAL 40 mg</t>
        </is>
      </c>
      <c r="C3956" s="25">
        <f>IF(COUNTIF('کدهای پیام‌داروساز'!$A$2:$A$2442,A3956)&gt;0,"بله","خیر")</f>
        <v/>
      </c>
    </row>
    <row r="3957" ht="15" customHeight="1" s="14">
      <c r="A3957" s="24" t="n">
        <v>53723</v>
      </c>
      <c r="B3957" s="24" t="inlineStr">
        <is>
          <t>IMMUNE GLOBULIN INJECTION PARENTERAL 100 mg/1mL 200 mL</t>
        </is>
      </c>
      <c r="C3957" s="25">
        <f>IF(COUNTIF('کدهای پیام‌داروساز'!$A$2:$A$2442,A3957)&gt;0,"بله","خیر")</f>
        <v/>
      </c>
    </row>
    <row r="3958" ht="15" customHeight="1" s="14">
      <c r="A3958" s="24" t="n">
        <v>53727</v>
      </c>
      <c r="B3958" s="24" t="inlineStr">
        <is>
          <t>ACALABRUTINIB (AS MALEATE) CAPSULE ORAL 100 mg</t>
        </is>
      </c>
      <c r="C3958" s="25">
        <f>IF(COUNTIF('کدهای پیام‌داروساز'!$A$2:$A$2442,A3958)&gt;0,"بله","خیر")</f>
        <v/>
      </c>
    </row>
    <row r="3959" ht="15" customHeight="1" s="14">
      <c r="A3959" s="24" t="n">
        <v>53728</v>
      </c>
      <c r="B3959" s="24" t="inlineStr">
        <is>
          <t>ACETYLCYSTEINE INJECTION PARENTERAL 200 mg/1mL 1 mL</t>
        </is>
      </c>
      <c r="C3959" s="25">
        <f>IF(COUNTIF('کدهای پیام‌داروساز'!$A$2:$A$2442,A3959)&gt;0,"بله","خیر")</f>
        <v/>
      </c>
    </row>
    <row r="3960" ht="15" customHeight="1" s="14">
      <c r="A3960" s="24" t="n">
        <v>53729</v>
      </c>
      <c r="B3960" s="24" t="inlineStr">
        <is>
          <t>NITROGLYCERIN INJECTION PARENTERAL 5 mg/1mL 5 mg</t>
        </is>
      </c>
      <c r="C3960" s="25">
        <f>IF(COUNTIF('کدهای پیام‌داروساز'!$A$2:$A$2442,A3960)&gt;0,"بله","خیر")</f>
        <v/>
      </c>
    </row>
    <row r="3961" ht="15" customHeight="1" s="14">
      <c r="A3961" s="24" t="n">
        <v>53730</v>
      </c>
      <c r="B3961" s="24" t="inlineStr">
        <is>
          <t>ALLOGENEIC NATURAL KILLER CELLS INJECTION, SUSPENSION PARENTERAL 200000000 cells/1 mL</t>
        </is>
      </c>
      <c r="C3961" s="25">
        <f>IF(COUNTIF('کدهای پیام‌داروساز'!$A$2:$A$2442,A3961)&gt;0,"بله","خیر")</f>
        <v/>
      </c>
    </row>
    <row r="3962" ht="15" customHeight="1" s="14">
      <c r="A3962" s="24" t="n">
        <v>53731</v>
      </c>
      <c r="B3962" s="24" t="inlineStr">
        <is>
          <t>AZELAIC ACID GEL TOPICAL 15 % 30 g</t>
        </is>
      </c>
      <c r="C3962" s="25">
        <f>IF(COUNTIF('کدهای پیام‌داروساز'!$A$2:$A$2442,A3962)&gt;0,"بله","خیر")</f>
        <v/>
      </c>
    </row>
    <row r="3963" ht="15" customHeight="1" s="14">
      <c r="A3963" s="24" t="n">
        <v>53738</v>
      </c>
      <c r="B3963" s="24" t="inlineStr">
        <is>
          <t>METHYLPREDNISOLONE (AS SODIUM SUCCINATE) INJECTION, POWDER, FOR SOLUTION PARENTERAL 40 mg</t>
        </is>
      </c>
      <c r="C3963" s="25">
        <f>IF(COUNTIF('کدهای پیام‌داروساز'!$A$2:$A$2442,A3963)&gt;0,"بله","خیر")</f>
        <v/>
      </c>
    </row>
    <row r="3964" ht="15" customHeight="1" s="14">
      <c r="A3964" s="24" t="n">
        <v>53739</v>
      </c>
      <c r="B3964" s="24" t="inlineStr">
        <is>
          <t>TALAZOPARIB (AS TOSYLATE) CAPSULE ORAL 0.5 mg</t>
        </is>
      </c>
      <c r="C3964" s="25">
        <f>IF(COUNTIF('کدهای پیام‌داروساز'!$A$2:$A$2442,A3964)&gt;0,"بله","خیر")</f>
        <v/>
      </c>
    </row>
    <row r="3965" ht="15" customHeight="1" s="14">
      <c r="A3965" s="24" t="n">
        <v>53740</v>
      </c>
      <c r="B3965" s="24" t="inlineStr">
        <is>
          <t>ZONGERTINIB TABLET ORAL 60 mg</t>
        </is>
      </c>
      <c r="C3965" s="25">
        <f>IF(COUNTIF('کدهای پیام‌داروساز'!$A$2:$A$2442,A3965)&gt;0,"بله","خیر")</f>
        <v/>
      </c>
    </row>
    <row r="3966" ht="15" customHeight="1" s="14">
      <c r="A3966" s="24" t="n">
        <v>53742</v>
      </c>
      <c r="B3966" s="24" t="inlineStr">
        <is>
          <t>UPADACITINIB TABLET, EXTENDED RELEASE ORAL 45 mg</t>
        </is>
      </c>
      <c r="C3966" s="25">
        <f>IF(COUNTIF('کدهای پیام‌داروساز'!$A$2:$A$2442,A3966)&gt;0,"بله","خیر")</f>
        <v/>
      </c>
    </row>
    <row r="3967" ht="15" customHeight="1" s="14">
      <c r="A3967" s="24" t="n">
        <v>53743</v>
      </c>
      <c r="B3967" s="24" t="inlineStr">
        <is>
          <t>BOTULINUM A TOXIN INJECTION, POWDER, LYOPHILIZED, FOR SOLUTION PARENTERAL 150 [iU]</t>
        </is>
      </c>
      <c r="C3967" s="25">
        <f>IF(COUNTIF('کدهای پیام‌داروساز'!$A$2:$A$2442,A3967)&gt;0,"بله","خیر")</f>
        <v/>
      </c>
    </row>
    <row r="3968" ht="15" customHeight="1" s="14">
      <c r="A3968" s="24" t="n">
        <v>53745</v>
      </c>
      <c r="B3968" s="24" t="inlineStr">
        <is>
          <t>LUMASIRAN (AS SODIUM) INJECTION, SOLUTION SUBCUTANEOUS 94.5 mg/0.5mL</t>
        </is>
      </c>
      <c r="C3968" s="25">
        <f>IF(COUNTIF('کدهای پیام‌داروساز'!$A$2:$A$2442,A3968)&gt;0,"بله","خیر")</f>
        <v/>
      </c>
    </row>
    <row r="3969" ht="15" customHeight="1" s="14">
      <c r="A3969" s="24" t="n">
        <v>53746</v>
      </c>
      <c r="B3969" s="24" t="inlineStr">
        <is>
          <t>SELINEXOR TABLET ORAL 20 mg</t>
        </is>
      </c>
      <c r="C3969" s="25">
        <f>IF(COUNTIF('کدهای پیام‌داروساز'!$A$2:$A$2442,A3969)&gt;0,"بله","خیر")</f>
        <v/>
      </c>
    </row>
    <row r="3970" ht="15" customHeight="1" s="14">
      <c r="A3970" s="24" t="n">
        <v>53747</v>
      </c>
      <c r="B3970" s="24" t="inlineStr">
        <is>
          <t>MOMELOTINIB TABLET ORAL 200 mg</t>
        </is>
      </c>
      <c r="C3970" s="25">
        <f>IF(COUNTIF('کدهای پیام‌داروساز'!$A$2:$A$2442,A3970)&gt;0,"بله","خیر")</f>
        <v/>
      </c>
    </row>
    <row r="3971" ht="15" customHeight="1" s="14">
      <c r="A3971" s="24" t="n">
        <v>53748</v>
      </c>
      <c r="B3971" s="24" t="inlineStr">
        <is>
          <t>OBINUTUZUMAB INJECTION, SOLUTION, CONCENTRATE PARENTERAL 25 mg/1 mL 40 mL</t>
        </is>
      </c>
      <c r="C3971" s="25">
        <f>IF(COUNTIF('کدهای پیام‌داروساز'!$A$2:$A$2442,A3971)&gt;0,"بله","خیر")</f>
        <v/>
      </c>
    </row>
    <row r="3972" ht="15" customHeight="1" s="14">
      <c r="A3972" s="24" t="n">
        <v>53749</v>
      </c>
      <c r="B3972" s="24" t="inlineStr">
        <is>
          <t>FACTOR XIII INJECTION, POWDER, LYOPHILIZED, FOR SOLUTION PARENTERAL 1250 [iU]</t>
        </is>
      </c>
      <c r="C3972" s="25">
        <f>IF(COUNTIF('کدهای پیام‌داروساز'!$A$2:$A$2442,A3972)&gt;0,"بله","خیر")</f>
        <v/>
      </c>
    </row>
    <row r="3973" ht="15" customHeight="1" s="14">
      <c r="A3973" s="24" t="n">
        <v>53753</v>
      </c>
      <c r="B3973" s="24" t="inlineStr">
        <is>
          <t>LEVOFLOXACIN SOLUTION ORAL 25 mg/1 mL 120 mL</t>
        </is>
      </c>
      <c r="C3973" s="25">
        <f>IF(COUNTIF('کدهای پیام‌داروساز'!$A$2:$A$2442,A3973)&gt;0,"بله","خیر")</f>
        <v/>
      </c>
    </row>
    <row r="3974" ht="15" customHeight="1" s="14">
      <c r="A3974" s="24" t="n">
        <v>53754</v>
      </c>
      <c r="B3974" s="24" t="inlineStr">
        <is>
          <t>HEMODIALYSIS CONCENTRATED II ACIDIC SOLUTION, CONCENTRATE HEMODIALYSIS 3710 meq/70 meq/35 meq/87.5 meq/70 g/122.5 meq/3902.5 meq/1L 4500 mL</t>
        </is>
      </c>
      <c r="C3974" s="25">
        <f>IF(COUNTIF('کدهای پیام‌داروساز'!$A$2:$A$2442,A3974)&gt;0,"بله","خیر")</f>
        <v/>
      </c>
    </row>
    <row r="3975" ht="15" customHeight="1" s="14">
      <c r="A3975" s="24" t="n">
        <v>53755</v>
      </c>
      <c r="B3975" s="24" t="inlineStr">
        <is>
          <t>DARIDOREXANT (AS HYDROCHLORIDE) TABLET ORAL 25 mg</t>
        </is>
      </c>
      <c r="C3975" s="25">
        <f>IF(COUNTIF('کدهای پیام‌داروساز'!$A$2:$A$2442,A3975)&gt;0,"بله","خیر")</f>
        <v/>
      </c>
    </row>
    <row r="3976" ht="15" customHeight="1" s="14">
      <c r="A3976" s="24" t="n">
        <v>53756</v>
      </c>
      <c r="B3976" s="24" t="inlineStr">
        <is>
          <t>DARIDOREXANT (AS HYDROCHLORIDE) TABLET ORAL 50 mg</t>
        </is>
      </c>
      <c r="C3976" s="25">
        <f>IF(COUNTIF('کدهای پیام‌داروساز'!$A$2:$A$2442,A3976)&gt;0,"بله","خیر")</f>
        <v/>
      </c>
    </row>
    <row r="3977" ht="15" customHeight="1" s="14">
      <c r="A3977" s="24" t="n">
        <v>53758</v>
      </c>
      <c r="B3977" s="24" t="inlineStr">
        <is>
          <t>AZITHROMYCIN POWDER, FOR SUSPENSION ORAL 200 mg/5mL 20 mL</t>
        </is>
      </c>
      <c r="C3977" s="25">
        <f>IF(COUNTIF('کدهای پیام‌داروساز'!$A$2:$A$2442,A3977)&gt;0,"بله","خیر")</f>
        <v/>
      </c>
    </row>
    <row r="3978" ht="15" customHeight="1" s="14">
      <c r="A3978" s="24" t="n">
        <v>53764</v>
      </c>
      <c r="B3978" s="24" t="inlineStr">
        <is>
          <t>SEMAGLUTIDE INJECTION, SOLUTION PARENTERAL 7.2 mg/0.75mL</t>
        </is>
      </c>
      <c r="C3978" s="25">
        <f>IF(COUNTIF('کدهای پیام‌داروساز'!$A$2:$A$2442,A3978)&gt;0,"بله","خیر")</f>
        <v/>
      </c>
    </row>
    <row r="3979" ht="15" customHeight="1" s="14">
      <c r="A3979" s="24" t="n">
        <v>53770</v>
      </c>
      <c r="B3979" s="24" t="inlineStr">
        <is>
          <t>DEXMEDETOMIDINE (AS HYDROCHLORIDE) INJECTION, SOLUTION, CONCENTRATE PARENTERAL 100 ug/1mL 4 mL</t>
        </is>
      </c>
      <c r="C3979" s="25">
        <f>IF(COUNTIF('کدهای پیام‌داروساز'!$A$2:$A$2442,A3979)&gt;0,"بله","خیر")</f>
        <v/>
      </c>
    </row>
    <row r="3980" ht="15" customHeight="1" s="14">
      <c r="A3980" s="24" t="n">
        <v>53772</v>
      </c>
      <c r="B3980" s="24" t="inlineStr">
        <is>
          <t>DEXMEDETOMIDINE (AS HYDROCHLORIDE) INJECTION, SOLUTION, CONCENTRATE PARENTERAL 100 ug/1mL 10 mL</t>
        </is>
      </c>
      <c r="C3980" s="25">
        <f>IF(COUNTIF('کدهای پیام‌داروساز'!$A$2:$A$2442,A3980)&gt;0,"بله","خیر")</f>
        <v/>
      </c>
    </row>
    <row r="3981" ht="15" customHeight="1" s="14">
      <c r="A3981" s="24" t="n">
        <v>53773</v>
      </c>
      <c r="B3981" s="24" t="inlineStr">
        <is>
          <t>SELUMETINIB (AS HYDROGEN SULFATE) CAPSULE ORAL 10 mg</t>
        </is>
      </c>
      <c r="C3981" s="25">
        <f>IF(COUNTIF('کدهای پیام‌داروساز'!$A$2:$A$2442,A3981)&gt;0,"بله","خیر")</f>
        <v/>
      </c>
    </row>
    <row r="3982" ht="15" customHeight="1" s="14">
      <c r="A3982" s="24" t="n">
        <v>53774</v>
      </c>
      <c r="B3982" s="24" t="inlineStr">
        <is>
          <t>MARGETUXIMAB INJECTION INTRAVENOUS 25 mg/1mL 10 mL</t>
        </is>
      </c>
      <c r="C3982" s="25">
        <f>IF(COUNTIF('کدهای پیام‌داروساز'!$A$2:$A$2442,A3982)&gt;0,"بله","خیر")</f>
        <v/>
      </c>
    </row>
    <row r="3983" ht="15" customHeight="1" s="14">
      <c r="A3983" s="24" t="n">
        <v>53777</v>
      </c>
      <c r="B3983" s="24" t="inlineStr">
        <is>
          <t>MESNA INJECTION PARENTERAL 100 mg/1mL 2 mL</t>
        </is>
      </c>
      <c r="C3983" s="25">
        <f>IF(COUNTIF('کدهای پیام‌داروساز'!$A$2:$A$2442,A3983)&gt;0,"بله","خیر")</f>
        <v/>
      </c>
    </row>
    <row r="3984" ht="15" customHeight="1" s="14">
      <c r="A3984" s="24" t="n">
        <v>53778</v>
      </c>
      <c r="B3984" s="24" t="inlineStr">
        <is>
          <t>MOGAMULIZUMAB INJECTION, SOLUTION, CONCENTRATE PARENTERAL 4 mg/1mL 5 mL</t>
        </is>
      </c>
      <c r="C3984" s="25">
        <f>IF(COUNTIF('کدهای پیام‌داروساز'!$A$2:$A$2442,A3984)&gt;0,"بله","خیر")</f>
        <v/>
      </c>
    </row>
    <row r="3985" ht="15" customHeight="1" s="14">
      <c r="A3985" s="24" t="n">
        <v>53779</v>
      </c>
      <c r="B3985" s="24" t="inlineStr">
        <is>
          <t>MENINGOCOCCAL GROUP B VACCINE (RECOMBINANT, ADSORBED) MONOVALENT INJECTION, SUSPENSION PARENTERAL 120 ug/0.5 mL 1 {dose}</t>
        </is>
      </c>
      <c r="C3985" s="25">
        <f>IF(COUNTIF('کدهای پیام‌داروساز'!$A$2:$A$2442,A3985)&gt;0,"بله","خیر")</f>
        <v/>
      </c>
    </row>
    <row r="3986" ht="15" customHeight="1" s="14">
      <c r="A3986" s="24" t="n">
        <v>53786</v>
      </c>
      <c r="B3986" s="24" t="inlineStr">
        <is>
          <t>IMLUNESTRANT TABLET ORAL 200 mg</t>
        </is>
      </c>
      <c r="C3986" s="25">
        <f>IF(COUNTIF('کدهای پیام‌داروساز'!$A$2:$A$2442,A3986)&gt;0,"بله","خیر")</f>
        <v/>
      </c>
    </row>
    <row r="3987" ht="15" customHeight="1" s="14">
      <c r="A3987" s="24" t="n">
        <v>53787</v>
      </c>
      <c r="B3987" s="24" t="inlineStr">
        <is>
          <t>ACETAMINOPHEN SUSPENSION ORAL 160 mg/5mL 120 mL</t>
        </is>
      </c>
      <c r="C3987" s="25">
        <f>IF(COUNTIF('کدهای پیام‌داروساز'!$A$2:$A$2442,A3987)&gt;0,"بله","خیر")</f>
        <v/>
      </c>
    </row>
  </sheetData>
  <mergeCells count="2">
    <mergeCell ref="A1:D1"/>
    <mergeCell ref="A2:D2"/>
  </mergeCells>
  <conditionalFormatting sqref="C5:C3987">
    <cfRule type="cellIs" rank="0" priority="2" equalAverage="0" operator="equal" aboveAverage="0" dxfId="0" text="" percent="0" bottom="0">
      <formula>"بله"</formula>
    </cfRule>
    <cfRule type="cellIs" rank="0" priority="3" equalAverage="0" operator="equal" aboveAverage="0" dxfId="1" text="" percent="0" bottom="0">
      <formula>"خیر"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97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55" customWidth="1" style="13" min="2" max="2"/>
    <col width="22" customWidth="1" style="13" min="3" max="3"/>
  </cols>
  <sheetData>
    <row r="1" ht="17.15" customHeight="1" s="14">
      <c r="A1" s="15" t="inlineStr">
        <is>
          <t>پوشش کدهای ژنریک موجود در آریا (خروجی زنده سرور) توسط فایل‌های پیام‌داروساز</t>
        </is>
      </c>
    </row>
    <row r="2" ht="30" customHeight="1" s="14">
      <c r="A2" s="26" t="inlineStr">
        <is>
          <t>تعداد کل کد ژنریک یکتا (غیرصفر) — خروجی زنده از جدول Kala روی سرور، تاریخ 1405/07/01 (2026-09-22): 3966   |   توجه: SQL از روی GenCode به‌صورت متنی گروه‌بندی شده بود و ۱۳۴ کد به دو شکل (با/بدون صفر ابتدایی، مثل 00003 و 3) به‌عنوان تکراری ثبت شده بودند که در این گزارش یکسان‌سازی شدند.</t>
        </is>
      </c>
    </row>
    <row r="3" ht="15" customHeight="1" s="14"/>
    <row r="5" ht="15" customHeight="1" s="14">
      <c r="A5" s="23" t="inlineStr">
        <is>
          <t>کد ژنریک</t>
        </is>
      </c>
      <c r="B5" s="23" t="inlineStr">
        <is>
          <t>نام دارو (آریا)</t>
        </is>
      </c>
      <c r="C5" s="23" t="inlineStr">
        <is>
          <t>موجود در فایل‌های پیام؟</t>
        </is>
      </c>
    </row>
    <row r="6" ht="15" customHeight="1" s="14">
      <c r="A6" s="24" t="n">
        <v>1</v>
      </c>
      <c r="B6" s="24" t="inlineStr">
        <is>
          <t>آ.ث.آ   قرص خوراکي 162.5 mg/32.5 mg/325 mg - داروسازي ابوريحان</t>
        </is>
      </c>
      <c r="C6" s="25">
        <f>IF(COUNTIF('کدهای پیام‌داروساز'!$A$2:$A$2442,A6)&gt;0,"بله","خیر")</f>
        <v/>
      </c>
    </row>
    <row r="7" ht="15" customHeight="1" s="14">
      <c r="A7" s="24" t="n">
        <v>3</v>
      </c>
      <c r="B7" s="24" t="inlineStr">
        <is>
          <t>استامينوفن قطره 15ML - دنياي بهداشت</t>
        </is>
      </c>
      <c r="C7" s="25">
        <f>IF(COUNTIF('کدهای پیام‌داروساز'!$A$2:$A$2442,A7)&gt;0,"بله","خیر")</f>
        <v/>
      </c>
    </row>
    <row r="8" ht="15" customHeight="1" s="14">
      <c r="A8" s="24" t="n">
        <v>4</v>
      </c>
      <c r="B8" s="24" t="inlineStr">
        <is>
          <t>استاسنس   محلول خوراکي 120 mg/5mL 60 mL - تريتا داروي هزاره سوم</t>
        </is>
      </c>
      <c r="C8" s="25">
        <f>IF(COUNTIF('کدهای پیام‌داروساز'!$A$2:$A$2442,A8)&gt;0,"بله","خیر")</f>
        <v/>
      </c>
    </row>
    <row r="9" ht="15" customHeight="1" s="14">
      <c r="A9" s="24" t="n">
        <v>5</v>
      </c>
      <c r="B9" s="24" t="inlineStr">
        <is>
          <t>پاراتل سوسپانسيون خوراکي</t>
        </is>
      </c>
      <c r="C9" s="25">
        <f>IF(COUNTIF('کدهای پیام‌داروساز'!$A$2:$A$2442,A9)&gt;0,"بله","خیر")</f>
        <v/>
      </c>
    </row>
    <row r="10" ht="15" customHeight="1" s="14">
      <c r="A10" s="24" t="n">
        <v>6</v>
      </c>
      <c r="B10" s="24" t="inlineStr">
        <is>
          <t>آفي ستامول 125 (استامينوفن) شياف - آوندفر</t>
        </is>
      </c>
      <c r="C10" s="25">
        <f>IF(COUNTIF('کدهای پیام‌داروساز'!$A$2:$A$2442,A10)&gt;0,"بله","خیر")</f>
        <v/>
      </c>
    </row>
    <row r="11" ht="15" customHeight="1" s="14">
      <c r="A11" s="24" t="n">
        <v>7</v>
      </c>
      <c r="B11" s="24" t="inlineStr">
        <is>
          <t>استاگروفن   قرص خوراکي 325 mg</t>
        </is>
      </c>
      <c r="C11" s="25">
        <f>IF(COUNTIF('کدهای پیام‌داروساز'!$A$2:$A$2442,A11)&gt;0,"بله","خیر")</f>
        <v/>
      </c>
    </row>
    <row r="12" ht="15" customHeight="1" s="14">
      <c r="A12" s="24" t="n">
        <v>8</v>
      </c>
      <c r="B12" s="24" t="inlineStr">
        <is>
          <t>استامينوفن   شياف مقعدي 325 mg</t>
        </is>
      </c>
      <c r="C12" s="25">
        <f>IF(COUNTIF('کدهای پیام‌داروساز'!$A$2:$A$2442,A12)&gt;0,"بله","خیر")</f>
        <v/>
      </c>
    </row>
    <row r="13" ht="15" customHeight="1" s="14">
      <c r="A13" s="24" t="n">
        <v>9</v>
      </c>
      <c r="B13" s="24" t="inlineStr">
        <is>
          <t>تايني فن   قرص بازشونده در دهان خوراکي 80 mg - تدبير کالاي جم</t>
        </is>
      </c>
      <c r="C13" s="25">
        <f>IF(COUNTIF('کدهای پیام‌داروساز'!$A$2:$A$2442,A13)&gt;0,"بله","خیر")</f>
        <v/>
      </c>
    </row>
    <row r="14" ht="15" customHeight="1" s="14">
      <c r="A14" s="24" t="n">
        <v>11</v>
      </c>
      <c r="B14" s="24" t="inlineStr">
        <is>
          <t>استازولاميد   قرص خوراکي 250 mg</t>
        </is>
      </c>
      <c r="C14" s="25">
        <f>IF(COUNTIF('کدهای پیام‌داروساز'!$A$2:$A$2442,A14)&gt;0,"بله","خیر")</f>
        <v/>
      </c>
    </row>
    <row r="15" ht="15" customHeight="1" s="14">
      <c r="A15" s="24" t="n">
        <v>12</v>
      </c>
      <c r="B15" s="24" t="inlineStr">
        <is>
          <t>دياموکس   پودر براي تهيه محلول تزريقي پرنترال 500 mg  [Amb'a'1'U] - فوريتهاي سينا آرات گستر</t>
        </is>
      </c>
      <c r="C15" s="25">
        <f>IF(COUNTIF('کدهای پیام‌داروساز'!$A$2:$A$2442,A15)&gt;0,"بله","خیر")</f>
        <v/>
      </c>
    </row>
    <row r="16" ht="15" customHeight="1" s="14">
      <c r="A16" s="24" t="n">
        <v>15</v>
      </c>
      <c r="B16" s="24" t="inlineStr">
        <is>
          <t>ميووزين   تزريقي چشمي 1 % 2 mg - تدبير کالاي جم</t>
        </is>
      </c>
      <c r="C16" s="25">
        <f>IF(COUNTIF('کدهای پیام‌داروساز'!$A$2:$A$2442,A16)&gt;0,"بله","خیر")</f>
        <v/>
      </c>
    </row>
    <row r="17" ht="15" customHeight="1" s="14">
      <c r="A17" s="24" t="n">
        <v>17</v>
      </c>
      <c r="B17" s="24" t="inlineStr">
        <is>
          <t xml:space="preserve"> نئوتيکازون - نواترتين 10(آسيترتين)کپسول-داگلاس</t>
        </is>
      </c>
      <c r="C17" s="25">
        <f>IF(COUNTIF('کدهای پیام‌داروساز'!$A$2:$A$2442,A17)&gt;0,"بله","خیر")</f>
        <v/>
      </c>
    </row>
    <row r="18" ht="15" customHeight="1" s="14">
      <c r="A18" s="24" t="n">
        <v>18</v>
      </c>
      <c r="B18" s="24" t="inlineStr">
        <is>
          <t>آسيترتين   کپسول خوراکي 25 mg</t>
        </is>
      </c>
      <c r="C18" s="25">
        <f>IF(COUNTIF('کدهای پیام‌داروساز'!$A$2:$A$2442,A18)&gt;0,"بله","خیر")</f>
        <v/>
      </c>
    </row>
    <row r="19" ht="15" customHeight="1" s="14">
      <c r="A19" s="24" t="n">
        <v>19</v>
      </c>
      <c r="B19" s="24" t="inlineStr">
        <is>
          <t>فايبا   پودر لئوفيليزه براي تهيه محلول تزريقي پرنترال 500 [iU]  [iU] - کار و انديشه</t>
        </is>
      </c>
      <c r="C19" s="25">
        <f>IF(COUNTIF('کدهای پیام‌داروساز'!$A$2:$A$2442,A19)&gt;0,"بله","خیر")</f>
        <v/>
      </c>
    </row>
    <row r="20" ht="15" customHeight="1" s="14">
      <c r="A20" s="24" t="n">
        <v>20</v>
      </c>
      <c r="B20" s="24" t="inlineStr">
        <is>
          <t>ويروليز 3 درصد 3 گرم (آسيکلووير) پماد چشمي - سينا دارو</t>
        </is>
      </c>
      <c r="C20" s="25">
        <f>IF(COUNTIF('کدهای پیام‌داروساز'!$A$2:$A$2442,A20)&gt;0,"بله","خیر")</f>
        <v/>
      </c>
    </row>
    <row r="21" ht="15" customHeight="1" s="14">
      <c r="A21" s="24" t="n">
        <v>21</v>
      </c>
      <c r="B21" s="24" t="inlineStr">
        <is>
          <t>آسيکلووير   قرص خوراکي 200 mg - دارو سازي فارابي</t>
        </is>
      </c>
      <c r="C21" s="25">
        <f>IF(COUNTIF('کدهای پیام‌داروساز'!$A$2:$A$2442,A21)&gt;0,"بله","خیر")</f>
        <v/>
      </c>
    </row>
    <row r="22" ht="15" customHeight="1" s="14">
      <c r="A22" s="24" t="n">
        <v>22</v>
      </c>
      <c r="B22" s="24" t="inlineStr">
        <is>
          <t>آسيکلووير سديم 250 ميلي گرم پودر لئوفيليزه براي تهيه محلول تزريقي</t>
        </is>
      </c>
      <c r="C22" s="25">
        <f>IF(COUNTIF('کدهای پیام‌داروساز'!$A$2:$A$2442,A22)&gt;0,"بله","خیر")</f>
        <v/>
      </c>
    </row>
    <row r="23" ht="15" customHeight="1" s="14">
      <c r="A23" s="24" t="n">
        <v>23</v>
      </c>
      <c r="B23" s="24" t="inlineStr">
        <is>
          <t>آسيکلوروز   قرص خوراکي 400 mg - روزدارو</t>
        </is>
      </c>
      <c r="C23" s="25">
        <f>IF(COUNTIF('کدهای پیام‌داروساز'!$A$2:$A$2442,A23)&gt;0,"بله","خیر")</f>
        <v/>
      </c>
    </row>
    <row r="24" ht="15" customHeight="1" s="14">
      <c r="A24" s="24" t="n">
        <v>24</v>
      </c>
      <c r="B24" s="24" t="inlineStr">
        <is>
          <t>آسيمور   کرم موضعي 5 % 10 g - تامين آوا سلامت</t>
        </is>
      </c>
      <c r="C24" s="25">
        <f>IF(COUNTIF('کدهای پیام‌داروساز'!$A$2:$A$2442,A24)&gt;0,"بله","خیر")</f>
        <v/>
      </c>
    </row>
    <row r="25" ht="15" customHeight="1" s="14">
      <c r="A25" s="24" t="n">
        <v>25</v>
      </c>
      <c r="B25" s="24" t="inlineStr">
        <is>
          <t>قرص گريپ کات کلد(سرماخوردگي بزرگسال)</t>
        </is>
      </c>
      <c r="C25" s="25">
        <f>IF(COUNTIF('کدهای پیام‌داروساز'!$A$2:$A$2442,A25)&gt;0,"بله","خیر")</f>
        <v/>
      </c>
    </row>
    <row r="26" ht="15" customHeight="1" s="14">
      <c r="A26" s="24" t="n">
        <v>26</v>
      </c>
      <c r="B26" s="24" t="inlineStr">
        <is>
          <t>آلبندازول   قرص جويدني خوراکي 400 mg</t>
        </is>
      </c>
      <c r="C26" s="25">
        <f>IF(COUNTIF('کدهای پیام‌داروساز'!$A$2:$A$2442,A26)&gt;0,"بله","خیر")</f>
        <v/>
      </c>
    </row>
    <row r="27" ht="15" customHeight="1" s="14">
      <c r="A27" s="24" t="n">
        <v>27</v>
      </c>
      <c r="B27" s="24" t="inlineStr">
        <is>
          <t>ويال تزريقي آلبومين 20% سي اس ال بهرينگ 50 ميلي ليتر</t>
        </is>
      </c>
      <c r="C27" s="25">
        <f>IF(COUNTIF('کدهای پیام‌داروساز'!$A$2:$A$2442,A27)&gt;0,"بله","خیر")</f>
        <v/>
      </c>
    </row>
    <row r="28" ht="15" customHeight="1" s="14">
      <c r="A28" s="24" t="n">
        <v>28</v>
      </c>
      <c r="B28" s="24" t="inlineStr">
        <is>
          <t>ايمونوگلوبولين نرمال انساني   محلول تزريقي پرنترال 5 % 100 mL - اکسين دارو پارس</t>
        </is>
      </c>
      <c r="C28" s="25">
        <f>IF(COUNTIF('کدهای پیام‌داروساز'!$A$2:$A$2442,A28)&gt;0,"بله","خیر")</f>
        <v/>
      </c>
    </row>
    <row r="29" ht="15" customHeight="1" s="14">
      <c r="A29" s="24" t="n">
        <v>38</v>
      </c>
      <c r="B29" s="24" t="inlineStr">
        <is>
          <t>آلوپورينول 100 م گ قرص - کيميدارو</t>
        </is>
      </c>
      <c r="C29" s="25">
        <f>IF(COUNTIF('کدهای پیام‌داروساز'!$A$2:$A$2442,A29)&gt;0,"بله","خیر")</f>
        <v/>
      </c>
    </row>
    <row r="30" ht="15" customHeight="1" s="14">
      <c r="A30" s="24" t="n">
        <v>40</v>
      </c>
      <c r="B30" s="24" t="inlineStr">
        <is>
          <t>آپو آلپراز 0.5 (آلپرازولام) قرص</t>
        </is>
      </c>
      <c r="C30" s="25">
        <f>IF(COUNTIF('کدهای پیام‌داروساز'!$A$2:$A$2442,A30)&gt;0,"بله","خیر")</f>
        <v/>
      </c>
    </row>
    <row r="31" ht="15" customHeight="1" s="14">
      <c r="A31" s="24" t="n">
        <v>42</v>
      </c>
      <c r="B31" s="24" t="inlineStr">
        <is>
          <t>آلپروس   تزريقي پرنترال 0.5 mg/1mL 1 mg - بازرگاني سها کيش</t>
        </is>
      </c>
      <c r="C31" s="25">
        <f>IF(COUNTIF('کدهای پیام‌داروساز'!$A$2:$A$2442,A31)&gt;0,"بله","خیر")</f>
        <v/>
      </c>
    </row>
    <row r="32" ht="15" customHeight="1" s="14">
      <c r="A32" s="24" t="n">
        <v>45</v>
      </c>
      <c r="B32" s="24" t="inlineStr">
        <is>
          <t>آلومينيوم هيدروکسايد   قرص جويدني خوراکي 300 mg - لابراتوارهاي رازک</t>
        </is>
      </c>
      <c r="C32" s="25">
        <f>IF(COUNTIF('کدهای پیام‌داروساز'!$A$2:$A$2442,A32)&gt;0,"بله","خیر")</f>
        <v/>
      </c>
    </row>
    <row r="33" ht="15" customHeight="1" s="14">
      <c r="A33" s="24" t="n">
        <v>46</v>
      </c>
      <c r="B33" s="24" t="inlineStr">
        <is>
          <t>آلومينيوم هيدروکسايد   سوسپانسيون خوراکي 320 mg/5mL 240 mL - داروئي و بهداشتي لقمان</t>
        </is>
      </c>
      <c r="C33" s="25">
        <f>IF(COUNTIF('کدهای پیام‌داروساز'!$A$2:$A$2442,A33)&gt;0,"بله","خیر")</f>
        <v/>
      </c>
    </row>
    <row r="34" ht="15" customHeight="1" s="14">
      <c r="A34" s="24" t="n">
        <v>47</v>
      </c>
      <c r="B34" s="24" t="inlineStr">
        <is>
          <t>آدي ژل   سوسپانسيون خوراکي 225 mg/200 mg/5 mL 240 mL - البرز دارو</t>
        </is>
      </c>
      <c r="C34" s="25">
        <f>IF(COUNTIF('کدهای پیام‌داروساز'!$A$2:$A$2442,A34)&gt;0,"بله","خیر")</f>
        <v/>
      </c>
    </row>
    <row r="35" ht="15" customHeight="1" s="14">
      <c r="A35" s="24" t="n">
        <v>48</v>
      </c>
      <c r="B35" s="24" t="inlineStr">
        <is>
          <t>آلومينيوم ام جي   قرص جويدني خوراکي 200 mg/200 mg</t>
        </is>
      </c>
      <c r="C35" s="25">
        <f>IF(COUNTIF('کدهای پیام‌داروساز'!$A$2:$A$2442,A35)&gt;0,"بله","خیر")</f>
        <v/>
      </c>
    </row>
    <row r="36" ht="15" customHeight="1" s="14">
      <c r="A36" s="24" t="n">
        <v>49</v>
      </c>
      <c r="B36" s="24" t="inlineStr">
        <is>
          <t>آلومينيوم ام جي اس   سوسپانسيون خوراکي 225 mg/200 mg/25 mg/5mL 240 mL</t>
        </is>
      </c>
      <c r="C36" s="25">
        <f>IF(COUNTIF('کدهای پیام‌داروساز'!$A$2:$A$2442,A36)&gt;0,"بله","خیر")</f>
        <v/>
      </c>
    </row>
    <row r="37" ht="15" customHeight="1" s="14">
      <c r="A37" s="24" t="n">
        <v>50</v>
      </c>
      <c r="B37" s="24" t="inlineStr">
        <is>
          <t>آدي ژل-اس (آلومينيوم/منيزيم/سايمتيکون) قرص - البرز دارو</t>
        </is>
      </c>
      <c r="C37" s="25">
        <f>IF(COUNTIF('کدهای پیام‌داروساز'!$A$2:$A$2442,A37)&gt;0,"بله","خیر")</f>
        <v/>
      </c>
    </row>
    <row r="38" ht="15" customHeight="1" s="14">
      <c r="A38" s="24" t="n">
        <v>51</v>
      </c>
      <c r="B38" s="24" t="inlineStr">
        <is>
          <t>آماترل   کپسول خوراکي 100 mg - داروسازي آني درمان</t>
        </is>
      </c>
      <c r="C38" s="25">
        <f>IF(COUNTIF('کدهای پیام‌داروساز'!$A$2:$A$2442,A38)&gt;0,"بله","خیر")</f>
        <v/>
      </c>
    </row>
    <row r="39" ht="15" customHeight="1" s="14">
      <c r="A39" s="24" t="n">
        <v>53</v>
      </c>
      <c r="B39" s="24" t="inlineStr">
        <is>
          <t>آميکاسين 100 م گ / 2 م ل آمپول - اکسير</t>
        </is>
      </c>
      <c r="C39" s="25">
        <f>IF(COUNTIF('کدهای پیام‌داروساز'!$A$2:$A$2442,A39)&gt;0,"بله","خیر")</f>
        <v/>
      </c>
    </row>
    <row r="40" ht="15" customHeight="1" s="14">
      <c r="A40" s="24" t="n">
        <v>54</v>
      </c>
      <c r="B40" s="24" t="inlineStr">
        <is>
          <t>آميکاسين 500 آمپول - داروپخش</t>
        </is>
      </c>
      <c r="C40" s="25">
        <f>IF(COUNTIF('کدهای پیام‌داروساز'!$A$2:$A$2442,A40)&gt;0,"بله","خیر")</f>
        <v/>
      </c>
    </row>
    <row r="41" ht="15" customHeight="1" s="14">
      <c r="A41" s="24" t="n">
        <v>55</v>
      </c>
      <c r="B41" s="24" t="inlineStr">
        <is>
          <t>آميلورايد   قرص خوراکي 5 mg/50 mg - بازرگاني سها کيش</t>
        </is>
      </c>
      <c r="C41" s="25">
        <f>IF(COUNTIF('کدهای پیام‌داروساز'!$A$2:$A$2442,A41)&gt;0,"بله","خیر")</f>
        <v/>
      </c>
    </row>
    <row r="42" ht="15" customHeight="1" s="14">
      <c r="A42" s="24" t="n">
        <v>56</v>
      </c>
      <c r="B42" s="24" t="inlineStr">
        <is>
          <t>آمينوون اينفنت 10%   محلول تزريقي داخل وريدي 250 % - درمان ياب دارو</t>
        </is>
      </c>
      <c r="C42" s="25">
        <f>IF(COUNTIF('کدهای پیام‌داروساز'!$A$2:$A$2442,A42)&gt;0,"بله","خیر")</f>
        <v/>
      </c>
    </row>
    <row r="43" ht="15" customHeight="1" s="14">
      <c r="A43" s="24" t="n">
        <v>61</v>
      </c>
      <c r="B43" s="24" t="inlineStr">
        <is>
          <t>آمينوديک   تزريقي پرنترال 25 mg/1mL 10 mL</t>
        </is>
      </c>
      <c r="C43" s="25">
        <f>IF(COUNTIF('کدهای پیام‌داروساز'!$A$2:$A$2442,A43)&gt;0,"بله","خیر")</f>
        <v/>
      </c>
    </row>
    <row r="44" ht="15" customHeight="1" s="14">
      <c r="A44" s="24" t="n">
        <v>63</v>
      </c>
      <c r="B44" s="24" t="inlineStr">
        <is>
          <t>آميودارون   قرص خوراکي 200 mg - داروسازي اکسير</t>
        </is>
      </c>
      <c r="C44" s="25">
        <f>IF(COUNTIF('کدهای پیام‌داروساز'!$A$2:$A$2442,A44)&gt;0,"بله","خیر")</f>
        <v/>
      </c>
    </row>
    <row r="45" ht="15" customHeight="1" s="14">
      <c r="A45" s="24" t="n">
        <v>64</v>
      </c>
      <c r="B45" s="24" t="inlineStr">
        <is>
          <t>آمپول آميودارون 50م گ/3م ل</t>
        </is>
      </c>
      <c r="C45" s="25">
        <f>IF(COUNTIF('کدهای پیام‌داروساز'!$A$2:$A$2442,A45)&gt;0,"بله","خیر")</f>
        <v/>
      </c>
    </row>
    <row r="46" ht="15" customHeight="1" s="14">
      <c r="A46" s="24" t="n">
        <v>65</v>
      </c>
      <c r="B46" s="24" t="inlineStr">
        <is>
          <t>آمي تريپتيلين   قرص خوراکي 10 mg - پارس دارو</t>
        </is>
      </c>
      <c r="C46" s="25">
        <f>IF(COUNTIF('کدهای پیام‌داروساز'!$A$2:$A$2442,A46)&gt;0,"بله","خیر")</f>
        <v/>
      </c>
    </row>
    <row r="47" ht="15" customHeight="1" s="14">
      <c r="A47" s="24" t="n">
        <v>66</v>
      </c>
      <c r="B47" s="24" t="inlineStr">
        <is>
          <t>آمي‌تريپتيلين 100 ميلي قرص</t>
        </is>
      </c>
      <c r="C47" s="25">
        <f>IF(COUNTIF('کدهای پیام‌داروساز'!$A$2:$A$2442,A47)&gt;0,"بله","خیر")</f>
        <v/>
      </c>
    </row>
    <row r="48" ht="15" customHeight="1" s="14">
      <c r="A48" s="24" t="n">
        <v>68</v>
      </c>
      <c r="B48" s="24" t="inlineStr">
        <is>
          <t>آمي تريپتيلين   قرص خوراکي 25 mg - پارس دارو</t>
        </is>
      </c>
      <c r="C48" s="25">
        <f>IF(COUNTIF('کدهای پیام‌داروساز'!$A$2:$A$2442,A48)&gt;0,"بله","خیر")</f>
        <v/>
      </c>
    </row>
    <row r="49" ht="15" customHeight="1" s="14">
      <c r="A49" s="24" t="n">
        <v>69</v>
      </c>
      <c r="B49" s="24" t="inlineStr">
        <is>
          <t>آمي تريپتيلين   قرص خوراکي 50 mg - ايران دارو</t>
        </is>
      </c>
      <c r="C49" s="25">
        <f>IF(COUNTIF('کدهای پیام‌داروساز'!$A$2:$A$2442,A49)&gt;0,"بله","خیر")</f>
        <v/>
      </c>
    </row>
    <row r="50" ht="15" customHeight="1" s="14">
      <c r="A50" s="24" t="n">
        <v>70</v>
      </c>
      <c r="B50" s="24" t="inlineStr">
        <is>
          <t>قرص نورواسک 5 ميلي گرم</t>
        </is>
      </c>
      <c r="C50" s="25">
        <f>IF(COUNTIF('کدهای پیام‌داروساز'!$A$2:$A$2442,A50)&gt;0,"بله","خیر")</f>
        <v/>
      </c>
    </row>
    <row r="51" ht="15" customHeight="1" s="14">
      <c r="A51" s="24" t="n">
        <v>75</v>
      </c>
      <c r="B51" s="24" t="inlineStr">
        <is>
          <t>آفاموکس (آموکسي سيلين) 125 م گ / 5 م ل 100 م ل سوسپانسيون - آفاشيمي</t>
        </is>
      </c>
      <c r="C51" s="25">
        <f>IF(COUNTIF('کدهای پیام‌داروساز'!$A$2:$A$2442,A51)&gt;0,"بله","خیر")</f>
        <v/>
      </c>
    </row>
    <row r="52" ht="15" customHeight="1" s="14">
      <c r="A52" s="24" t="n">
        <v>76</v>
      </c>
      <c r="B52" s="24" t="inlineStr">
        <is>
          <t>آفاموکس (آموکسي سيلين) 250 م گ کپسول - آفاشيمي</t>
        </is>
      </c>
      <c r="C52" s="25">
        <f>IF(COUNTIF('کدهای پیام‌داروساز'!$A$2:$A$2442,A52)&gt;0,"بله","خیر")</f>
        <v/>
      </c>
    </row>
    <row r="53" ht="15" customHeight="1" s="14">
      <c r="A53" s="24" t="n">
        <v>77</v>
      </c>
      <c r="B53" s="24" t="inlineStr">
        <is>
          <t>آفاموکس 500(آموکسي سيلين) کپسول - آفاشيمي</t>
        </is>
      </c>
      <c r="C53" s="25">
        <f>IF(COUNTIF('کدهای پیام‌داروساز'!$A$2:$A$2442,A53)&gt;0,"بله","خیر")</f>
        <v/>
      </c>
    </row>
    <row r="54" ht="15" customHeight="1" s="14">
      <c r="A54" s="24" t="n">
        <v>78</v>
      </c>
      <c r="B54" s="24" t="inlineStr">
        <is>
          <t>آفاموکس 250(آموکسي سيلين)سوسپانسيون 100 ميلي ليتر - آفاشيمي</t>
        </is>
      </c>
      <c r="C54" s="25">
        <f>IF(COUNTIF('کدهای پیام‌داروساز'!$A$2:$A$2442,A54)&gt;0,"بله","خیر")</f>
        <v/>
      </c>
    </row>
    <row r="55" ht="15" customHeight="1" s="14">
      <c r="A55" s="24" t="n">
        <v>79</v>
      </c>
      <c r="B55" s="24" t="inlineStr">
        <is>
          <t>آمفوالس   پودر لئوفيليزه براي تهيه محلول تزريقي پرنترال 50 mg  mg - يارا طب خاورميانه</t>
        </is>
      </c>
      <c r="C55" s="25">
        <f>IF(COUNTIF('کدهای پیام‌داروساز'!$A$2:$A$2442,A55)&gt;0,"بله","خیر")</f>
        <v/>
      </c>
    </row>
    <row r="56" ht="15" customHeight="1" s="14">
      <c r="A56" s="24" t="n">
        <v>80</v>
      </c>
      <c r="B56" s="24" t="inlineStr">
        <is>
          <t>آمپي سيلين   پودر براي تهيه محلول تزريقي پرنترال 1 g  g</t>
        </is>
      </c>
      <c r="C56" s="25">
        <f>IF(COUNTIF('کدهای پیام‌داروساز'!$A$2:$A$2442,A56)&gt;0,"بله","خیر")</f>
        <v/>
      </c>
    </row>
    <row r="57" ht="15" customHeight="1" s="14">
      <c r="A57" s="24" t="n">
        <v>81</v>
      </c>
      <c r="B57" s="24" t="inlineStr">
        <is>
          <t>آمپي سيلين سديم 250 ميلي گرم پودر براي محلول تزريقي</t>
        </is>
      </c>
      <c r="C57" s="25">
        <f>IF(COUNTIF('کدهای پیام‌داروساز'!$A$2:$A$2442,A57)&gt;0,"بله","خیر")</f>
        <v/>
      </c>
    </row>
    <row r="58" ht="15" customHeight="1" s="14">
      <c r="A58" s="24" t="n">
        <v>82</v>
      </c>
      <c r="B58" s="24" t="inlineStr">
        <is>
          <t>آمپي سيلين   پودر براي تهيه محلول تزريقي پرنترال 500 mg  mg - پاليز فارمد سورنا</t>
        </is>
      </c>
      <c r="C58" s="25">
        <f>IF(COUNTIF('کدهای پیام‌داروساز'!$A$2:$A$2442,A58)&gt;0,"بله","خیر")</f>
        <v/>
      </c>
    </row>
    <row r="59" ht="15" customHeight="1" s="14">
      <c r="A59" s="24" t="n">
        <v>83</v>
      </c>
      <c r="B59" s="24" t="inlineStr">
        <is>
          <t>آفامپي   پودر براي تهيه سوسپانسيون   خوراکي 125 mg/5 mL 100 mL - آفا شيمي</t>
        </is>
      </c>
      <c r="C59" s="25">
        <f>IF(COUNTIF('کدهای پیام‌داروساز'!$A$2:$A$2442,A59)&gt;0,"بله","خیر")</f>
        <v/>
      </c>
    </row>
    <row r="60" ht="15" customHeight="1" s="14">
      <c r="A60" s="24" t="n">
        <v>84</v>
      </c>
      <c r="B60" s="24" t="inlineStr">
        <is>
          <t>آمپي سيلين   کپسول خوراکي 250 mg - دارو سازي فارابي</t>
        </is>
      </c>
      <c r="C60" s="25">
        <f>IF(COUNTIF('کدهای پیام‌داروساز'!$A$2:$A$2442,A60)&gt;0,"بله","خیر")</f>
        <v/>
      </c>
    </row>
    <row r="61" ht="15" customHeight="1" s="14">
      <c r="A61" s="24" t="n">
        <v>85</v>
      </c>
      <c r="B61" s="24" t="inlineStr">
        <is>
          <t>آمپي سيلين 500 ميلي گرم کپسول</t>
        </is>
      </c>
      <c r="C61" s="25">
        <f>IF(COUNTIF('کدهای پیام‌داروساز'!$A$2:$A$2442,A61)&gt;0,"بله","خیر")</f>
        <v/>
      </c>
    </row>
    <row r="62" ht="15" customHeight="1" s="14">
      <c r="A62" s="24" t="n">
        <v>86</v>
      </c>
      <c r="B62" s="24" t="inlineStr">
        <is>
          <t>آمپي سيلين 250سوسپانسيون 100 ميلي ليتر - فارابي</t>
        </is>
      </c>
      <c r="C62" s="25">
        <f>IF(COUNTIF('کدهای پیام‌داروساز'!$A$2:$A$2442,A62)&gt;0,"بله","خیر")</f>
        <v/>
      </c>
    </row>
    <row r="63" ht="15" customHeight="1" s="14">
      <c r="A63" s="24" t="n">
        <v>88</v>
      </c>
      <c r="B63" s="24" t="inlineStr">
        <is>
          <t>آنتوسيانوزيد آ   قرص خوراکي 100 mg/5 mg - مهردارو</t>
        </is>
      </c>
      <c r="C63" s="25">
        <f>IF(COUNTIF('کدهای پیام‌داروساز'!$A$2:$A$2442,A63)&gt;0,"بله","خیر")</f>
        <v/>
      </c>
    </row>
    <row r="64" ht="15" customHeight="1" s="14">
      <c r="A64" s="24" t="n">
        <v>91</v>
      </c>
      <c r="B64" s="24" t="inlineStr">
        <is>
          <t>آيمافيکس   پودر لئوفيليزه براي تهيه محلول تزريقي پرنترال 1000 [iU]  [iU] - بهستان دارو</t>
        </is>
      </c>
      <c r="C64" s="25">
        <f>IF(COUNTIF('کدهای پیام‌داروساز'!$A$2:$A$2442,A64)&gt;0,"بله","خیر")</f>
        <v/>
      </c>
    </row>
    <row r="65" ht="15" customHeight="1" s="14">
      <c r="A65" s="24" t="n">
        <v>93</v>
      </c>
      <c r="B65" s="24" t="inlineStr">
        <is>
          <t>آيمافيکس   پودر لئوفيليزه براي تهيه محلول تزريقي پرنترال 500 [iU]  [iU] - بهستان پلاسما</t>
        </is>
      </c>
      <c r="C65" s="25">
        <f>IF(COUNTIF('کدهای پیام‌داروساز'!$A$2:$A$2442,A65)&gt;0,"بله","خیر")</f>
        <v/>
      </c>
    </row>
    <row r="66" ht="15" customHeight="1" s="14">
      <c r="A66" s="24" t="n">
        <v>94</v>
      </c>
      <c r="B66" s="24" t="inlineStr">
        <is>
          <t>آريوسون   پودر لئوفيليزه براي تهيه محلول تزريقي پرنترال 2.4 mg  mg - آريوژن فارمد</t>
        </is>
      </c>
      <c r="C66" s="25">
        <f>IF(COUNTIF('کدهای پیام‌داروساز'!$A$2:$A$2442,A66)&gt;0,"بله","خیر")</f>
        <v/>
      </c>
    </row>
    <row r="67" ht="15" customHeight="1" s="14">
      <c r="A67" s="24" t="n">
        <v>95</v>
      </c>
      <c r="B67" s="24" t="inlineStr">
        <is>
          <t>آريوسون   پودر لئوفيليزه براي تهيه محلول تزريقي پرنترال 4.8 mg  mg - آريوژن فارمد</t>
        </is>
      </c>
      <c r="C67" s="25">
        <f>IF(COUNTIF('کدهای پیام‌داروساز'!$A$2:$A$2442,A67)&gt;0,"بله","خیر")</f>
        <v/>
      </c>
    </row>
    <row r="68" ht="15" customHeight="1" s="14">
      <c r="A68" s="24" t="n">
        <v>96</v>
      </c>
      <c r="B68" s="24" t="inlineStr">
        <is>
          <t>آفي رکتيل (آنتي هموروئيد) 15 گرم پماد مقعدي - آوندفر</t>
        </is>
      </c>
      <c r="C68" s="25">
        <f>IF(COUNTIF('کدهای پیام‌داروساز'!$A$2:$A$2442,A68)&gt;0,"بله","خیر")</f>
        <v/>
      </c>
    </row>
    <row r="69" ht="15" customHeight="1" s="14">
      <c r="A69" s="24" t="n">
        <v>97</v>
      </c>
      <c r="B69" s="24" t="inlineStr">
        <is>
          <t>آفي رکتيل (آنتي هموروئيد) شياف - آوندفر</t>
        </is>
      </c>
      <c r="C69" s="25">
        <f>IF(COUNTIF('کدهای پیام‌داروساز'!$A$2:$A$2442,A69)&gt;0,"بله","خیر")</f>
        <v/>
      </c>
    </row>
    <row r="70" ht="15" customHeight="1" s="14">
      <c r="A70" s="24" t="n">
        <v>98</v>
      </c>
      <c r="B70" s="24" t="inlineStr">
        <is>
          <t>آنتي هيستامين دکونژستات قرص - جالينوس</t>
        </is>
      </c>
      <c r="C70" s="25">
        <f>IF(COUNTIF('کدهای پیام‌داروساز'!$A$2:$A$2442,A70)&gt;0,"بله","خیر")</f>
        <v/>
      </c>
    </row>
    <row r="71" ht="15" customHeight="1" s="14">
      <c r="A71" s="24" t="n">
        <v>100</v>
      </c>
      <c r="B71" s="24" t="inlineStr">
        <is>
          <t>آتگام   تزريقي پرنترال 50 mg/1mL 5 mL - بهستان دارو</t>
        </is>
      </c>
      <c r="C71" s="25">
        <f>IF(COUNTIF('کدهای پیام‌داروساز'!$A$2:$A$2442,A71)&gt;0,"بله","خیر")</f>
        <v/>
      </c>
    </row>
    <row r="72" ht="15" customHeight="1" s="14">
      <c r="A72" s="24" t="n">
        <v>101</v>
      </c>
      <c r="B72" s="24" t="inlineStr">
        <is>
          <t>داسپتون   تزريقي پرنترال 10 mg/1mL 3 mg - کوبل دارو</t>
        </is>
      </c>
      <c r="C72" s="25">
        <f>IF(COUNTIF('کدهای پیام‌داروساز'!$A$2:$A$2442,A72)&gt;0,"بله","خیر")</f>
        <v/>
      </c>
    </row>
    <row r="73" ht="15" customHeight="1" s="14">
      <c r="A73" s="24" t="n">
        <v>105</v>
      </c>
      <c r="B73" s="24" t="inlineStr">
        <is>
          <t xml:space="preserve">تيرلوز (اشک مصنوعي) 10 م ل قطره چشمي - سينا دارو </t>
        </is>
      </c>
      <c r="C73" s="25">
        <f>IF(COUNTIF('کدهای پیام‌داروساز'!$A$2:$A$2442,A73)&gt;0,"بله","خیر")</f>
        <v/>
      </c>
    </row>
    <row r="74" ht="15" customHeight="1" s="14">
      <c r="A74" s="24" t="n">
        <v>106</v>
      </c>
      <c r="B74" s="24" t="inlineStr">
        <is>
          <t>آ اس آ   قرص جويدني خوراکي 100 mg</t>
        </is>
      </c>
      <c r="C74" s="25">
        <f>IF(COUNTIF('کدهای پیام‌داروساز'!$A$2:$A$2442,A74)&gt;0,"بله","خیر")</f>
        <v/>
      </c>
    </row>
    <row r="75" ht="15" customHeight="1" s="14">
      <c r="A75" s="24" t="n">
        <v>109</v>
      </c>
      <c r="B75" s="24" t="inlineStr">
        <is>
          <t>آ اس آ   قرص خوراکي 325 mg</t>
        </is>
      </c>
      <c r="C75" s="25">
        <f>IF(COUNTIF('کدهای پیام‌داروساز'!$A$2:$A$2442,A75)&gt;0,"بله","خیر")</f>
        <v/>
      </c>
    </row>
    <row r="76" ht="15" customHeight="1" s="14">
      <c r="A76" s="24" t="n">
        <v>112</v>
      </c>
      <c r="B76" s="24" t="inlineStr">
        <is>
          <t>آ اس آ   قرص خوراکي 500 mg - پارس دارو</t>
        </is>
      </c>
      <c r="C76" s="25">
        <f>IF(COUNTIF('کدهای پیام‌داروساز'!$A$2:$A$2442,A76)&gt;0,"بله","خیر")</f>
        <v/>
      </c>
    </row>
    <row r="77" ht="15" customHeight="1" s="14">
      <c r="A77" s="24" t="n">
        <v>113</v>
      </c>
      <c r="B77" s="24" t="inlineStr">
        <is>
          <t>آسپاراژيناز   پودر براي تهيه محلول تزريقي پرنترال 10000 [iU]  [iU] - تامين آوا سلامت</t>
        </is>
      </c>
      <c r="C77" s="25">
        <f>IF(COUNTIF('کدهای پیام‌داروساز'!$A$2:$A$2442,A77)&gt;0,"بله","خیر")</f>
        <v/>
      </c>
    </row>
    <row r="78" ht="15" customHeight="1" s="14">
      <c r="A78" s="24" t="n">
        <v>114</v>
      </c>
      <c r="B78" s="24" t="inlineStr">
        <is>
          <t>آتنولول   قرص خوراکي 100 mg</t>
        </is>
      </c>
      <c r="C78" s="25">
        <f>IF(COUNTIF('کدهای پیام‌داروساز'!$A$2:$A$2442,A78)&gt;0,"بله","خیر")</f>
        <v/>
      </c>
    </row>
    <row r="79" ht="15" customHeight="1" s="14">
      <c r="A79" s="24" t="n">
        <v>115</v>
      </c>
      <c r="B79" s="24" t="inlineStr">
        <is>
          <t>آتنولول   قرص خوراکي 50 mg</t>
        </is>
      </c>
      <c r="C79" s="25">
        <f>IF(COUNTIF('کدهای پیام‌داروساز'!$A$2:$A$2442,A79)&gt;0,"بله","خیر")</f>
        <v/>
      </c>
    </row>
    <row r="80" ht="15" customHeight="1" s="14">
      <c r="A80" s="24" t="n">
        <v>116</v>
      </c>
      <c r="B80" s="24" t="inlineStr">
        <is>
          <t>آتراکورال   تزريقي پرنترال 10 mg/1mL 2.5 mL - البرز دارو</t>
        </is>
      </c>
      <c r="C80" s="25">
        <f>IF(COUNTIF('کدهای پیام‌داروساز'!$A$2:$A$2442,A80)&gt;0,"بله","خیر")</f>
        <v/>
      </c>
    </row>
    <row r="81" ht="15" customHeight="1" s="14">
      <c r="A81" s="24" t="n">
        <v>117</v>
      </c>
      <c r="B81" s="24" t="inlineStr">
        <is>
          <t>آترافين   تزريقي پرنترال 10 mg/1mL 5 mL - کاوش گستر دارو</t>
        </is>
      </c>
      <c r="C81" s="25">
        <f>IF(COUNTIF('کدهای پیام‌داروساز'!$A$2:$A$2442,A81)&gt;0,"بله","خیر")</f>
        <v/>
      </c>
    </row>
    <row r="82" ht="15" customHeight="1" s="14">
      <c r="A82" s="24" t="n">
        <v>118</v>
      </c>
      <c r="B82" s="24" t="inlineStr">
        <is>
          <t>آترين   محلول، قطره چشمي 0.5 % 10 mL</t>
        </is>
      </c>
      <c r="C82" s="25">
        <f>IF(COUNTIF('کدهای پیام‌داروساز'!$A$2:$A$2442,A82)&gt;0,"بله","خیر")</f>
        <v/>
      </c>
    </row>
    <row r="83" ht="15" customHeight="1" s="14">
      <c r="A83" s="24" t="n">
        <v>119</v>
      </c>
      <c r="B83" s="24" t="inlineStr">
        <is>
          <t>آتروپين 0.5م گ / 1 م ل آمپول - البرز دارو</t>
        </is>
      </c>
      <c r="C83" s="25">
        <f>IF(COUNTIF('کدهای پیام‌داروساز'!$A$2:$A$2442,A83)&gt;0,"بله","خیر")</f>
        <v/>
      </c>
    </row>
    <row r="84" ht="15" customHeight="1" s="14">
      <c r="A84" s="24" t="n">
        <v>121</v>
      </c>
      <c r="B84" s="24" t="inlineStr">
        <is>
          <t>آترو   محلول، قطره چشمي 1 % 10 mL - سپنتا طب ديبا</t>
        </is>
      </c>
      <c r="C84" s="25">
        <f>IF(COUNTIF('کدهای پیام‌داروساز'!$A$2:$A$2442,A84)&gt;0,"بله","خیر")</f>
        <v/>
      </c>
    </row>
    <row r="85" ht="15" customHeight="1" s="14">
      <c r="A85" s="24" t="n">
        <v>122</v>
      </c>
      <c r="B85" s="24" t="inlineStr">
        <is>
          <t>آزاتيوپرين   قرص خوراکي 50 mg</t>
        </is>
      </c>
      <c r="C85" s="25">
        <f>IF(COUNTIF('کدهای پیام‌داروساز'!$A$2:$A$2442,A85)&gt;0,"بله","خیر")</f>
        <v/>
      </c>
    </row>
    <row r="86" ht="15" customHeight="1" s="14">
      <c r="A86" s="24" t="n">
        <v>123</v>
      </c>
      <c r="B86" s="24" t="inlineStr">
        <is>
          <t>زيمکسير 250(آزيترومايسين) قرص - اکسير</t>
        </is>
      </c>
      <c r="C86" s="25">
        <f>IF(COUNTIF('کدهای پیام‌داروساز'!$A$2:$A$2442,A86)&gt;0,"بله","خیر")</f>
        <v/>
      </c>
    </row>
    <row r="87" ht="15" customHeight="1" s="14">
      <c r="A87" s="24" t="n">
        <v>124</v>
      </c>
      <c r="B87" s="24" t="inlineStr">
        <is>
          <t>ب کمپلکس 60 م ل شربت - ايران دارو</t>
        </is>
      </c>
      <c r="C87" s="25">
        <f>IF(COUNTIF('کدهای پیام‌داروساز'!$A$2:$A$2442,A87)&gt;0,"بله","خیر")</f>
        <v/>
      </c>
    </row>
    <row r="88" ht="15" customHeight="1" s="14">
      <c r="A88" s="24" t="n">
        <v>125</v>
      </c>
      <c r="B88" s="24" t="inlineStr">
        <is>
          <t>اسوه-ويتامين ب کمپلکس   تزريقي پرنترال 5 mg/2 mg/2 mg/3 mg/20 mg/1mL 2 mL</t>
        </is>
      </c>
      <c r="C88" s="25">
        <f>IF(COUNTIF('کدهای پیام‌داروساز'!$A$2:$A$2442,A88)&gt;0,"بله","خیر")</f>
        <v/>
      </c>
    </row>
    <row r="89" ht="15" customHeight="1" s="14">
      <c r="A89" s="24" t="n">
        <v>129</v>
      </c>
      <c r="B89" s="24" t="inlineStr">
        <is>
          <t>باکلوفن   قرص خوراکي 10 mg - رامو فارمين</t>
        </is>
      </c>
      <c r="C89" s="25">
        <f>IF(COUNTIF('کدهای پیام‌داروساز'!$A$2:$A$2442,A89)&gt;0,"بله","خیر")</f>
        <v/>
      </c>
    </row>
    <row r="90" ht="15" customHeight="1" s="14">
      <c r="A90" s="24" t="n">
        <v>130</v>
      </c>
      <c r="B90" s="24" t="inlineStr">
        <is>
          <t>باکلوفن   قرص خوراکي 25 mg - رامو فارمين</t>
        </is>
      </c>
      <c r="C90" s="25">
        <f>IF(COUNTIF('کدهای پیام‌داروساز'!$A$2:$A$2442,A90)&gt;0,"بله","خیر")</f>
        <v/>
      </c>
    </row>
    <row r="91" ht="15" customHeight="1" s="14">
      <c r="A91" s="24" t="n">
        <v>133</v>
      </c>
      <c r="B91" s="24" t="inlineStr">
        <is>
          <t>بي زون   اينهالر استنشاقي 50 ug/1{dose} 200 {Puff} - بهسام آرا دارو</t>
        </is>
      </c>
      <c r="C91" s="25">
        <f>IF(COUNTIF('کدهای پیام‌داروساز'!$A$2:$A$2442,A91)&gt;0,"بله","خیر")</f>
        <v/>
      </c>
    </row>
    <row r="92" ht="15" customHeight="1" s="14">
      <c r="A92" s="24" t="n">
        <v>135</v>
      </c>
      <c r="B92" s="24" t="inlineStr">
        <is>
          <t>بلادونا پي بي   الگزير خوراکي 60 mL - لابراتوارهاي شهردارو</t>
        </is>
      </c>
      <c r="C92" s="25">
        <f>IF(COUNTIF('کدهای پیام‌داروساز'!$A$2:$A$2442,A92)&gt;0,"بله","خیر")</f>
        <v/>
      </c>
    </row>
    <row r="93" ht="15" customHeight="1" s="14">
      <c r="A93" s="24" t="n">
        <v>136</v>
      </c>
      <c r="B93" s="24" t="inlineStr">
        <is>
          <t>بلادونا پي بي قرص - الحاوي</t>
        </is>
      </c>
      <c r="C93" s="25">
        <f>IF(COUNTIF('کدهای پیام‌داروساز'!$A$2:$A$2442,A93)&gt;0,"بله","خیر")</f>
        <v/>
      </c>
    </row>
    <row r="94" ht="15" customHeight="1" s="14">
      <c r="A94" s="24" t="n">
        <v>137</v>
      </c>
      <c r="B94" s="24" t="inlineStr">
        <is>
          <t>پنوکسايد (بنزوئيل پراکسايد )10% گرم ژل موضعي</t>
        </is>
      </c>
      <c r="C94" s="25">
        <f>IF(COUNTIF('کدهای پیام‌داروساز'!$A$2:$A$2442,A94)&gt;0,"بله","خیر")</f>
        <v/>
      </c>
    </row>
    <row r="95" ht="15" customHeight="1" s="14">
      <c r="A95" s="24" t="n">
        <v>139</v>
      </c>
      <c r="B95" s="24" t="inlineStr">
        <is>
          <t>پنوکسايد(بنزوئيل پراکسايد) 5 % 30 گرم ژل موضعي</t>
        </is>
      </c>
      <c r="C95" s="25">
        <f>IF(COUNTIF('کدهای پیام‌داروساز'!$A$2:$A$2442,A95)&gt;0,"بله","خیر")</f>
        <v/>
      </c>
    </row>
    <row r="96" ht="15" customHeight="1" s="14">
      <c r="A96" s="24" t="n">
        <v>148</v>
      </c>
      <c r="B96" s="24" t="inlineStr">
        <is>
          <t>آفاسرک   قرص خوراکي 8 mg - آفا شيمي</t>
        </is>
      </c>
      <c r="C96" s="25">
        <f>IF(COUNTIF('کدهای پیام‌داروساز'!$A$2:$A$2442,A96)&gt;0,"بله","خیر")</f>
        <v/>
      </c>
    </row>
    <row r="97" ht="15" customHeight="1" s="14">
      <c r="A97" s="24" t="n">
        <v>149</v>
      </c>
      <c r="B97" s="24" t="inlineStr">
        <is>
          <t>بتامتازون 4 م گ / 1 م ل آمپول - ابوريحان</t>
        </is>
      </c>
      <c r="C97" s="25">
        <f>IF(COUNTIF('کدهای پیام‌داروساز'!$A$2:$A$2442,A97)&gt;0,"بله","خیر")</f>
        <v/>
      </c>
    </row>
    <row r="98" ht="15" customHeight="1" s="14">
      <c r="A98" s="24" t="n">
        <v>150</v>
      </c>
      <c r="B98" s="24" t="inlineStr">
        <is>
          <t>بتامتازون 0.5 قرص - ايران هورمون</t>
        </is>
      </c>
      <c r="C98" s="25">
        <f>IF(COUNTIF('کدهای پیام‌داروساز'!$A$2:$A$2442,A98)&gt;0,"بله","خیر")</f>
        <v/>
      </c>
    </row>
    <row r="99" ht="15" customHeight="1" s="14">
      <c r="A99" s="24" t="n">
        <v>151</v>
      </c>
      <c r="B99" s="24" t="inlineStr">
        <is>
          <t>بتازونيت   پماد چشمي 0.1 % 3 g - لابراتوارهاي سينا دارو</t>
        </is>
      </c>
      <c r="C99" s="25">
        <f>IF(COUNTIF('کدهای پیام‌داروساز'!$A$2:$A$2442,A99)&gt;0,"بله","خیر")</f>
        <v/>
      </c>
    </row>
    <row r="100" ht="15" customHeight="1" s="14">
      <c r="A100" s="24" t="n">
        <v>152</v>
      </c>
      <c r="B100" s="24" t="inlineStr">
        <is>
          <t>امزيتا   محلول، قطره چشمي 0.1 % 5 mL - نوآوري زيستي گويا</t>
        </is>
      </c>
      <c r="C100" s="25">
        <f>IF(COUNTIF('کدهای پیام‌داروساز'!$A$2:$A$2442,A100)&gt;0,"بله","خیر")</f>
        <v/>
      </c>
    </row>
    <row r="101" ht="15" customHeight="1" s="14">
      <c r="A101" s="24" t="n">
        <v>153</v>
      </c>
      <c r="B101" s="24" t="inlineStr">
        <is>
          <t>بتازون ال .آ ( بتامتازون ال .آ) آمپول خارجي (هندي)</t>
        </is>
      </c>
      <c r="C101" s="25">
        <f>IF(COUNTIF('کدهای پیام‌داروساز'!$A$2:$A$2442,A101)&gt;0,"بله","خیر")</f>
        <v/>
      </c>
    </row>
    <row r="102" ht="15" customHeight="1" s="14">
      <c r="A102" s="24" t="n">
        <v>159</v>
      </c>
      <c r="B102" s="24" t="inlineStr">
        <is>
          <t>آفي بتازون 0.1% (بتامتازون) لوسيون موضعي - آوندفر</t>
        </is>
      </c>
      <c r="C102" s="25">
        <f>IF(COUNTIF('کدهای پیام‌داروساز'!$A$2:$A$2442,A102)&gt;0,"بله","خیر")</f>
        <v/>
      </c>
    </row>
    <row r="103" ht="15" customHeight="1" s="14">
      <c r="A103" s="24" t="n">
        <v>160</v>
      </c>
      <c r="B103" s="24" t="inlineStr">
        <is>
          <t>بتاژيل   پماد موضعي 0.1 % 15 g - گيلارانکو</t>
        </is>
      </c>
      <c r="C103" s="25">
        <f>IF(COUNTIF('کدهای پیام‌داروساز'!$A$2:$A$2442,A103)&gt;0,"بله","خیر")</f>
        <v/>
      </c>
    </row>
    <row r="104" ht="15" customHeight="1" s="14">
      <c r="A104" s="24" t="n">
        <v>161</v>
      </c>
      <c r="B104" s="24" t="inlineStr">
        <is>
          <t>بتامتازون   کرم موضعي 0.1 % 15 g</t>
        </is>
      </c>
      <c r="C104" s="25">
        <f>IF(COUNTIF('کدهای پیام‌داروساز'!$A$2:$A$2442,A104)&gt;0,"بله","خیر")</f>
        <v/>
      </c>
    </row>
    <row r="105" ht="15" customHeight="1" s="14">
      <c r="A105" s="24" t="n">
        <v>162</v>
      </c>
      <c r="B105" s="24" t="inlineStr">
        <is>
          <t>بتانکول   قرص خوراکي 10 mg</t>
        </is>
      </c>
      <c r="C105" s="25">
        <f>IF(COUNTIF('کدهای پیام‌داروساز'!$A$2:$A$2442,A105)&gt;0,"بله","خیر")</f>
        <v/>
      </c>
    </row>
    <row r="106" ht="15" customHeight="1" s="14">
      <c r="A106" s="24" t="n">
        <v>163</v>
      </c>
      <c r="B106" s="24" t="inlineStr">
        <is>
          <t>بتاکسول (بتاکسولول) 5/. درصد 10 م ل قطره چشمي - سينادارو</t>
        </is>
      </c>
      <c r="C106" s="25">
        <f>IF(COUNTIF('کدهای پیام‌داروساز'!$A$2:$A$2442,A106)&gt;0,"بله","خیر")</f>
        <v/>
      </c>
    </row>
    <row r="107" ht="15" customHeight="1" s="14">
      <c r="A107" s="24" t="n">
        <v>164</v>
      </c>
      <c r="B107" s="24" t="inlineStr">
        <is>
          <t>بي پرام   قرص خوراکي 2 mg - رامو فارمين</t>
        </is>
      </c>
      <c r="C107" s="25">
        <f>IF(COUNTIF('کدهای پیام‌داروساز'!$A$2:$A$2442,A107)&gt;0,"بله","خیر")</f>
        <v/>
      </c>
    </row>
    <row r="108" ht="15" customHeight="1" s="14">
      <c r="A108" s="24" t="n">
        <v>165</v>
      </c>
      <c r="B108" s="24" t="inlineStr">
        <is>
          <t>آکينيديک   تزريقي پرنترال 5 mg/1mL  mL</t>
        </is>
      </c>
      <c r="C108" s="25">
        <f>IF(COUNTIF('کدهای پیام‌داروساز'!$A$2:$A$2442,A108)&gt;0,"بله","خیر")</f>
        <v/>
      </c>
    </row>
    <row r="109" ht="15" customHeight="1" s="14">
      <c r="A109" s="24" t="n">
        <v>166</v>
      </c>
      <c r="B109" s="24" t="inlineStr">
        <is>
          <t>بيزاکس   شياف مقعدي 10 mg</t>
        </is>
      </c>
      <c r="C109" s="25">
        <f>IF(COUNTIF('کدهای پیام‌داروساز'!$A$2:$A$2442,A109)&gt;0,"بله","خیر")</f>
        <v/>
      </c>
    </row>
    <row r="110" ht="15" customHeight="1" s="14">
      <c r="A110" s="24" t="n">
        <v>167</v>
      </c>
      <c r="B110" s="24" t="inlineStr">
        <is>
          <t>بيزاکوديل   قرص انتريک کوتد خوراکي 5 mg - پور سينا</t>
        </is>
      </c>
      <c r="C110" s="25">
        <f>IF(COUNTIF('کدهای پیام‌داروساز'!$A$2:$A$2442,A110)&gt;0,"بله","خیر")</f>
        <v/>
      </c>
    </row>
    <row r="111" ht="15" customHeight="1" s="14">
      <c r="A111" s="24" t="n">
        <v>168</v>
      </c>
      <c r="B111" s="24" t="inlineStr">
        <is>
          <t>بيزاکوديل   شياف مقعدي 5 mg - داروسازي توليد دارو</t>
        </is>
      </c>
      <c r="C111" s="25">
        <f>IF(COUNTIF('کدهای پیام‌داروساز'!$A$2:$A$2442,A111)&gt;0,"بله","خیر")</f>
        <v/>
      </c>
    </row>
    <row r="112" ht="15" customHeight="1" s="14">
      <c r="A112" s="24" t="n">
        <v>169</v>
      </c>
      <c r="B112" s="24" t="inlineStr">
        <is>
          <t>بيسمانتين   قرص خوراکي 120 mg - اهران تجارت</t>
        </is>
      </c>
      <c r="C112" s="25">
        <f>IF(COUNTIF('کدهای پیام‌داروساز'!$A$2:$A$2442,A112)&gt;0,"بله","خیر")</f>
        <v/>
      </c>
    </row>
    <row r="113" ht="15" customHeight="1" s="14">
      <c r="A113" s="24" t="n">
        <v>170</v>
      </c>
      <c r="B113" s="24" t="inlineStr">
        <is>
          <t>بلئوسل   پودر براي تهيه محلول تزريقي پرنترال 15 [iU]  [iU] - منير طب بصير</t>
        </is>
      </c>
      <c r="C113" s="25">
        <f>IF(COUNTIF('کدهای پیام‌داروساز'!$A$2:$A$2442,A113)&gt;0,"بله","خیر")</f>
        <v/>
      </c>
    </row>
    <row r="114" ht="15" customHeight="1" s="14">
      <c r="A114" s="24" t="n">
        <v>176</v>
      </c>
      <c r="B114" s="24" t="inlineStr">
        <is>
          <t>آمپول بيزول مد ® 2 ميلي گرم /ميلي ليتر   تزريقي پرنترال 2 mg/1mL 2</t>
        </is>
      </c>
      <c r="C114" s="25">
        <f>IF(COUNTIF('کدهای پیام‌داروساز'!$A$2:$A$2442,A114)&gt;0,"بله","خیر")</f>
        <v/>
      </c>
    </row>
    <row r="115" ht="15" customHeight="1" s="14">
      <c r="A115" s="24" t="n">
        <v>177</v>
      </c>
      <c r="B115" s="24" t="inlineStr">
        <is>
          <t>برم هگزوبکس   محلول خوراکي 4 mg/5mL 60 mL - داروسازي بهستان</t>
        </is>
      </c>
      <c r="C115" s="25">
        <f>IF(COUNTIF('کدهای پیام‌داروساز'!$A$2:$A$2442,A115)&gt;0,"بله","خیر")</f>
        <v/>
      </c>
    </row>
    <row r="116" ht="15" customHeight="1" s="14">
      <c r="A116" s="24" t="n">
        <v>178</v>
      </c>
      <c r="B116" s="24" t="inlineStr">
        <is>
          <t>برم هگزين   قرص خوراکي 8 mg - داروسازي آني درمان</t>
        </is>
      </c>
      <c r="C116" s="25">
        <f>IF(COUNTIF('کدهای پیام‌داروساز'!$A$2:$A$2442,A116)&gt;0,"بله","خیر")</f>
        <v/>
      </c>
    </row>
    <row r="117" ht="15" customHeight="1" s="14">
      <c r="A117" s="24" t="n">
        <v>179</v>
      </c>
      <c r="B117" s="24" t="inlineStr">
        <is>
          <t>بروموزيت-آي اچ   قرص خوراکي 2.5 mg - ايران هورمون</t>
        </is>
      </c>
      <c r="C117" s="25">
        <f>IF(COUNTIF('کدهای پیام‌داروساز'!$A$2:$A$2442,A117)&gt;0,"بله","خیر")</f>
        <v/>
      </c>
    </row>
    <row r="118" ht="15" customHeight="1" s="14">
      <c r="A118" s="24" t="n">
        <v>183</v>
      </c>
      <c r="B118" s="24" t="inlineStr">
        <is>
          <t>پماد سوختگي 30 گرم - توليدارو</t>
        </is>
      </c>
      <c r="C118" s="25">
        <f>IF(COUNTIF('کدهای پیام‌داروساز'!$A$2:$A$2442,A118)&gt;0,"بله","خیر")</f>
        <v/>
      </c>
    </row>
    <row r="119" ht="15" customHeight="1" s="14">
      <c r="A119" s="24" t="n">
        <v>185</v>
      </c>
      <c r="B119" s="24" t="inlineStr">
        <is>
          <t>سينافکت (بوسرلين استات) 5.5ميلي گرم / 5.5 ميلي ليتر تزريقي سيناژن</t>
        </is>
      </c>
      <c r="C119" s="25">
        <f>IF(COUNTIF('کدهای پیام‌داروساز'!$A$2:$A$2442,A119)&gt;0,"بله","خیر")</f>
        <v/>
      </c>
    </row>
    <row r="120" ht="15" customHeight="1" s="14">
      <c r="A120" s="24" t="n">
        <v>186</v>
      </c>
      <c r="B120" s="24" t="inlineStr">
        <is>
          <t>بوسلون   قرص خوراکي 2 mg - رايان دارو ايرانيان</t>
        </is>
      </c>
      <c r="C120" s="25">
        <f>IF(COUNTIF('کدهای پیام‌داروساز'!$A$2:$A$2442,A120)&gt;0,"بله","خیر")</f>
        <v/>
      </c>
    </row>
    <row r="121" ht="15" customHeight="1" s="14">
      <c r="A121" s="24" t="n">
        <v>187</v>
      </c>
      <c r="B121" s="24" t="inlineStr">
        <is>
          <t>سي-لاکس قرص-دينه (قوطي)</t>
        </is>
      </c>
      <c r="C121" s="25">
        <f>IF(COUNTIF('کدهای پیام‌داروساز'!$A$2:$A$2442,A121)&gt;0,"بله","خیر")</f>
        <v/>
      </c>
    </row>
    <row r="122" ht="15" customHeight="1" s="14">
      <c r="A122" s="24" t="n">
        <v>190</v>
      </c>
      <c r="B122" s="24" t="inlineStr">
        <is>
          <t>کالامين   کرم موضعي 8 % 30 g - داروئي و بهداشتي لقمان</t>
        </is>
      </c>
      <c r="C122" s="25">
        <f>IF(COUNTIF('کدهای پیام‌داروساز'!$A$2:$A$2442,A122)&gt;0,"بله","خیر")</f>
        <v/>
      </c>
    </row>
    <row r="123" ht="15" customHeight="1" s="14">
      <c r="A123" s="24" t="n">
        <v>192</v>
      </c>
      <c r="B123" s="24" t="inlineStr">
        <is>
          <t>دايونکس (کلسي پوتريول) پماد موضعي 30گرم - LEO PHARMA A/S</t>
        </is>
      </c>
      <c r="C123" s="25">
        <f>IF(COUNTIF('کدهای پیام‌داروساز'!$A$2:$A$2442,A123)&gt;0,"بله","خیر")</f>
        <v/>
      </c>
    </row>
    <row r="124" ht="15" customHeight="1" s="14">
      <c r="A124" s="24" t="n">
        <v>194</v>
      </c>
      <c r="B124" s="24" t="inlineStr">
        <is>
          <t>ايپاکلسين   تزريقي پرنترال 50 [iU]/1mL  mL</t>
        </is>
      </c>
      <c r="C124" s="25">
        <f>IF(COUNTIF('کدهای پیام‌داروساز'!$A$2:$A$2442,A124)&gt;0,"بله","خیر")</f>
        <v/>
      </c>
    </row>
    <row r="125" ht="15" customHeight="1" s="14">
      <c r="A125" s="24" t="n">
        <v>195</v>
      </c>
      <c r="B125" s="24" t="inlineStr">
        <is>
          <t>اف دي تي کلسيتوژل   کپسول حاوي مايع خوراکي 0.25 ug - فرنوش داروطب</t>
        </is>
      </c>
      <c r="C125" s="25">
        <f>IF(COUNTIF('کدهای پیام‌داروساز'!$A$2:$A$2442,A125)&gt;0,"بله","خیر")</f>
        <v/>
      </c>
    </row>
    <row r="126" ht="15" customHeight="1" s="14">
      <c r="A126" s="24" t="n">
        <v>197</v>
      </c>
      <c r="B126" s="24" t="inlineStr">
        <is>
          <t>کلسيم سيترات قرص - آپوويتال</t>
        </is>
      </c>
      <c r="C126" s="25">
        <f>IF(COUNTIF('کدهای پیام‌داروساز'!$A$2:$A$2442,A126)&gt;0,"بله","خیر")</f>
        <v/>
      </c>
    </row>
    <row r="127" ht="15" customHeight="1" s="14">
      <c r="A127" s="24" t="n">
        <v>199</v>
      </c>
      <c r="B127" s="24" t="inlineStr">
        <is>
          <t>کلسيم فورت 500 م گ جوشان - مينو</t>
        </is>
      </c>
      <c r="C127" s="25">
        <f>IF(COUNTIF('کدهای پیام‌داروساز'!$A$2:$A$2442,A127)&gt;0,"بله","خیر")</f>
        <v/>
      </c>
    </row>
    <row r="128" ht="15" customHeight="1" s="14">
      <c r="A128" s="24" t="n">
        <v>200</v>
      </c>
      <c r="B128" s="24" t="inlineStr">
        <is>
          <t>کلسيلس   تزريقي پرنترال 10 % 10 mL - درمان ياب آنا</t>
        </is>
      </c>
      <c r="C128" s="25">
        <f>IF(COUNTIF('کدهای پیام‌داروساز'!$A$2:$A$2442,A128)&gt;0,"بله","خیر")</f>
        <v/>
      </c>
    </row>
    <row r="129" ht="15" customHeight="1" s="14">
      <c r="A129" s="24" t="n">
        <v>201</v>
      </c>
      <c r="B129" s="24" t="inlineStr">
        <is>
          <t>کلسيم پانتوتنات   قرص خوراکي 100 mg - مهردارو</t>
        </is>
      </c>
      <c r="C129" s="25">
        <f>IF(COUNTIF('کدهای پیام‌داروساز'!$A$2:$A$2442,A129)&gt;0,"بله","خیر")</f>
        <v/>
      </c>
    </row>
    <row r="130" ht="15" customHeight="1" s="14">
      <c r="A130" s="24" t="n">
        <v>202</v>
      </c>
      <c r="B130" s="24" t="inlineStr">
        <is>
          <t xml:space="preserve"> کالاندولا کرم موضعي 15 گرم -  دينه</t>
        </is>
      </c>
      <c r="C130" s="25">
        <f>IF(COUNTIF('کدهای پیام‌داروساز'!$A$2:$A$2442,A130)&gt;0,"بله","خیر")</f>
        <v/>
      </c>
    </row>
    <row r="131" ht="15" customHeight="1" s="14">
      <c r="A131" s="24" t="n">
        <v>205</v>
      </c>
      <c r="B131" s="24" t="inlineStr">
        <is>
          <t>کاپتوپريل   قرص خوراکي 25 mg - دارو سازي تهران دارو</t>
        </is>
      </c>
      <c r="C131" s="25">
        <f>IF(COUNTIF('کدهای پیام‌داروساز'!$A$2:$A$2442,A131)&gt;0,"بله","خیر")</f>
        <v/>
      </c>
    </row>
    <row r="132" ht="15" customHeight="1" s="14">
      <c r="A132" s="24" t="n">
        <v>206</v>
      </c>
      <c r="B132" s="24" t="inlineStr">
        <is>
          <t>کاپتوپريل   قرص خوراکي 50 mg - دارو سازي تهران دارو</t>
        </is>
      </c>
      <c r="C132" s="25">
        <f>IF(COUNTIF('کدهای پیام‌داروساز'!$A$2:$A$2442,A132)&gt;0,"بله","خیر")</f>
        <v/>
      </c>
    </row>
    <row r="133" ht="15" customHeight="1" s="14">
      <c r="A133" s="24" t="n">
        <v>208</v>
      </c>
      <c r="B133" s="24" t="inlineStr">
        <is>
          <t>تگربان   قرص خوراکي 200 mg - مهبان دارو</t>
        </is>
      </c>
      <c r="C133" s="25">
        <f>IF(COUNTIF('کدهای پیام‌داروساز'!$A$2:$A$2442,A133)&gt;0,"بله","خیر")</f>
        <v/>
      </c>
    </row>
    <row r="134" ht="15" customHeight="1" s="14">
      <c r="A134" s="24" t="n">
        <v>214</v>
      </c>
      <c r="B134" s="24" t="inlineStr">
        <is>
          <t>ابکاربو   محلول غليظ تزريقي داخل وريدي 10 mg/1mL 15 mg - کاوش گستر دارو</t>
        </is>
      </c>
      <c r="C134" s="25">
        <f>IF(COUNTIF('کدهای پیام‌داروساز'!$A$2:$A$2442,A134)&gt;0,"بله","خیر")</f>
        <v/>
      </c>
    </row>
    <row r="135" ht="15" customHeight="1" s="14">
      <c r="A135" s="24" t="n">
        <v>215</v>
      </c>
      <c r="B135" s="24" t="inlineStr">
        <is>
          <t>ابکاربو   محلول غليظ تزريقي داخل وريدي 10 mg/1mL 5 mg - کاوش گستر دارو</t>
        </is>
      </c>
      <c r="C135" s="25">
        <f>IF(COUNTIF('کدهای پیام‌داروساز'!$A$2:$A$2442,A135)&gt;0,"بله","خیر")</f>
        <v/>
      </c>
    </row>
    <row r="136" ht="15" customHeight="1" s="14">
      <c r="A136" s="24" t="n">
        <v>219</v>
      </c>
      <c r="B136" s="24" t="inlineStr">
        <is>
          <t>بيکنو   پودر براي تهيه محلول تزريقي پرنترال 100 mg  mg - بازرگاني سها کيش</t>
        </is>
      </c>
      <c r="C136" s="25">
        <f>IF(COUNTIF('کدهای پیام‌داروساز'!$A$2:$A$2442,A136)&gt;0,"بله","خیر")</f>
        <v/>
      </c>
    </row>
    <row r="137" ht="15" customHeight="1" s="14">
      <c r="A137" s="24" t="n">
        <v>220</v>
      </c>
      <c r="B137" s="24" t="inlineStr">
        <is>
          <t>آوي کارنيتين   قرص خوراکي 250 mg - داروسازي آوه سينا</t>
        </is>
      </c>
      <c r="C137" s="25">
        <f>IF(COUNTIF('کدهای پیام‌داروساز'!$A$2:$A$2442,A137)&gt;0,"بله","خیر")</f>
        <v/>
      </c>
    </row>
    <row r="138" ht="15" customHeight="1" s="14">
      <c r="A138" s="24" t="n">
        <v>222</v>
      </c>
      <c r="B138" s="24" t="inlineStr">
        <is>
          <t>آفازول (سفازولين) 1 م گ ويال - آفاشيمي</t>
        </is>
      </c>
      <c r="C138" s="25">
        <f>IF(COUNTIF('کدهای پیام‌داروساز'!$A$2:$A$2442,A138)&gt;0,"بله","خیر")</f>
        <v/>
      </c>
    </row>
    <row r="139" ht="15" customHeight="1" s="14">
      <c r="A139" s="24" t="n">
        <v>223</v>
      </c>
      <c r="B139" s="24" t="inlineStr">
        <is>
          <t>سفازولين 250 ميلي گرم پودر برايمحلول تزريقي</t>
        </is>
      </c>
      <c r="C139" s="25">
        <f>IF(COUNTIF('کدهای پیام‌داروساز'!$A$2:$A$2442,A139)&gt;0,"بله","خیر")</f>
        <v/>
      </c>
    </row>
    <row r="140" ht="15" customHeight="1" s="14">
      <c r="A140" s="24" t="n">
        <v>224</v>
      </c>
      <c r="B140" s="24" t="inlineStr">
        <is>
          <t>آفازول   پودر براي تهيه محلول تزريقي پرنترال 500 mg  mg - آفا شيمي</t>
        </is>
      </c>
      <c r="C140" s="25">
        <f>IF(COUNTIF('کدهای پیام‌داروساز'!$A$2:$A$2442,A140)&gt;0,"بله","خیر")</f>
        <v/>
      </c>
    </row>
    <row r="141" ht="15" customHeight="1" s="14">
      <c r="A141" s="24" t="n">
        <v>226</v>
      </c>
      <c r="B141" s="24" t="inlineStr">
        <is>
          <t>آفاکسيم 200 (سفيکسيم) قرص - آفاشيمي</t>
        </is>
      </c>
      <c r="C141" s="25">
        <f>IF(COUNTIF('کدهای پیام‌داروساز'!$A$2:$A$2442,A141)&gt;0,"بله","خیر")</f>
        <v/>
      </c>
    </row>
    <row r="142" ht="15" customHeight="1" s="14">
      <c r="A142" s="24" t="n">
        <v>227</v>
      </c>
      <c r="B142" s="24" t="inlineStr">
        <is>
          <t>سفيکسان (سفيکسيم) 400 م گ کپسول - جابر</t>
        </is>
      </c>
      <c r="C142" s="25">
        <f>IF(COUNTIF('کدهای پیام‌داروساز'!$A$2:$A$2442,A142)&gt;0,"بله","خیر")</f>
        <v/>
      </c>
    </row>
    <row r="143" ht="15" customHeight="1" s="14">
      <c r="A143" s="24" t="n">
        <v>228</v>
      </c>
      <c r="B143" s="24" t="inlineStr">
        <is>
          <t>اي- سف   پودر براي تهيه سوسپانسيون   خوراکي 50 mg/5 mL 30 mg - بازرگاني سها کيش</t>
        </is>
      </c>
      <c r="C143" s="25">
        <f>IF(COUNTIF('کدهای پیام‌داروساز'!$A$2:$A$2442,A143)&gt;0,"بله","خیر")</f>
        <v/>
      </c>
    </row>
    <row r="144" ht="15" customHeight="1" s="14">
      <c r="A144" s="24" t="n">
        <v>229</v>
      </c>
      <c r="B144" s="24" t="inlineStr">
        <is>
          <t>سفوتاکس   پودر براي تهيه محلول تزريقي پرنترال 500 mg  mg - داروسازي جابرابن حيان</t>
        </is>
      </c>
      <c r="C144" s="25">
        <f>IF(COUNTIF('کدهای پیام‌داروساز'!$A$2:$A$2442,A144)&gt;0,"بله","خیر")</f>
        <v/>
      </c>
    </row>
    <row r="145" ht="15" customHeight="1" s="14">
      <c r="A145" s="24" t="n">
        <v>230</v>
      </c>
      <c r="B145" s="24" t="inlineStr">
        <is>
          <t>ويال سفتازيديم1 گرم</t>
        </is>
      </c>
      <c r="C145" s="25">
        <f>IF(COUNTIF('کدهای پیام‌داروساز'!$A$2:$A$2442,A145)&gt;0,"بله","خیر")</f>
        <v/>
      </c>
    </row>
    <row r="146" ht="15" customHeight="1" s="14">
      <c r="A146" s="24" t="n">
        <v>231</v>
      </c>
      <c r="B146" s="24" t="inlineStr">
        <is>
          <t xml:space="preserve">ويال سفتازيديم 2 گرم </t>
        </is>
      </c>
      <c r="C146" s="25">
        <f>IF(COUNTIF('کدهای پیام‌داروساز'!$A$2:$A$2442,A146)&gt;0,"بله","خیر")</f>
        <v/>
      </c>
    </row>
    <row r="147" ht="15" customHeight="1" s="14">
      <c r="A147" s="24" t="n">
        <v>232</v>
      </c>
      <c r="B147" s="24" t="inlineStr">
        <is>
          <t>سفتازيديم پنتاهيدرات 500 ميليگرم پودر براي محلول تزريقي</t>
        </is>
      </c>
      <c r="C147" s="25">
        <f>IF(COUNTIF('کدهای پیام‌داروساز'!$A$2:$A$2442,A147)&gt;0,"بله","خیر")</f>
        <v/>
      </c>
    </row>
    <row r="148" ht="15" customHeight="1" s="14">
      <c r="A148" s="24" t="n">
        <v>233</v>
      </c>
      <c r="B148" s="24" t="inlineStr">
        <is>
          <t>سفتي زوکسيم 1 گرم ويال</t>
        </is>
      </c>
      <c r="C148" s="25">
        <f>IF(COUNTIF('کدهای پیام‌داروساز'!$A$2:$A$2442,A148)&gt;0,"بله","خیر")</f>
        <v/>
      </c>
    </row>
    <row r="149" ht="15" customHeight="1" s="14">
      <c r="A149" s="24" t="n">
        <v>234</v>
      </c>
      <c r="B149" s="24" t="inlineStr">
        <is>
          <t>ويال سفتي زوکسيم500 ميلي گرم</t>
        </is>
      </c>
      <c r="C149" s="25">
        <f>IF(COUNTIF('کدهای پیام‌داروساز'!$A$2:$A$2442,A149)&gt;0,"بله","خیر")</f>
        <v/>
      </c>
    </row>
    <row r="150" ht="15" customHeight="1" s="14">
      <c r="A150" s="24" t="n">
        <v>237</v>
      </c>
      <c r="B150" s="24" t="inlineStr">
        <is>
          <t>آفاکسون   پودر براي تهيه محلول تزريقي پرنترال 1 g  g</t>
        </is>
      </c>
      <c r="C150" s="25">
        <f>IF(COUNTIF('کدهای پیام‌داروساز'!$A$2:$A$2442,A150)&gt;0,"بله","خیر")</f>
        <v/>
      </c>
    </row>
    <row r="151" ht="15" customHeight="1" s="14">
      <c r="A151" s="24" t="n">
        <v>238</v>
      </c>
      <c r="B151" s="24" t="inlineStr">
        <is>
          <t>سفتريانا   پودر براي تهيه محلول تزريقي پرنترال 250 mg  mg - داروسازي دانا</t>
        </is>
      </c>
      <c r="C151" s="25">
        <f>IF(COUNTIF('کدهای پیام‌داروساز'!$A$2:$A$2442,A151)&gt;0,"بله","خیر")</f>
        <v/>
      </c>
    </row>
    <row r="152" ht="15" customHeight="1" s="14">
      <c r="A152" s="24" t="n">
        <v>239</v>
      </c>
      <c r="B152" s="24" t="inlineStr">
        <is>
          <t>آفاکسون   پودر براي تهيه محلول تزريقي پرنترال 500 mg  mg</t>
        </is>
      </c>
      <c r="C152" s="25">
        <f>IF(COUNTIF('کدهای پیام‌داروساز'!$A$2:$A$2442,A152)&gt;0,"بله","خیر")</f>
        <v/>
      </c>
    </row>
    <row r="153" ht="15" customHeight="1" s="14">
      <c r="A153" s="24" t="n">
        <v>242</v>
      </c>
      <c r="B153" s="24" t="inlineStr">
        <is>
          <t>آفالکس   پودر براي تهيه سوسپانسيون   خوراکي 125 mg/5mL 100 mg - آفا شيمي</t>
        </is>
      </c>
      <c r="C153" s="25">
        <f>IF(COUNTIF('کدهای پیام‌داروساز'!$A$2:$A$2442,A153)&gt;0,"بله","خیر")</f>
        <v/>
      </c>
    </row>
    <row r="154" ht="15" customHeight="1" s="14">
      <c r="A154" s="24" t="n">
        <v>243</v>
      </c>
      <c r="B154" s="24" t="inlineStr">
        <is>
          <t>آفالکس   کپسول خوراکي 250 mg - آفا شيمي</t>
        </is>
      </c>
      <c r="C154" s="25">
        <f>IF(COUNTIF('کدهای پیام‌داروساز'!$A$2:$A$2442,A154)&gt;0,"بله","خیر")</f>
        <v/>
      </c>
    </row>
    <row r="155" ht="15" customHeight="1" s="14">
      <c r="A155" s="24" t="n">
        <v>245</v>
      </c>
      <c r="B155" s="24" t="inlineStr">
        <is>
          <t>آرتيسِف   کپسول خوراکي 500 mg - درمان ياب آنا</t>
        </is>
      </c>
      <c r="C155" s="25">
        <f>IF(COUNTIF('کدهای پیام‌داروساز'!$A$2:$A$2442,A155)&gt;0,"بله","خیر")</f>
        <v/>
      </c>
    </row>
    <row r="156" ht="15" customHeight="1" s="14">
      <c r="A156" s="24" t="n">
        <v>246</v>
      </c>
      <c r="B156" s="24" t="inlineStr">
        <is>
          <t>آفالکس (سفالکسين) 250 م گ / 5 م ل 100 م ل سوسپانسيون - آفاشيمي</t>
        </is>
      </c>
      <c r="C156" s="25">
        <f>IF(COUNTIF('کدهای پیام‌داروساز'!$A$2:$A$2442,A156)&gt;0,"بله","خیر")</f>
        <v/>
      </c>
    </row>
    <row r="157" ht="15" customHeight="1" s="14">
      <c r="A157" s="24" t="n">
        <v>262</v>
      </c>
      <c r="B157" s="24" t="inlineStr">
        <is>
          <t>سلکران   قرص خوراکي 2 mg  mg - نور انديشان روز آمد</t>
        </is>
      </c>
      <c r="C157" s="25">
        <f>IF(COUNTIF('کدهای پیام‌داروساز'!$A$2:$A$2442,A157)&gt;0,"بله","خیر")</f>
        <v/>
      </c>
    </row>
    <row r="158" ht="15" customHeight="1" s="14">
      <c r="A158" s="24" t="n">
        <v>264</v>
      </c>
      <c r="B158" s="24" t="inlineStr">
        <is>
          <t>رافيکول (کلرامفنيکل) 5/. درصد 10 م ل قطره - رها</t>
        </is>
      </c>
      <c r="C158" s="25">
        <f>IF(COUNTIF('کدهای پیام‌داروساز'!$A$2:$A$2442,A158)&gt;0,"بله","خیر")</f>
        <v/>
      </c>
    </row>
    <row r="159" ht="15" customHeight="1" s="14">
      <c r="A159" s="24" t="n">
        <v>266</v>
      </c>
      <c r="B159" s="24" t="inlineStr">
        <is>
          <t>فنيکل   پودر براي تهيه محلول تزريقي پرنترال 1 g  g - داروسازي جابرابن حيان</t>
        </is>
      </c>
      <c r="C159" s="25">
        <f>IF(COUNTIF('کدهای پیام‌داروساز'!$A$2:$A$2442,A159)&gt;0,"بله","خیر")</f>
        <v/>
      </c>
    </row>
    <row r="160" ht="15" customHeight="1" s="14">
      <c r="A160" s="24" t="n">
        <v>267</v>
      </c>
      <c r="B160" s="24" t="inlineStr">
        <is>
          <t>پوکساکيم (کلرديازپوکسايد) 10 م گ قرص - حکيم</t>
        </is>
      </c>
      <c r="C160" s="25">
        <f>IF(COUNTIF('کدهای پیام‌داروساز'!$A$2:$A$2442,A160)&gt;0,"بله","خیر")</f>
        <v/>
      </c>
    </row>
    <row r="161" ht="15" customHeight="1" s="14">
      <c r="A161" s="24" t="n">
        <v>268</v>
      </c>
      <c r="B161" s="24" t="inlineStr">
        <is>
          <t>پوکساکيم (کلرديازپوکسايد) 5 م گ قرص - حکيم</t>
        </is>
      </c>
      <c r="C161" s="25">
        <f>IF(COUNTIF('کدهای پیام‌داروساز'!$A$2:$A$2442,A161)&gt;0,"بله","خیر")</f>
        <v/>
      </c>
    </row>
    <row r="162" ht="15" customHeight="1" s="14">
      <c r="A162" s="24" t="n">
        <v>270</v>
      </c>
      <c r="B162" s="24" t="inlineStr">
        <is>
          <t>ايرشا (کلرهگزيدين) 0.2%  250 م ل دهانشويه  - شفا</t>
        </is>
      </c>
      <c r="C162" s="25">
        <f>IF(COUNTIF('کدهای پیام‌داروساز'!$A$2:$A$2442,A162)&gt;0,"بله","خیر")</f>
        <v/>
      </c>
    </row>
    <row r="163" ht="15" customHeight="1" s="14">
      <c r="A163" s="24" t="n">
        <v>271</v>
      </c>
      <c r="B163" s="24" t="inlineStr">
        <is>
          <t>کلروکين   قرص خوراکي 150 mg - پارس دارو</t>
        </is>
      </c>
      <c r="C163" s="25">
        <f>IF(COUNTIF('کدهای پیام‌داروساز'!$A$2:$A$2442,A163)&gt;0,"بله","خیر")</f>
        <v/>
      </c>
    </row>
    <row r="164" ht="15" customHeight="1" s="14">
      <c r="A164" s="24" t="n">
        <v>275</v>
      </c>
      <c r="B164" s="24" t="inlineStr">
        <is>
          <t>هيستاديک   تزريقي پرنترال 10 mg/1mL  mL</t>
        </is>
      </c>
      <c r="C164" s="25">
        <f>IF(COUNTIF('کدهای پیام‌داروساز'!$A$2:$A$2442,A164)&gt;0,"بله","خیر")</f>
        <v/>
      </c>
    </row>
    <row r="165" ht="15" customHeight="1" s="14">
      <c r="A165" s="24" t="n">
        <v>276</v>
      </c>
      <c r="B165" s="24" t="inlineStr">
        <is>
          <t>فنيرا   قرص خوراکي 4 mg</t>
        </is>
      </c>
      <c r="C165" s="25">
        <f>IF(COUNTIF('کدهای پیام‌داروساز'!$A$2:$A$2442,A165)&gt;0,"بله","خیر")</f>
        <v/>
      </c>
    </row>
    <row r="166" ht="15" customHeight="1" s="14">
      <c r="A166" s="24" t="n">
        <v>277</v>
      </c>
      <c r="B166" s="24" t="inlineStr">
        <is>
          <t>سايکوکالم   تزريقي عضلاني 25 mg/1mL 2 mL - اوکسين داروي وشت</t>
        </is>
      </c>
      <c r="C166" s="25">
        <f>IF(COUNTIF('کدهای پیام‌داروساز'!$A$2:$A$2442,A166)&gt;0,"بله","خیر")</f>
        <v/>
      </c>
    </row>
    <row r="167" ht="15" customHeight="1" s="14">
      <c r="A167" s="24" t="n">
        <v>278</v>
      </c>
      <c r="B167" s="24" t="inlineStr">
        <is>
          <t>سايکونورم   قرص خوراکي 100 mg - داروسازي خوارزمي</t>
        </is>
      </c>
      <c r="C167" s="25">
        <f>IF(COUNTIF('کدهای پیام‌داروساز'!$A$2:$A$2442,A167)&gt;0,"بله","خیر")</f>
        <v/>
      </c>
    </row>
    <row r="168" ht="15" customHeight="1" s="14">
      <c r="A168" s="24" t="n">
        <v>279</v>
      </c>
      <c r="B168" s="24" t="inlineStr">
        <is>
          <t>سايکونورم   قرص خوراکي 25 mg - داروسازي خوارزمي</t>
        </is>
      </c>
      <c r="C168" s="25">
        <f>IF(COUNTIF('کدهای پیام‌داروساز'!$A$2:$A$2442,A168)&gt;0,"بله","خیر")</f>
        <v/>
      </c>
    </row>
    <row r="169" ht="15" customHeight="1" s="14">
      <c r="A169" s="24" t="n">
        <v>280</v>
      </c>
      <c r="B169" s="24" t="inlineStr">
        <is>
          <t>کلرتاليدون   قرص خوراکي 100 mg - روناک</t>
        </is>
      </c>
      <c r="C169" s="25">
        <f>IF(COUNTIF('کدهای پیام‌داروساز'!$A$2:$A$2442,A169)&gt;0,"بله","خیر")</f>
        <v/>
      </c>
    </row>
    <row r="170" ht="15" customHeight="1" s="14">
      <c r="A170" s="24" t="n">
        <v>283</v>
      </c>
      <c r="B170" s="24" t="inlineStr">
        <is>
          <t>کلستيرامين   پودر براي تهيه سوسپانسيون   خوراکي 4 g  g</t>
        </is>
      </c>
      <c r="C170" s="25">
        <f>IF(COUNTIF('کدهای پیام‌داروساز'!$A$2:$A$2442,A170)&gt;0,"بله","خیر")</f>
        <v/>
      </c>
    </row>
    <row r="171" ht="15" customHeight="1" s="14">
      <c r="A171" s="24" t="n">
        <v>284</v>
      </c>
      <c r="B171" s="24" t="inlineStr">
        <is>
          <t>فوليگنان   پودر براي تهيه محلول تزريقي پرنترال 1500 [iU]  [iU] - کارخانجات دارو پخش</t>
        </is>
      </c>
      <c r="C171" s="25">
        <f>IF(COUNTIF('کدهای پیام‌داروساز'!$A$2:$A$2442,A171)&gt;0,"بله","خیر")</f>
        <v/>
      </c>
    </row>
    <row r="172" ht="15" customHeight="1" s="14">
      <c r="A172" s="24" t="n">
        <v>285</v>
      </c>
      <c r="B172" s="24" t="inlineStr">
        <is>
          <t>فوليگنان   پودر براي تهيه محلول تزريقي پرنترال 500 [iU]  [iU] - کارخانجات دارو پخش</t>
        </is>
      </c>
      <c r="C172" s="25">
        <f>IF(COUNTIF('کدهای پیام‌داروساز'!$A$2:$A$2442,A172)&gt;0,"بله","خیر")</f>
        <v/>
      </c>
    </row>
    <row r="173" ht="15" customHeight="1" s="14">
      <c r="A173" s="24" t="n">
        <v>286</v>
      </c>
      <c r="B173" s="24" t="inlineStr">
        <is>
          <t>آي وي اف-سي   پودر براي تهيه محلول تزريقي پرنترال 5000 [iU]</t>
        </is>
      </c>
      <c r="C173" s="25">
        <f>IF(COUNTIF('کدهای پیام‌داروساز'!$A$2:$A$2442,A173)&gt;0,"بله","خیر")</f>
        <v/>
      </c>
    </row>
    <row r="174" ht="15" customHeight="1" s="14">
      <c r="A174" s="24" t="n">
        <v>287</v>
      </c>
      <c r="B174" s="24" t="inlineStr">
        <is>
          <t>ايمينورال (سيکلوسپورين) 100 م گ کپسول -زهراوي</t>
        </is>
      </c>
      <c r="C174" s="25">
        <f>IF(COUNTIF('کدهای پیام‌داروساز'!$A$2:$A$2442,A174)&gt;0,"بله","خیر")</f>
        <v/>
      </c>
    </row>
    <row r="175" ht="15" customHeight="1" s="14">
      <c r="A175" s="24" t="n">
        <v>288</v>
      </c>
      <c r="B175" s="24" t="inlineStr">
        <is>
          <t>ايمينورال (سيکلوسپورين) 25 م گ کپسول - زهراوي</t>
        </is>
      </c>
      <c r="C175" s="25">
        <f>IF(COUNTIF('کدهای پیام‌داروساز'!$A$2:$A$2442,A175)&gt;0,"بله","خیر")</f>
        <v/>
      </c>
    </row>
    <row r="176" ht="15" customHeight="1" s="14">
      <c r="A176" s="24" t="n">
        <v>289</v>
      </c>
      <c r="B176" s="24" t="inlineStr">
        <is>
          <t>سانديمون نئورال    محلول خوراکي 100 mg/1mL 50 mL - شفا ياب گستر</t>
        </is>
      </c>
      <c r="C176" s="25">
        <f>IF(COUNTIF('کدهای پیام‌داروساز'!$A$2:$A$2442,A176)&gt;0,"بله","خیر")</f>
        <v/>
      </c>
    </row>
    <row r="177" ht="15" customHeight="1" s="14">
      <c r="A177" s="24" t="n">
        <v>290</v>
      </c>
      <c r="B177" s="24" t="inlineStr">
        <is>
          <t>سايمتيدين   قرص خوراکي 200 mg - ايران دارو</t>
        </is>
      </c>
      <c r="C177" s="25">
        <f>IF(COUNTIF('کدهای پیام‌داروساز'!$A$2:$A$2442,A177)&gt;0,"بله","خیر")</f>
        <v/>
      </c>
    </row>
    <row r="178" ht="15" customHeight="1" s="14">
      <c r="A178" s="24" t="n">
        <v>291</v>
      </c>
      <c r="B178" s="24" t="inlineStr">
        <is>
          <t>سايمتيدين   تزريقي پرنترال 100 mg/1mL 2 mL - داروسازي کاسپين تأمين</t>
        </is>
      </c>
      <c r="C178" s="25">
        <f>IF(COUNTIF('کدهای پیام‌داروساز'!$A$2:$A$2442,A178)&gt;0,"بله","خیر")</f>
        <v/>
      </c>
    </row>
    <row r="179" ht="15" customHeight="1" s="14">
      <c r="A179" s="24" t="n">
        <v>292</v>
      </c>
      <c r="B179" s="24" t="inlineStr">
        <is>
          <t>اسوه-سيناريزين   قرص خوراکي 25 mg - دارو سازي اسوه</t>
        </is>
      </c>
      <c r="C179" s="25">
        <f>IF(COUNTIF('کدهای پیام‌داروساز'!$A$2:$A$2442,A179)&gt;0,"بله","خیر")</f>
        <v/>
      </c>
    </row>
    <row r="180" ht="15" customHeight="1" s="14">
      <c r="A180" s="24" t="n">
        <v>293</v>
      </c>
      <c r="B180" s="24" t="inlineStr">
        <is>
          <t>اسوه-سيناريزين   قرص خوراکي 75 mg - دارو سازي اسوه</t>
        </is>
      </c>
      <c r="C180" s="25">
        <f>IF(COUNTIF('کدهای پیام‌داروساز'!$A$2:$A$2442,A180)&gt;0,"بله","خیر")</f>
        <v/>
      </c>
    </row>
    <row r="181" ht="15" customHeight="1" s="14">
      <c r="A181" s="24" t="n">
        <v>295</v>
      </c>
      <c r="B181" s="24" t="inlineStr">
        <is>
          <t>سيپروتد   قرص خوراکي 250 mg</t>
        </is>
      </c>
      <c r="C181" s="25">
        <f>IF(COUNTIF('کدهای پیام‌داروساز'!$A$2:$A$2442,A181)&gt;0,"بله","خیر")</f>
        <v/>
      </c>
    </row>
    <row r="182" ht="15" customHeight="1" s="14">
      <c r="A182" s="24" t="n">
        <v>296</v>
      </c>
      <c r="B182" s="24" t="inlineStr">
        <is>
          <t>پوريک سيدال   قرص خوراکي 500 mg</t>
        </is>
      </c>
      <c r="C182" s="25">
        <f>IF(COUNTIF('کدهای پیام‌داروساز'!$A$2:$A$2442,A182)&gt;0,"بله","خیر")</f>
        <v/>
      </c>
    </row>
    <row r="183" ht="15" customHeight="1" s="14">
      <c r="A183" s="24" t="n">
        <v>297</v>
      </c>
      <c r="B183" s="24" t="inlineStr">
        <is>
          <t>سيپروراپ   محلول، قطره چشمي 0.3 % 10 mL - داروسازي رها اصفهان</t>
        </is>
      </c>
      <c r="C183" s="25">
        <f>IF(COUNTIF('کدهای پیام‌داروساز'!$A$2:$A$2442,A183)&gt;0,"بله","خیر")</f>
        <v/>
      </c>
    </row>
    <row r="184" ht="15" customHeight="1" s="14">
      <c r="A184" s="24" t="n">
        <v>301</v>
      </c>
      <c r="B184" s="24" t="inlineStr">
        <is>
          <t>سيسپلات   محلول غليظ تزريقي داخل وريدي 0.5 mg/1mL 20 mL - داروسازي سبحان انکولوژي</t>
        </is>
      </c>
      <c r="C184" s="25">
        <f>IF(COUNTIF('کدهای پیام‌داروساز'!$A$2:$A$2442,A184)&gt;0,"بله","خیر")</f>
        <v/>
      </c>
    </row>
    <row r="185" ht="15" customHeight="1" s="14">
      <c r="A185" s="24" t="n">
        <v>303</v>
      </c>
      <c r="B185" s="24" t="inlineStr">
        <is>
          <t>تيدي کولين (سيتي کولين) 250 م گ / 2 م ل آمپول - توليد دارو</t>
        </is>
      </c>
      <c r="C185" s="25">
        <f>IF(COUNTIF('کدهای پیام‌داروساز'!$A$2:$A$2442,A185)&gt;0,"بله","خیر")</f>
        <v/>
      </c>
    </row>
    <row r="186" ht="15" customHeight="1" s="14">
      <c r="A186" s="24" t="n">
        <v>305</v>
      </c>
      <c r="B186" s="24" t="inlineStr">
        <is>
          <t>بايودريبين   محلول تزريقي داخل وريدي 1 mg/1mL 10 mL - دارو درمان آرنگ</t>
        </is>
      </c>
      <c r="C186" s="25">
        <f>IF(COUNTIF('کدهای پیام‌داروساز'!$A$2:$A$2442,A186)&gt;0,"بله","خیر")</f>
        <v/>
      </c>
    </row>
    <row r="187" ht="15" customHeight="1" s="14">
      <c r="A187" s="24" t="n">
        <v>306</v>
      </c>
      <c r="B187" s="24" t="inlineStr">
        <is>
          <t>کلماستين   قرص خوراکي 1 mg</t>
        </is>
      </c>
      <c r="C187" s="25">
        <f>IF(COUNTIF('کدهای پیام‌داروساز'!$A$2:$A$2442,A187)&gt;0,"بله","خیر")</f>
        <v/>
      </c>
    </row>
    <row r="188" ht="15" customHeight="1" s="14">
      <c r="A188" s="24" t="n">
        <v>307</v>
      </c>
      <c r="B188" s="24" t="inlineStr">
        <is>
          <t>آمپول تاوگيل ® 2 ميلي گرم / 2 ميلي ليتر   تزريقي پرنترال 1 mg/1mL 2</t>
        </is>
      </c>
      <c r="C188" s="25">
        <f>IF(COUNTIF('کدهای پیام‌داروساز'!$A$2:$A$2442,A188)&gt;0,"بله","خیر")</f>
        <v/>
      </c>
    </row>
    <row r="189" ht="15" customHeight="1" s="14">
      <c r="A189" s="24" t="n">
        <v>308</v>
      </c>
      <c r="B189" s="24" t="inlineStr">
        <is>
          <t>ليبراکيم (کليدينيوم سي) قرص - حکيم</t>
        </is>
      </c>
      <c r="C189" s="25">
        <f>IF(COUNTIF('کدهای پیام‌داروساز'!$A$2:$A$2442,A189)&gt;0,"بله","خیر")</f>
        <v/>
      </c>
    </row>
    <row r="190" ht="15" customHeight="1" s="14">
      <c r="A190" s="24" t="n">
        <v>309</v>
      </c>
      <c r="B190" s="24" t="inlineStr">
        <is>
          <t>آپو کليندامايسين150 م گ کپسول - آپوتکس</t>
        </is>
      </c>
      <c r="C190" s="25">
        <f>IF(COUNTIF('کدهای پیام‌داروساز'!$A$2:$A$2442,A190)&gt;0,"بله","خیر")</f>
        <v/>
      </c>
    </row>
    <row r="191" ht="15" customHeight="1" s="14">
      <c r="A191" s="24" t="n">
        <v>312</v>
      </c>
      <c r="B191" s="24" t="inlineStr">
        <is>
          <t>سيژيران   قرص خوراکي 10 mg</t>
        </is>
      </c>
      <c r="C191" s="25">
        <f>IF(COUNTIF('کدهای پیام‌داروساز'!$A$2:$A$2442,A191)&gt;0,"بله","خیر")</f>
        <v/>
      </c>
    </row>
    <row r="192" ht="15" customHeight="1" s="14">
      <c r="A192" s="24" t="n">
        <v>313</v>
      </c>
      <c r="B192" s="24" t="inlineStr">
        <is>
          <t>کلوبت   کرم موضعي 0.05 % 15 g - لابراتوارهاي سينا دارو</t>
        </is>
      </c>
      <c r="C192" s="25">
        <f>IF(COUNTIF('کدهای پیام‌داروساز'!$A$2:$A$2442,A192)&gt;0,"بله","خیر")</f>
        <v/>
      </c>
    </row>
    <row r="193" ht="15" customHeight="1" s="14">
      <c r="A193" s="24" t="n">
        <v>314</v>
      </c>
      <c r="B193" s="24" t="inlineStr">
        <is>
          <t>کلوبتازول   پماد موضعي 0.05 % 15 g - آسا دارو طوس</t>
        </is>
      </c>
      <c r="C193" s="25">
        <f>IF(COUNTIF('کدهای پیام‌داروساز'!$A$2:$A$2442,A193)&gt;0,"بله","خیر")</f>
        <v/>
      </c>
    </row>
    <row r="194" ht="15" customHeight="1" s="14">
      <c r="A194" s="24" t="n">
        <v>318</v>
      </c>
      <c r="B194" s="24" t="inlineStr">
        <is>
          <t>کلوفيبرات 500 کپسول - زهراوي</t>
        </is>
      </c>
      <c r="C194" s="25">
        <f>IF(COUNTIF('کدهای پیام‌داروساز'!$A$2:$A$2442,A194)&gt;0,"بله","خیر")</f>
        <v/>
      </c>
    </row>
    <row r="195" ht="15" customHeight="1" s="14">
      <c r="A195" s="24" t="n">
        <v>319</v>
      </c>
      <c r="B195" s="24" t="inlineStr">
        <is>
          <t>اووميد   قرص خوراکي 50 mg - ايران هورمون</t>
        </is>
      </c>
      <c r="C195" s="25">
        <f>IF(COUNTIF('کدهای پیام‌داروساز'!$A$2:$A$2442,A195)&gt;0,"بله","خیر")</f>
        <v/>
      </c>
    </row>
    <row r="196" ht="15" customHeight="1" s="14">
      <c r="A196" s="24" t="n">
        <v>320</v>
      </c>
      <c r="B196" s="24" t="inlineStr">
        <is>
          <t>آنافرانيل   قرص خوراکي 10 mg - بازرگاني سها کيش</t>
        </is>
      </c>
      <c r="C196" s="25">
        <f>IF(COUNTIF('کدهای پیام‌داروساز'!$A$2:$A$2442,A196)&gt;0,"بله","خیر")</f>
        <v/>
      </c>
    </row>
    <row r="197" ht="15" customHeight="1" s="14">
      <c r="A197" s="24" t="n">
        <v>321</v>
      </c>
      <c r="B197" s="24" t="inlineStr">
        <is>
          <t>اکتوبيون آمپول</t>
        </is>
      </c>
      <c r="C197" s="25">
        <f>IF(COUNTIF('کدهای پیام‌داروساز'!$A$2:$A$2442,A197)&gt;0,"بله","خیر")</f>
        <v/>
      </c>
    </row>
    <row r="198" ht="15" customHeight="1" s="14">
      <c r="A198" s="24" t="n">
        <v>322</v>
      </c>
      <c r="B198" s="24" t="inlineStr">
        <is>
          <t>کلونازپام   قرص خوراکي 1 mg - داروسازي ريحانه اصفهان</t>
        </is>
      </c>
      <c r="C198" s="25">
        <f>IF(COUNTIF('کدهای پیام‌داروساز'!$A$2:$A$2442,A198)&gt;0,"بله","خیر")</f>
        <v/>
      </c>
    </row>
    <row r="199" ht="15" customHeight="1" s="14">
      <c r="A199" s="24" t="n">
        <v>323</v>
      </c>
      <c r="B199" s="24" t="inlineStr">
        <is>
          <t>ريووتريل   قرص خوراکي 2 mg  [Amb'a'1'U] - فوريتهاي سينا آرات گستر</t>
        </is>
      </c>
      <c r="C199" s="25">
        <f>IF(COUNTIF('کدهای پیام‌داروساز'!$A$2:$A$2442,A199)&gt;0,"بله","خیر")</f>
        <v/>
      </c>
    </row>
    <row r="200" ht="15" customHeight="1" s="14">
      <c r="A200" s="24" t="n">
        <v>324</v>
      </c>
      <c r="B200" s="24" t="inlineStr">
        <is>
          <t>آرکابريکس   قرص خوراکي 0.2 mg</t>
        </is>
      </c>
      <c r="C200" s="25">
        <f>IF(COUNTIF('کدهای پیام‌داروساز'!$A$2:$A$2442,A200)&gt;0,"بله","خیر")</f>
        <v/>
      </c>
    </row>
    <row r="201" ht="15" customHeight="1" s="14">
      <c r="A201" s="24" t="n">
        <v>325</v>
      </c>
      <c r="B201" s="24" t="inlineStr">
        <is>
          <t>آفي تريمازول   کرم واژينال 1 % 50 g - ايران آوند فر</t>
        </is>
      </c>
      <c r="C201" s="25">
        <f>IF(COUNTIF('کدهای پیام‌داروساز'!$A$2:$A$2442,A201)&gt;0,"بله","خیر")</f>
        <v/>
      </c>
    </row>
    <row r="202" ht="15" customHeight="1" s="14">
      <c r="A202" s="24" t="n">
        <v>326</v>
      </c>
      <c r="B202" s="24" t="inlineStr">
        <is>
          <t>آفي تريمازول   کرم موضعي 1 % 15 g - ايران آوند فر</t>
        </is>
      </c>
      <c r="C202" s="25">
        <f>IF(COUNTIF('کدهای پیام‌داروساز'!$A$2:$A$2442,A202)&gt;0,"بله","خیر")</f>
        <v/>
      </c>
    </row>
    <row r="203" ht="15" customHeight="1" s="14">
      <c r="A203" s="24" t="n">
        <v>327</v>
      </c>
      <c r="B203" s="24" t="inlineStr">
        <is>
          <t>آفي تريمازول 1% (کلوتريمازول) محلول - آوندفر</t>
        </is>
      </c>
      <c r="C203" s="25">
        <f>IF(COUNTIF('کدهای پیام‌داروساز'!$A$2:$A$2442,A203)&gt;0,"بله","خیر")</f>
        <v/>
      </c>
    </row>
    <row r="204" ht="15" customHeight="1" s="14">
      <c r="A204" s="24" t="n">
        <v>328</v>
      </c>
      <c r="B204" s="24" t="inlineStr">
        <is>
          <t>کلوتريمازول   قرص واژينال 100 mg - پارس دارو</t>
        </is>
      </c>
      <c r="C204" s="25">
        <f>IF(COUNTIF('کدهای پیام‌داروساز'!$A$2:$A$2442,A204)&gt;0,"بله","خیر")</f>
        <v/>
      </c>
    </row>
    <row r="205" ht="15" customHeight="1" s="14">
      <c r="A205" s="24" t="n">
        <v>329</v>
      </c>
      <c r="B205" s="24" t="inlineStr">
        <is>
          <t>کلوگزاسيلين 250 م گ کپسول  - فارابي</t>
        </is>
      </c>
      <c r="C205" s="25">
        <f>IF(COUNTIF('کدهای پیام‌داروساز'!$A$2:$A$2442,A205)&gt;0,"بله","خیر")</f>
        <v/>
      </c>
    </row>
    <row r="206" ht="15" customHeight="1" s="14">
      <c r="A206" s="24" t="n">
        <v>330</v>
      </c>
      <c r="B206" s="24" t="inlineStr">
        <is>
          <t>کلوگزاسيل   پودر براي تهيه محلول تزريقي پرنترال 250 mg  mg - داروسازي جابرابن حيان</t>
        </is>
      </c>
      <c r="C206" s="25">
        <f>IF(COUNTIF('کدهای پیام‌داروساز'!$A$2:$A$2442,A206)&gt;0,"بله","خیر")</f>
        <v/>
      </c>
    </row>
    <row r="207" ht="15" customHeight="1" s="14">
      <c r="A207" s="24" t="n">
        <v>331</v>
      </c>
      <c r="B207" s="24" t="inlineStr">
        <is>
          <t>کلوگزاسيلين   کپسول خوراکي 500 mg - پاليز فارمد سورنا</t>
        </is>
      </c>
      <c r="C207" s="25">
        <f>IF(COUNTIF('کدهای پیام‌داروساز'!$A$2:$A$2442,A207)&gt;0,"بله","خیر")</f>
        <v/>
      </c>
    </row>
    <row r="208" ht="15" customHeight="1" s="14">
      <c r="A208" s="24" t="n">
        <v>332</v>
      </c>
      <c r="B208" s="24" t="inlineStr">
        <is>
          <t>کلوگزا   پودر براي تهيه محلول تزريقي پرنترال 500 mg  mg - کاوش گستر دارو</t>
        </is>
      </c>
      <c r="C208" s="25">
        <f>IF(COUNTIF('کدهای پیام‌داروساز'!$A$2:$A$2442,A208)&gt;0,"بله","خیر")</f>
        <v/>
      </c>
    </row>
    <row r="209" ht="15" customHeight="1" s="14">
      <c r="A209" s="24" t="n">
        <v>334</v>
      </c>
      <c r="B209" s="24" t="inlineStr">
        <is>
          <t>لپونکس   قرص خوراکي 100 mg</t>
        </is>
      </c>
      <c r="C209" s="25">
        <f>IF(COUNTIF('کدهای پیام‌داروساز'!$A$2:$A$2442,A209)&gt;0,"بله","خیر")</f>
        <v/>
      </c>
    </row>
    <row r="210" ht="15" customHeight="1" s="14">
      <c r="A210" s="24" t="n">
        <v>335</v>
      </c>
      <c r="B210" s="24" t="inlineStr">
        <is>
          <t>آفاکلاو   پودر براي تهيه سوسپانسيون   خوراکي 125 mg/31.25 mg/5mL 100 mg - آفا شيمي</t>
        </is>
      </c>
      <c r="C210" s="25">
        <f>IF(COUNTIF('کدهای پیام‌داروساز'!$A$2:$A$2442,A210)&gt;0,"بله","خیر")</f>
        <v/>
      </c>
    </row>
    <row r="211" ht="15" customHeight="1" s="14">
      <c r="A211" s="24" t="n">
        <v>337</v>
      </c>
      <c r="B211" s="24" t="inlineStr">
        <is>
          <t>کلاموکس   قرص خوراکي 250 mg/125 mg - داروسازي دانا</t>
        </is>
      </c>
      <c r="C211" s="25">
        <f>IF(COUNTIF('کدهای پیام‌داروساز'!$A$2:$A$2442,A211)&gt;0,"بله","خیر")</f>
        <v/>
      </c>
    </row>
    <row r="212" ht="15" customHeight="1" s="14">
      <c r="A212" s="24" t="n">
        <v>338</v>
      </c>
      <c r="B212" s="24" t="inlineStr">
        <is>
          <t>آفاکلاو 625 (کو-آموکسي کلاو) قرص - آفاشيمي</t>
        </is>
      </c>
      <c r="C212" s="25">
        <f>IF(COUNTIF('کدهای پیام‌داروساز'!$A$2:$A$2442,A212)&gt;0,"بله","خیر")</f>
        <v/>
      </c>
    </row>
    <row r="213" ht="15" customHeight="1" s="14">
      <c r="A213" s="24" t="n">
        <v>339</v>
      </c>
      <c r="B213" s="24" t="inlineStr">
        <is>
          <t>سولتريکس   قرص خوراکي 400 mg/80 mg</t>
        </is>
      </c>
      <c r="C213" s="25">
        <f>IF(COUNTIF('کدهای پیام‌داروساز'!$A$2:$A$2442,A213)&gt;0,"بله","خیر")</f>
        <v/>
      </c>
    </row>
    <row r="214" ht="15" customHeight="1" s="14">
      <c r="A214" s="24" t="n">
        <v>340</v>
      </c>
      <c r="B214" s="24" t="inlineStr">
        <is>
          <t>کوتريموکسازول 200/40 سوسپانسيون 100ML -البرزدارو</t>
        </is>
      </c>
      <c r="C214" s="25">
        <f>IF(COUNTIF('کدهای پیام‌داروساز'!$A$2:$A$2442,A214)&gt;0,"بله","خیر")</f>
        <v/>
      </c>
    </row>
    <row r="215" ht="15" customHeight="1" s="14">
      <c r="A215" s="24" t="n">
        <v>341</v>
      </c>
      <c r="B215" s="24" t="inlineStr">
        <is>
          <t>کوتريم   محلول تزريقي داخل وريدي 80 mg/16 mg/1mL 5 - فوريتهاي سينا آرات گستر</t>
        </is>
      </c>
      <c r="C215" s="25">
        <f>IF(COUNTIF('کدهای پیام‌داروساز'!$A$2:$A$2442,A215)&gt;0,"بله","خیر")</f>
        <v/>
      </c>
    </row>
    <row r="216" ht="15" customHeight="1" s="14">
      <c r="A216" s="24" t="n">
        <v>342</v>
      </c>
      <c r="B216" s="24" t="inlineStr">
        <is>
          <t>کوتريموکسازول   قرص خوراکي 100 mg/20 mg - سبحان دارو</t>
        </is>
      </c>
      <c r="C216" s="25">
        <f>IF(COUNTIF('کدهای پیام‌داروساز'!$A$2:$A$2442,A216)&gt;0,"بله","خیر")</f>
        <v/>
      </c>
    </row>
    <row r="217" ht="15" customHeight="1" s="14">
      <c r="A217" s="24" t="n">
        <v>344</v>
      </c>
      <c r="B217" s="24" t="inlineStr">
        <is>
          <t>کل تار (درمين) 1 درصد 150 م ل شامپو - گيلارانکو</t>
        </is>
      </c>
      <c r="C217" s="25">
        <f>IF(COUNTIF('کدهای پیام‌داروساز'!$A$2:$A$2442,A217)&gt;0,"بله","خیر")</f>
        <v/>
      </c>
    </row>
    <row r="218" ht="15" customHeight="1" s="14">
      <c r="A218" s="24" t="n">
        <v>346</v>
      </c>
      <c r="B218" s="24" t="inlineStr">
        <is>
          <t>تاروزيس   لوسيون موضعي 5 % 60 mL - گيلارانکو</t>
        </is>
      </c>
      <c r="C218" s="25">
        <f>IF(COUNTIF('کدهای پیام‌داروساز'!$A$2:$A$2442,A218)&gt;0,"بله","خیر")</f>
        <v/>
      </c>
    </row>
    <row r="219" ht="15" customHeight="1" s="14">
      <c r="A219" s="24" t="n">
        <v>348</v>
      </c>
      <c r="B219" s="24" t="inlineStr">
        <is>
          <t>دکستروز 5% + 5% الکل 1 ليتري سرم   قرص خوراکي 1 mg</t>
        </is>
      </c>
      <c r="C219" s="25">
        <f>IF(COUNTIF('کدهای پیام‌داروساز'!$A$2:$A$2442,A219)&gt;0,"بله","خیر")</f>
        <v/>
      </c>
    </row>
    <row r="220" ht="15" customHeight="1" s="14">
      <c r="A220" s="24" t="n">
        <v>352</v>
      </c>
      <c r="B220" s="24" t="inlineStr">
        <is>
          <t xml:space="preserve">قرص پريکوئين 0.625 ميلي گرم(استروژن کونژوگه </t>
        </is>
      </c>
      <c r="C220" s="25">
        <f>IF(COUNTIF('کدهای پیام‌داروساز'!$A$2:$A$2442,A220)&gt;0,"بله","خیر")</f>
        <v/>
      </c>
    </row>
    <row r="221" ht="15" customHeight="1" s="14">
      <c r="A221" s="24" t="n">
        <v>353</v>
      </c>
      <c r="B221" s="24" t="inlineStr">
        <is>
          <t>استرومارين (استروژن کونژوگه) 0.625 م گ کرم واژينال - ابوريحان</t>
        </is>
      </c>
      <c r="C221" s="25">
        <f>IF(COUNTIF('کدهای پیام‌داروساز'!$A$2:$A$2442,A221)&gt;0,"بله","خیر")</f>
        <v/>
      </c>
    </row>
    <row r="222" ht="15" customHeight="1" s="14">
      <c r="A222" s="24" t="n">
        <v>354</v>
      </c>
      <c r="B222" s="24" t="inlineStr">
        <is>
          <t>قرص پريکوئين 1.25 ميلي گرم( استروژن کونژوگه)</t>
        </is>
      </c>
      <c r="C222" s="25">
        <f>IF(COUNTIF('کدهای پیام‌داروساز'!$A$2:$A$2442,A222)&gt;0,"بله","خیر")</f>
        <v/>
      </c>
    </row>
    <row r="223" ht="15" customHeight="1" s="14">
      <c r="A223" s="24" t="n">
        <v>356</v>
      </c>
      <c r="B223" s="24" t="inlineStr">
        <is>
          <t>اوسپت - اچ دي (کنتراسپتيو اچ دي) قرص - ابوريحان</t>
        </is>
      </c>
      <c r="C223" s="25">
        <f>IF(COUNTIF('کدهای پیام‌داروساز'!$A$2:$A$2442,A223)&gt;0,"بله","خیر")</f>
        <v/>
      </c>
    </row>
    <row r="224" ht="15" customHeight="1" s="14">
      <c r="A224" s="24" t="n">
        <v>357</v>
      </c>
      <c r="B224" s="24" t="inlineStr">
        <is>
          <t>اوسپت - ال دي (کنتراسپتيو ال دي) قرص - ابوريحان</t>
        </is>
      </c>
      <c r="C224" s="25">
        <f>IF(COUNTIF('کدهای پیام‌داروساز'!$A$2:$A$2442,A224)&gt;0,"بله","خیر")</f>
        <v/>
      </c>
    </row>
    <row r="225" ht="15" customHeight="1" s="14">
      <c r="A225" s="24" t="n">
        <v>358</v>
      </c>
      <c r="B225" s="24" t="inlineStr">
        <is>
          <t>تري فاربه   قرص خوراکي - داروسازي ابوريحان</t>
        </is>
      </c>
      <c r="C225" s="25">
        <f>IF(COUNTIF('کدهای پیام‌داروساز'!$A$2:$A$2442,A225)&gt;0,"بله","خیر")</f>
        <v/>
      </c>
    </row>
    <row r="226" ht="15" customHeight="1" s="14">
      <c r="A226" s="24" t="n">
        <v>364</v>
      </c>
      <c r="B226" s="24" t="inlineStr">
        <is>
          <t>لومودال   کپسول استنشاقي 20 mg</t>
        </is>
      </c>
      <c r="C226" s="25">
        <f>IF(COUNTIF('کدهای پیام‌داروساز'!$A$2:$A$2442,A226)&gt;0,"بله","خیر")</f>
        <v/>
      </c>
    </row>
    <row r="227" ht="15" customHeight="1" s="14">
      <c r="A227" s="24" t="n">
        <v>366</v>
      </c>
      <c r="B227" s="24" t="inlineStr">
        <is>
          <t>کروتادرم (کروتاميتون) کرم موضعي 30 گرم - سينادارو</t>
        </is>
      </c>
      <c r="C227" s="25">
        <f>IF(COUNTIF('کدهای پیام‌داروساز'!$A$2:$A$2442,A227)&gt;0,"بله","خیر")</f>
        <v/>
      </c>
    </row>
    <row r="228" ht="15" customHeight="1" s="14">
      <c r="A228" s="24" t="n">
        <v>368</v>
      </c>
      <c r="B228" s="24" t="inlineStr">
        <is>
          <t>اندوکسان   پودر براي تهيه محلول تزريقي پرنترال 200 mg  mg - پيک دارو توسعه</t>
        </is>
      </c>
      <c r="C228" s="25">
        <f>IF(COUNTIF('کدهای پیام‌داروساز'!$A$2:$A$2442,A228)&gt;0,"بله","خیر")</f>
        <v/>
      </c>
    </row>
    <row r="229" ht="15" customHeight="1" s="14">
      <c r="A229" s="24" t="n">
        <v>369</v>
      </c>
      <c r="B229" s="24" t="inlineStr">
        <is>
          <t>ادسيکلو   قرص خوراکي 50 mg - اريکه تجارت ويستا</t>
        </is>
      </c>
      <c r="C229" s="25">
        <f>IF(COUNTIF('کدهای پیام‌داروساز'!$A$2:$A$2442,A229)&gt;0,"بله","خیر")</f>
        <v/>
      </c>
    </row>
    <row r="230" ht="15" customHeight="1" s="14">
      <c r="A230" s="24" t="n">
        <v>370</v>
      </c>
      <c r="B230" s="24" t="inlineStr">
        <is>
          <t>اندوکسان   پودر براي تهيه محلول تزريقي پرنترال 500 mg  mg - اريکه تجارت ويستا</t>
        </is>
      </c>
      <c r="C230" s="25">
        <f>IF(COUNTIF('کدهای پیام‌داروساز'!$A$2:$A$2442,A230)&gt;0,"بله","خیر")</f>
        <v/>
      </c>
    </row>
    <row r="231" ht="15" customHeight="1" s="14">
      <c r="A231" s="24" t="n">
        <v>371</v>
      </c>
      <c r="B231" s="24" t="inlineStr">
        <is>
          <t>سيکلوسرين   کپسول خوراکي 250 mg - بازرگاني سها کيش</t>
        </is>
      </c>
      <c r="C231" s="25">
        <f>IF(COUNTIF('کدهای پیام‌داروساز'!$A$2:$A$2442,A231)&gt;0,"بله","خیر")</f>
        <v/>
      </c>
    </row>
    <row r="232" ht="15" customHeight="1" s="14">
      <c r="A232" s="24" t="n">
        <v>372</v>
      </c>
      <c r="B232" s="24" t="inlineStr">
        <is>
          <t>آني هپتادين   قرص خوراکي 4 mg - داروسازي آني درمان</t>
        </is>
      </c>
      <c r="C232" s="25">
        <f>IF(COUNTIF('کدهای پیام‌داروساز'!$A$2:$A$2442,A232)&gt;0,"بله","خیر")</f>
        <v/>
      </c>
    </row>
    <row r="233" ht="15" customHeight="1" s="14">
      <c r="A233" s="24" t="n">
        <v>373</v>
      </c>
      <c r="B233" s="24" t="inlineStr">
        <is>
          <t>سيپروترون استات   قرص خوراکي 50 mg - استراژن دارو</t>
        </is>
      </c>
      <c r="C233" s="25">
        <f>IF(COUNTIF('کدهای پیام‌داروساز'!$A$2:$A$2442,A233)&gt;0,"بله","خیر")</f>
        <v/>
      </c>
    </row>
    <row r="234" ht="15" customHeight="1" s="14">
      <c r="A234" s="24" t="n">
        <v>374</v>
      </c>
      <c r="B234" s="24" t="inlineStr">
        <is>
          <t>DIANE 35® TAB   قرص خوراکي 2 mg/0.035 mg</t>
        </is>
      </c>
      <c r="C234" s="25">
        <f>IF(COUNTIF('کدهای پیام‌داروساز'!$A$2:$A$2442,A234)&gt;0,"بله","خیر")</f>
        <v/>
      </c>
    </row>
    <row r="235" ht="15" customHeight="1" s="14">
      <c r="A235" s="24" t="n">
        <v>375</v>
      </c>
      <c r="B235" s="24" t="inlineStr">
        <is>
          <t>آرا-سل   محلول تزريقي پرنترال 20 mg/1mL 5 mg - وليان دارو</t>
        </is>
      </c>
      <c r="C235" s="25">
        <f>IF(COUNTIF('کدهای پیام‌داروساز'!$A$2:$A$2442,A235)&gt;0,"بله","خیر")</f>
        <v/>
      </c>
    </row>
    <row r="236" ht="15" customHeight="1" s="14">
      <c r="A236" s="24" t="n">
        <v>376</v>
      </c>
      <c r="B236" s="24" t="inlineStr">
        <is>
          <t>داکارباز   پودر براي تهيه محلول تزريقي پرنترال 100 mg - دارو اثرت گستر</t>
        </is>
      </c>
      <c r="C236" s="25">
        <f>IF(COUNTIF('کدهای پیام‌داروساز'!$A$2:$A$2442,A236)&gt;0,"بله","خیر")</f>
        <v/>
      </c>
    </row>
    <row r="237" ht="15" customHeight="1" s="14">
      <c r="A237" s="24" t="n">
        <v>377</v>
      </c>
      <c r="B237" s="24" t="inlineStr">
        <is>
          <t>داکاربازين مداک   پودر براي تهيه محلول تزريقي پرنترال 200 mg  mg - داروئي آرام</t>
        </is>
      </c>
      <c r="C237" s="25">
        <f>IF(COUNTIF('کدهای پیام‌داروساز'!$A$2:$A$2442,A237)&gt;0,"بله","خیر")</f>
        <v/>
      </c>
    </row>
    <row r="238" ht="15" customHeight="1" s="14">
      <c r="A238" s="24" t="n">
        <v>378</v>
      </c>
      <c r="B238" s="24" t="inlineStr">
        <is>
          <t>داکتوما   پودر براي تهيه محلول تزريقي پرنترال 0.5 mg  mg - نانو فناوران داروئي الوند</t>
        </is>
      </c>
      <c r="C238" s="25">
        <f>IF(COUNTIF('کدهای پیام‌داروساز'!$A$2:$A$2442,A238)&gt;0,"بله","خیر")</f>
        <v/>
      </c>
    </row>
    <row r="239" ht="15" customHeight="1" s="14">
      <c r="A239" s="24" t="n">
        <v>379</v>
      </c>
      <c r="B239" s="24" t="inlineStr">
        <is>
          <t>آزول   کپسول خوراکي 100 mg - گسترش بازرگاني دارو درمان پارس</t>
        </is>
      </c>
      <c r="C239" s="25">
        <f>IF(COUNTIF('کدهای پیام‌داروساز'!$A$2:$A$2442,A239)&gt;0,"بله","خیر")</f>
        <v/>
      </c>
    </row>
    <row r="240" ht="15" customHeight="1" s="14">
      <c r="A240" s="24" t="n">
        <v>380</v>
      </c>
      <c r="B240" s="24" t="inlineStr">
        <is>
          <t>آزول   کپسول خوراکي 200 mg - گسترش بازرگاني دارو درمان پارس</t>
        </is>
      </c>
      <c r="C240" s="25">
        <f>IF(COUNTIF('کدهای پیام‌داروساز'!$A$2:$A$2442,A240)&gt;0,"بله","خیر")</f>
        <v/>
      </c>
    </row>
    <row r="241" ht="15" customHeight="1" s="14">
      <c r="A241" s="24" t="n">
        <v>382</v>
      </c>
      <c r="B241" s="24" t="inlineStr">
        <is>
          <t>دانتروالس   پودر براي تهيه محلول تزريقي پرنترال 20 mg  mg - فرفيون دارو</t>
        </is>
      </c>
      <c r="C241" s="25">
        <f>IF(COUNTIF('کدهای پیام‌داروساز'!$A$2:$A$2442,A241)&gt;0,"بله","خیر")</f>
        <v/>
      </c>
    </row>
    <row r="242" ht="15" customHeight="1" s="14">
      <c r="A242" s="24" t="n">
        <v>383</v>
      </c>
      <c r="B242" s="24" t="inlineStr">
        <is>
          <t>قرص داپسون  100 ميلي گرم</t>
        </is>
      </c>
      <c r="C242" s="25">
        <f>IF(COUNTIF('کدهای پیام‌داروساز'!$A$2:$A$2442,A242)&gt;0,"بله","خیر")</f>
        <v/>
      </c>
    </row>
    <row r="243" ht="15" customHeight="1" s="14">
      <c r="A243" s="24" t="n">
        <v>384</v>
      </c>
      <c r="B243" s="24" t="inlineStr">
        <is>
          <t>دائنئون   پودر براي تهيه محلول تزريقي پرنترال 20 mg  mg - آرام کيمياي کاسپين</t>
        </is>
      </c>
      <c r="C243" s="25">
        <f>IF(COUNTIF('کدهای پیام‌داروساز'!$A$2:$A$2442,A243)&gt;0,"بله","خیر")</f>
        <v/>
      </c>
    </row>
    <row r="244" ht="15" customHeight="1" s="14">
      <c r="A244" s="24" t="n">
        <v>386</v>
      </c>
      <c r="B244" s="24" t="inlineStr">
        <is>
          <t>دسفرال   پودر براي تهيه محلول تزريقي پرنترال 500 mg  g - پارسيان هفت نور آسمان</t>
        </is>
      </c>
      <c r="C244" s="25">
        <f>IF(COUNTIF('کدهای پیام‌داروساز'!$A$2:$A$2442,A244)&gt;0,"بله","خیر")</f>
        <v/>
      </c>
    </row>
    <row r="245" ht="15" customHeight="1" s="14">
      <c r="A245" s="24" t="n">
        <v>388</v>
      </c>
      <c r="B245" s="24" t="inlineStr">
        <is>
          <t>دزيپرامين   قرص خوراکي 25 mg - بازرگاني سها کيش</t>
        </is>
      </c>
      <c r="C245" s="25">
        <f>IF(COUNTIF('کدهای پیام‌داروساز'!$A$2:$A$2442,A245)&gt;0,"بله","خیر")</f>
        <v/>
      </c>
    </row>
    <row r="246" ht="15" customHeight="1" s="14">
      <c r="A246" s="24" t="n">
        <v>392</v>
      </c>
      <c r="B246" s="24" t="inlineStr">
        <is>
          <t>دکستروز / سديم کلرايد   محلول تزريقي داخل وريدي 5 %/0.9 % 1000 mL - شيراز سرم</t>
        </is>
      </c>
      <c r="C246" s="25">
        <f>IF(COUNTIF('کدهای پیام‌داروساز'!$A$2:$A$2442,A246)&gt;0,"بله","خیر")</f>
        <v/>
      </c>
    </row>
    <row r="247" ht="15" customHeight="1" s="14">
      <c r="A247" s="24" t="n">
        <v>393</v>
      </c>
      <c r="B247" s="24" t="inlineStr">
        <is>
          <t>پليفلکس دکستروز   محلول تزريقي داخل وريدي 5 %/0.9 % 500 mL</t>
        </is>
      </c>
      <c r="C247" s="25">
        <f>IF(COUNTIF('کدهای پیام‌داروساز'!$A$2:$A$2442,A247)&gt;0,"بله","خیر")</f>
        <v/>
      </c>
    </row>
    <row r="248" ht="15" customHeight="1" s="14">
      <c r="A248" s="24" t="n">
        <v>394</v>
      </c>
      <c r="B248" s="24" t="inlineStr">
        <is>
          <t>دکستروز/اتانول   محلول تزريقي داخل وريدي 5 %/5 % 1000 mL - داروسازي شهيد قاضي</t>
        </is>
      </c>
      <c r="C248" s="25">
        <f>IF(COUNTIF('کدهای پیام‌داروساز'!$A$2:$A$2442,A248)&gt;0,"بله","خیر")</f>
        <v/>
      </c>
    </row>
    <row r="249" ht="15" customHeight="1" s="14">
      <c r="A249" s="24" t="n">
        <v>395</v>
      </c>
      <c r="B249" s="24" t="inlineStr">
        <is>
          <t>دکستروز / سديم کلرايد   محلول تزريقي داخل وريدي 3.33 %/0.3 % 1000 mL - آرتا قلب بهسان طب</t>
        </is>
      </c>
      <c r="C249" s="25">
        <f>IF(COUNTIF('کدهای پیام‌داروساز'!$A$2:$A$2442,A249)&gt;0,"بله","خیر")</f>
        <v/>
      </c>
    </row>
    <row r="250" ht="15" customHeight="1" s="14">
      <c r="A250" s="24" t="n">
        <v>396</v>
      </c>
      <c r="B250" s="24" t="inlineStr">
        <is>
          <t>دکستروز3/33درصد و سديم کلرايد0/3درصد سرم تزريقي 500 م ل- ثامن</t>
        </is>
      </c>
      <c r="C250" s="25">
        <f>IF(COUNTIF('کدهای پیام‌داروساز'!$A$2:$A$2442,A250)&gt;0,"بله","خیر")</f>
        <v/>
      </c>
    </row>
    <row r="251" ht="15" customHeight="1" s="14">
      <c r="A251" s="24" t="n">
        <v>398</v>
      </c>
      <c r="B251" s="24" t="inlineStr">
        <is>
          <t>دگزامتازون   قرص خوراکي 0.5 mg - بارن فارمد پارسيان</t>
        </is>
      </c>
      <c r="C251" s="25">
        <f>IF(COUNTIF('کدهای پیام‌داروساز'!$A$2:$A$2442,A251)&gt;0,"بله","خیر")</f>
        <v/>
      </c>
    </row>
    <row r="252" ht="15" customHeight="1" s="14">
      <c r="A252" s="24" t="n">
        <v>399</v>
      </c>
      <c r="B252" s="24" t="inlineStr">
        <is>
          <t>دگزامتازون 1/. درصد 5 م ل قطره استريل چشمي و گوشي - داروپخش</t>
        </is>
      </c>
      <c r="C252" s="25">
        <f>IF(COUNTIF('کدهای پیام‌داروساز'!$A$2:$A$2442,A252)&gt;0,"بله","خیر")</f>
        <v/>
      </c>
    </row>
    <row r="253" ht="15" customHeight="1" s="14">
      <c r="A253" s="24" t="n">
        <v>400</v>
      </c>
      <c r="B253" s="24" t="inlineStr">
        <is>
          <t>آکوازون   تزريقي پرنترال 4 mg/1mL 2 mL</t>
        </is>
      </c>
      <c r="C253" s="25">
        <f>IF(COUNTIF('کدهای پیام‌داروساز'!$A$2:$A$2442,A253)&gt;0,"بله","خیر")</f>
        <v/>
      </c>
    </row>
    <row r="254" ht="15" customHeight="1" s="14">
      <c r="A254" s="24" t="n">
        <v>403</v>
      </c>
      <c r="B254" s="24" t="inlineStr">
        <is>
          <t>ايپانتن (دکسپانتنول) 5 درصد 30 گرم کرم موضعي - کاسپين</t>
        </is>
      </c>
      <c r="C254" s="25">
        <f>IF(COUNTIF('کدهای پیام‌داروساز'!$A$2:$A$2442,A254)&gt;0,"بله","خیر")</f>
        <v/>
      </c>
    </row>
    <row r="255" ht="15" customHeight="1" s="14">
      <c r="A255" s="24" t="n">
        <v>405</v>
      </c>
      <c r="B255" s="24" t="inlineStr">
        <is>
          <t>برينيل (دکسترومتورفان) شربت 60م ل -خوارزمي</t>
        </is>
      </c>
      <c r="C255" s="25">
        <f>IF(COUNTIF('کدهای پیام‌داروساز'!$A$2:$A$2442,A255)&gt;0,"بله","خیر")</f>
        <v/>
      </c>
    </row>
    <row r="256" ht="15" customHeight="1" s="14">
      <c r="A256" s="24" t="n">
        <v>406</v>
      </c>
      <c r="B256" s="24" t="inlineStr">
        <is>
          <t>دکسترومتورفان-الحاوي   محلول، قطره خوراکي 4 mg/1mL 15 mL - الحاوي</t>
        </is>
      </c>
      <c r="C256" s="25">
        <f>IF(COUNTIF('کدهای پیام‌داروساز'!$A$2:$A$2442,A256)&gt;0,"بله","خیر")</f>
        <v/>
      </c>
    </row>
    <row r="257" ht="15" customHeight="1" s="14">
      <c r="A257" s="24" t="n">
        <v>407</v>
      </c>
      <c r="B257" s="24" t="inlineStr">
        <is>
          <t>دکسترومتورفان هيدروبرومايد 15 م گ قرص - پورسينا</t>
        </is>
      </c>
      <c r="C257" s="25">
        <f>IF(COUNTIF('کدهای پیام‌داروساز'!$A$2:$A$2442,A257)&gt;0,"بله","خیر")</f>
        <v/>
      </c>
    </row>
    <row r="258" ht="15" customHeight="1" s="14">
      <c r="A258" s="24" t="n">
        <v>408</v>
      </c>
      <c r="B258" s="24" t="inlineStr">
        <is>
          <t>پزوفان   شربت خوراکي 15 mg/30 mg/5mL 60 mL - داروسازي رها اصفهان</t>
        </is>
      </c>
      <c r="C258" s="25">
        <f>IF(COUNTIF('کدهای پیام‌داروساز'!$A$2:$A$2442,A258)&gt;0,"بله","خیر")</f>
        <v/>
      </c>
    </row>
    <row r="259" ht="15" customHeight="1" s="14">
      <c r="A259" s="24" t="n">
        <v>410</v>
      </c>
      <c r="B259" s="24" t="inlineStr">
        <is>
          <t>دکستروز   محلول تزريقي داخل وريدي 10 % 1000 mL - داروسازي شهيد قاضي</t>
        </is>
      </c>
      <c r="C259" s="25">
        <f>IF(COUNTIF('کدهای پیام‌داروساز'!$A$2:$A$2442,A259)&gt;0,"بله","خیر")</f>
        <v/>
      </c>
    </row>
    <row r="260" ht="15" customHeight="1" s="14">
      <c r="A260" s="24" t="n">
        <v>411</v>
      </c>
      <c r="B260" s="24" t="inlineStr">
        <is>
          <t>بيوفلکس   محلول تزريقي داخل وريدي 10 % 500 mL - درمان ياب آنا</t>
        </is>
      </c>
      <c r="C260" s="25">
        <f>IF(COUNTIF('کدهای پیام‌داروساز'!$A$2:$A$2442,A260)&gt;0,"بله","خیر")</f>
        <v/>
      </c>
    </row>
    <row r="261" ht="15" customHeight="1" s="14">
      <c r="A261" s="24" t="n">
        <v>413</v>
      </c>
      <c r="B261" s="24" t="inlineStr">
        <is>
          <t>دکستروز   محلول تزريقي داخل وريدي 5 % 1000 L - داروسازي ثامن</t>
        </is>
      </c>
      <c r="C261" s="25">
        <f>IF(COUNTIF('کدهای پیام‌داروساز'!$A$2:$A$2442,A261)&gt;0,"بله","خیر")</f>
        <v/>
      </c>
    </row>
    <row r="262" ht="15" customHeight="1" s="14">
      <c r="A262" s="24" t="n">
        <v>414</v>
      </c>
      <c r="B262" s="24" t="inlineStr">
        <is>
          <t>دکستروز   محلول تزريقي داخل وريدي 5 % 500 mL</t>
        </is>
      </c>
      <c r="C262" s="25">
        <f>IF(COUNTIF('کدهای پیام‌داروساز'!$A$2:$A$2442,A262)&gt;0,"بله","خیر")</f>
        <v/>
      </c>
    </row>
    <row r="263" ht="15" customHeight="1" s="14">
      <c r="A263" s="24" t="n">
        <v>415</v>
      </c>
      <c r="B263" s="24" t="inlineStr">
        <is>
          <t>دکستروز   محلول غليظ تزريقي داخل وريدي 50 % 50 mL</t>
        </is>
      </c>
      <c r="C263" s="25">
        <f>IF(COUNTIF('کدهای پیام‌داروساز'!$A$2:$A$2442,A263)&gt;0,"بله","خیر")</f>
        <v/>
      </c>
    </row>
    <row r="264" ht="15" customHeight="1" s="14">
      <c r="A264" s="24" t="n">
        <v>416</v>
      </c>
      <c r="B264" s="24" t="inlineStr">
        <is>
          <t>يدوکينول 210 م گ قرص - پورسينا</t>
        </is>
      </c>
      <c r="C264" s="25">
        <f>IF(COUNTIF('کدهای پیام‌داروساز'!$A$2:$A$2442,A264)&gt;0,"بله","خیر")</f>
        <v/>
      </c>
    </row>
    <row r="265" ht="15" customHeight="1" s="14">
      <c r="A265" s="24" t="n">
        <v>417</v>
      </c>
      <c r="B265" s="24" t="inlineStr">
        <is>
          <t>ديازپام 10 م گ قرص - سبحان</t>
        </is>
      </c>
      <c r="C265" s="25">
        <f>IF(COUNTIF('کدهای پیام‌داروساز'!$A$2:$A$2442,A265)&gt;0,"بله","خیر")</f>
        <v/>
      </c>
    </row>
    <row r="266" ht="15" customHeight="1" s="14">
      <c r="A266" s="24" t="n">
        <v>418</v>
      </c>
      <c r="B266" s="24" t="inlineStr">
        <is>
          <t>ديازپام   تزريقي پرنترال 5 mg/1mL 2 mL - صنعتي کيميدارو</t>
        </is>
      </c>
      <c r="C266" s="25">
        <f>IF(COUNTIF('کدهای پیام‌داروساز'!$A$2:$A$2442,A266)&gt;0,"بله","خیر")</f>
        <v/>
      </c>
    </row>
    <row r="267" ht="15" customHeight="1" s="14">
      <c r="A267" s="24" t="n">
        <v>419</v>
      </c>
      <c r="B267" s="24" t="inlineStr">
        <is>
          <t>ديازپام 2 قرص - لقمان</t>
        </is>
      </c>
      <c r="C267" s="25">
        <f>IF(COUNTIF('کدهای پیام‌داروساز'!$A$2:$A$2442,A267)&gt;0,"بله","خیر")</f>
        <v/>
      </c>
    </row>
    <row r="268" ht="15" customHeight="1" s="14">
      <c r="A268" s="24" t="n">
        <v>420</v>
      </c>
      <c r="B268" s="24" t="inlineStr">
        <is>
          <t>ديازپام   قرص خوراکي 5 mg - صنعتي کيميدارو</t>
        </is>
      </c>
      <c r="C268" s="25">
        <f>IF(COUNTIF('کدهای پیام‌داروساز'!$A$2:$A$2442,A268)&gt;0,"بله","خیر")</f>
        <v/>
      </c>
    </row>
    <row r="269" ht="15" customHeight="1" s="14">
      <c r="A269" s="24" t="n">
        <v>421</v>
      </c>
      <c r="B269" s="24" t="inlineStr">
        <is>
          <t>پروگليسم (ديازوکسايد) 100 ميلي گرم کپسول مرک شارپ</t>
        </is>
      </c>
      <c r="C269" s="25">
        <f>IF(COUNTIF('کدهای پیام‌داروساز'!$A$2:$A$2442,A269)&gt;0,"بله","خیر")</f>
        <v/>
      </c>
    </row>
    <row r="270" ht="15" customHeight="1" s="14">
      <c r="A270" s="24" t="n">
        <v>424</v>
      </c>
      <c r="B270" s="24" t="inlineStr">
        <is>
          <t>ديکلوتان (ديکلوفناک سديم) 25 م گ قرص - سبحان</t>
        </is>
      </c>
      <c r="C270" s="25">
        <f>IF(COUNTIF('کدهای پیام‌داروساز'!$A$2:$A$2442,A270)&gt;0,"بله","خیر")</f>
        <v/>
      </c>
    </row>
    <row r="271" ht="15" customHeight="1" s="14">
      <c r="A271" s="24" t="n">
        <v>425</v>
      </c>
      <c r="B271" s="24" t="inlineStr">
        <is>
          <t>آلفن   تزريقي پرنترال 25 mg/1mL 3 mL - البرز دارو</t>
        </is>
      </c>
      <c r="C271" s="25">
        <f>IF(COUNTIF('کدهای پیام‌داروساز'!$A$2:$A$2442,A271)&gt;0,"بله","خیر")</f>
        <v/>
      </c>
    </row>
    <row r="272" ht="15" customHeight="1" s="14">
      <c r="A272" s="24" t="n">
        <v>426</v>
      </c>
      <c r="B272" s="24" t="inlineStr">
        <is>
          <t>ديکلن (ديکلوفناک) 1 درصد 60 گرم ژل موضعي - داروپخش</t>
        </is>
      </c>
      <c r="C272" s="25">
        <f>IF(COUNTIF('کدهای پیام‌داروساز'!$A$2:$A$2442,A272)&gt;0,"بله","خیر")</f>
        <v/>
      </c>
    </row>
    <row r="273" ht="15" customHeight="1" s="14">
      <c r="A273" s="24" t="n">
        <v>427</v>
      </c>
      <c r="B273" s="24" t="inlineStr">
        <is>
          <t>آفيکلوناک (ديکلوفناک) 100 م گ شياف - آوندفر</t>
        </is>
      </c>
      <c r="C273" s="25">
        <f>IF(COUNTIF('کدهای پیام‌داروساز'!$A$2:$A$2442,A273)&gt;0,"بله","خیر")</f>
        <v/>
      </c>
    </row>
    <row r="274" ht="15" customHeight="1" s="14">
      <c r="A274" s="24" t="n">
        <v>428</v>
      </c>
      <c r="B274" s="24" t="inlineStr">
        <is>
          <t>آفيکلوناک (ديکلوفناک سديم) 50 م گ شياف - آوندفر</t>
        </is>
      </c>
      <c r="C274" s="25">
        <f>IF(COUNTIF('کدهای پیام‌داروساز'!$A$2:$A$2442,A274)&gt;0,"بله","خیر")</f>
        <v/>
      </c>
    </row>
    <row r="275" ht="15" customHeight="1" s="14">
      <c r="A275" s="24" t="n">
        <v>429</v>
      </c>
      <c r="B275" s="24" t="inlineStr">
        <is>
          <t>دي سيکلومين   قرص خوراکي 10 mg - داروسازي آني درمان</t>
        </is>
      </c>
      <c r="C275" s="25">
        <f>IF(COUNTIF('کدهای پیام‌داروساز'!$A$2:$A$2442,A275)&gt;0,"بله","خیر")</f>
        <v/>
      </c>
    </row>
    <row r="276" ht="15" customHeight="1" s="14">
      <c r="A276" s="24" t="n">
        <v>430</v>
      </c>
      <c r="B276" s="24" t="inlineStr">
        <is>
          <t>اسپاسموس   الگزير خوراکي 10 mg/5mL 60 mL - بانيان پيک دارويي صبح</t>
        </is>
      </c>
      <c r="C276" s="25">
        <f>IF(COUNTIF('کدهای پیام‌داروساز'!$A$2:$A$2442,A276)&gt;0,"بله","خیر")</f>
        <v/>
      </c>
    </row>
    <row r="277" ht="15" customHeight="1" s="14">
      <c r="A277" s="24" t="n">
        <v>431</v>
      </c>
      <c r="B277" s="24" t="inlineStr">
        <is>
          <t>ايپي کلومين   تزريقي پرنترال 10 mg/1mL 2 mL</t>
        </is>
      </c>
      <c r="C277" s="25">
        <f>IF(COUNTIF('کدهای پیام‌داروساز'!$A$2:$A$2442,A277)&gt;0,"بله","خیر")</f>
        <v/>
      </c>
    </row>
    <row r="278" ht="15" customHeight="1" s="14">
      <c r="A278" s="24" t="n">
        <v>435</v>
      </c>
      <c r="B278" s="24" t="inlineStr">
        <is>
          <t>اونانزيم   قرص انتريک کوتد خوراکي 40 mg/6000 [iU]/10500 [iU]/600 [iU]</t>
        </is>
      </c>
      <c r="C278" s="25">
        <f>IF(COUNTIF('کدهای پیام‌داروساز'!$A$2:$A$2442,A278)&gt;0,"بله","خیر")</f>
        <v/>
      </c>
    </row>
    <row r="279" ht="15" customHeight="1" s="14">
      <c r="A279" s="24" t="n">
        <v>436</v>
      </c>
      <c r="B279" s="24" t="inlineStr">
        <is>
          <t>(ديگوگسين)آمپول -آسپن</t>
        </is>
      </c>
      <c r="C279" s="25">
        <f>IF(COUNTIF('کدهای پیام‌داروساز'!$A$2:$A$2442,A279)&gt;0,"بله","خیر")</f>
        <v/>
      </c>
    </row>
    <row r="280" ht="15" customHeight="1" s="14">
      <c r="A280" s="24" t="n">
        <v>438</v>
      </c>
      <c r="B280" s="24" t="inlineStr">
        <is>
          <t>ديگوکرن   تزريقي پرنترال 0.25 mg/1mL 2 mg - سامان دارو سلامت</t>
        </is>
      </c>
      <c r="C280" s="25">
        <f>IF(COUNTIF('کدهای پیام‌داروساز'!$A$2:$A$2442,A280)&gt;0,"بله","خیر")</f>
        <v/>
      </c>
    </row>
    <row r="281" ht="15" customHeight="1" s="14">
      <c r="A281" s="24" t="n">
        <v>439</v>
      </c>
      <c r="B281" s="24" t="inlineStr">
        <is>
          <t>ديگوکسين شربت</t>
        </is>
      </c>
      <c r="C281" s="25">
        <f>IF(COUNTIF('کدهای پیام‌داروساز'!$A$2:$A$2442,A281)&gt;0,"بله","خیر")</f>
        <v/>
      </c>
    </row>
    <row r="282" ht="15" customHeight="1" s="14">
      <c r="A282" s="24" t="n">
        <v>440</v>
      </c>
      <c r="B282" s="24" t="inlineStr">
        <is>
          <t>دي هيدروارگوتامين مينو ( دي هيدروارگوتامين ) 1 ميلي ليتر آمپول  - مينو</t>
        </is>
      </c>
      <c r="C282" s="25">
        <f>IF(COUNTIF('کدهای پیام‌داروساز'!$A$2:$A$2442,A282)&gt;0,"بله","خیر")</f>
        <v/>
      </c>
    </row>
    <row r="283" ht="15" customHeight="1" s="14">
      <c r="A283" s="24" t="n">
        <v>442</v>
      </c>
      <c r="B283" s="24" t="inlineStr">
        <is>
          <t>دي هيدروارگوتامين-مينو   قرص خوراکي 2.5 mg - داروئي ارايشي وبهداشتي مينو</t>
        </is>
      </c>
      <c r="C283" s="25">
        <f>IF(COUNTIF('کدهای پیام‌داروساز'!$A$2:$A$2442,A283)&gt;0,"بله","خیر")</f>
        <v/>
      </c>
    </row>
    <row r="284" ht="15" customHeight="1" s="14">
      <c r="A284" s="24" t="n">
        <v>447</v>
      </c>
      <c r="B284" s="24" t="inlineStr">
        <is>
          <t>دلتيزم   قرص خوراکي 60 mg</t>
        </is>
      </c>
      <c r="C284" s="25">
        <f>IF(COUNTIF('کدهای پیام‌داروساز'!$A$2:$A$2442,A284)&gt;0,"بله","خیر")</f>
        <v/>
      </c>
    </row>
    <row r="285" ht="15" customHeight="1" s="14">
      <c r="A285" s="24" t="n">
        <v>448</v>
      </c>
      <c r="B285" s="24" t="inlineStr">
        <is>
          <t>تراولين   قرص خوراکي 50 mg</t>
        </is>
      </c>
      <c r="C285" s="25">
        <f>IF(COUNTIF('کدهای پیام‌داروساز'!$A$2:$A$2442,A285)&gt;0,"بله","خیر")</f>
        <v/>
      </c>
    </row>
    <row r="286" ht="15" customHeight="1" s="14">
      <c r="A286" s="24" t="n">
        <v>450</v>
      </c>
      <c r="B286" s="24" t="inlineStr">
        <is>
          <t>دي متيل سولفوکسايد   محلول پرنترال 50 % 50 % - تامين آوا سلامت</t>
        </is>
      </c>
      <c r="C286" s="25">
        <f>IF(COUNTIF('کدهای پیام‌داروساز'!$A$2:$A$2442,A286)&gt;0,"بله","خیر")</f>
        <v/>
      </c>
    </row>
    <row r="287" ht="15" customHeight="1" s="14">
      <c r="A287" s="24" t="n">
        <v>453</v>
      </c>
      <c r="B287" s="24" t="inlineStr">
        <is>
          <t>آمپول ديفن هيدرامين اچ سي ال) 50 ميلي گرم / 1 ميلي ليتر</t>
        </is>
      </c>
      <c r="C287" s="25">
        <f>IF(COUNTIF('کدهای پیام‌داروساز'!$A$2:$A$2442,A287)&gt;0,"بله","خیر")</f>
        <v/>
      </c>
    </row>
    <row r="288" ht="15" customHeight="1" s="14">
      <c r="A288" s="24" t="n">
        <v>454</v>
      </c>
      <c r="B288" s="24" t="inlineStr">
        <is>
          <t>بهديفن   محلول خوراکي 12.5 mg/5mL 60 mL - داروسازي بهستان</t>
        </is>
      </c>
      <c r="C288" s="25">
        <f>IF(COUNTIF('کدهای پیام‌داروساز'!$A$2:$A$2442,A288)&gt;0,"بله","خیر")</f>
        <v/>
      </c>
    </row>
    <row r="289" ht="15" customHeight="1" s="14">
      <c r="A289" s="24" t="n">
        <v>456</v>
      </c>
      <c r="B289" s="24" t="inlineStr">
        <is>
          <t xml:space="preserve">ديفن هيدرامين کامپاند 60 م ل شربت </t>
        </is>
      </c>
      <c r="C289" s="25">
        <f>IF(COUNTIF('کدهای پیام‌داروساز'!$A$2:$A$2442,A289)&gt;0,"بله","خیر")</f>
        <v/>
      </c>
    </row>
    <row r="290" ht="15" customHeight="1" s="14">
      <c r="A290" s="24" t="n">
        <v>457</v>
      </c>
      <c r="B290" s="24" t="inlineStr">
        <is>
          <t>دي فنوکسيلات 2.5 قرص - تهران شيمي</t>
        </is>
      </c>
      <c r="C290" s="25">
        <f>IF(COUNTIF('کدهای پیام‌داروساز'!$A$2:$A$2442,A290)&gt;0,"بله","خیر")</f>
        <v/>
      </c>
    </row>
    <row r="291" ht="15" customHeight="1" s="14">
      <c r="A291" s="24" t="n">
        <v>459</v>
      </c>
      <c r="B291" s="24" t="inlineStr">
        <is>
          <t>آمپول پرسانتين ® 10 ميلي گرم / 2 ميلي ليتر   تزريقي پرنترال 5 mg/1mL 2</t>
        </is>
      </c>
      <c r="C291" s="25">
        <f>IF(COUNTIF('کدهای پیام‌داروساز'!$A$2:$A$2442,A291)&gt;0,"بله","خیر")</f>
        <v/>
      </c>
    </row>
    <row r="292" ht="15" customHeight="1" s="14">
      <c r="A292" s="24" t="n">
        <v>460</v>
      </c>
      <c r="B292" s="24" t="inlineStr">
        <is>
          <t>دي پيريدامول   قرص خوراکي 25 mg - داروسازي توليد دارو</t>
        </is>
      </c>
      <c r="C292" s="25">
        <f>IF(COUNTIF('کدهای پیام‌داروساز'!$A$2:$A$2442,A292)&gt;0,"بله","خیر")</f>
        <v/>
      </c>
    </row>
    <row r="293" ht="15" customHeight="1" s="14">
      <c r="A293" s="24" t="n">
        <v>461</v>
      </c>
      <c r="B293" s="24" t="inlineStr">
        <is>
          <t>دي پيريدامول   قرص خوراکي 75 mg</t>
        </is>
      </c>
      <c r="C293" s="25">
        <f>IF(COUNTIF('کدهای پیام‌داروساز'!$A$2:$A$2442,A293)&gt;0,"بله","خیر")</f>
        <v/>
      </c>
    </row>
    <row r="294" ht="15" customHeight="1" s="14">
      <c r="A294" s="24" t="n">
        <v>466</v>
      </c>
      <c r="B294" s="24" t="inlineStr">
        <is>
          <t>دو بوتامين - آرنگ   پودر لئوفيليزه براي تهيه محلول تزريقي داخل وريدي 250 mg  mg - دارو درمان آرنگ</t>
        </is>
      </c>
      <c r="C294" s="25">
        <f>IF(COUNTIF('کدهای پیام‌داروساز'!$A$2:$A$2442,A294)&gt;0,"بله","خیر")</f>
        <v/>
      </c>
    </row>
    <row r="295" ht="15" customHeight="1" s="14">
      <c r="A295" s="24" t="n">
        <v>468</v>
      </c>
      <c r="B295" s="24" t="inlineStr">
        <is>
          <t>دپاديک   تزريقي پرنترال 40 mg/1mL 5 mg - فرا درمان آذربايجان</t>
        </is>
      </c>
      <c r="C295" s="25">
        <f>IF(COUNTIF('کدهای پیام‌داروساز'!$A$2:$A$2442,A295)&gt;0,"بله","خیر")</f>
        <v/>
      </c>
    </row>
    <row r="296" ht="15" customHeight="1" s="14">
      <c r="A296" s="24" t="n">
        <v>469</v>
      </c>
      <c r="B296" s="24" t="inlineStr">
        <is>
          <t>بايوسوپت 2% (دورزولاميد) قطره چشمي 5ML - باختر بيوشيمي</t>
        </is>
      </c>
      <c r="C296" s="25">
        <f>IF(COUNTIF('کدهای پیام‌داروساز'!$A$2:$A$2442,A296)&gt;0,"بله","خیر")</f>
        <v/>
      </c>
    </row>
    <row r="297" ht="15" customHeight="1" s="14">
      <c r="A297" s="24" t="n">
        <v>470</v>
      </c>
      <c r="B297" s="24" t="inlineStr">
        <is>
          <t>آپو دوکسپين 10 کپسول-آپوتکس</t>
        </is>
      </c>
      <c r="C297" s="25">
        <f>IF(COUNTIF('کدهای پیام‌داروساز'!$A$2:$A$2442,A297)&gt;0,"بله","خیر")</f>
        <v/>
      </c>
    </row>
    <row r="298" ht="15" customHeight="1" s="14">
      <c r="A298" s="24" t="n">
        <v>471</v>
      </c>
      <c r="B298" s="24" t="inlineStr">
        <is>
          <t>آپو-دوکسپين   کپسول خوراکي 25 mg - رستا ايمن دارو</t>
        </is>
      </c>
      <c r="C298" s="25">
        <f>IF(COUNTIF('کدهای پیام‌داروساز'!$A$2:$A$2442,A298)&gt;0,"بله","خیر")</f>
        <v/>
      </c>
    </row>
    <row r="299" ht="15" customHeight="1" s="14">
      <c r="A299" s="24" t="n">
        <v>474</v>
      </c>
      <c r="B299" s="24" t="inlineStr">
        <is>
          <t>داکسي سايکلين 100 م گ کپسول خارجي</t>
        </is>
      </c>
      <c r="C299" s="25">
        <f>IF(COUNTIF('کدهای پیام‌داروساز'!$A$2:$A$2442,A299)&gt;0,"بله","خیر")</f>
        <v/>
      </c>
    </row>
    <row r="300" ht="15" customHeight="1" s="14">
      <c r="A300" s="24" t="n">
        <v>482</v>
      </c>
      <c r="B300" s="24" t="inlineStr">
        <is>
          <t>انالاپريل   قرص خوراکي 20 mg</t>
        </is>
      </c>
      <c r="C300" s="25">
        <f>IF(COUNTIF('کدهای پیام‌داروساز'!$A$2:$A$2442,A300)&gt;0,"بله","خیر")</f>
        <v/>
      </c>
    </row>
    <row r="301" ht="15" customHeight="1" s="14">
      <c r="A301" s="24" t="n">
        <v>483</v>
      </c>
      <c r="B301" s="24" t="inlineStr">
        <is>
          <t>انالاپريل   قرص خوراکي 5 mg - پور سينا</t>
        </is>
      </c>
      <c r="C301" s="25">
        <f>IF(COUNTIF('کدهای پیام‌داروساز'!$A$2:$A$2442,A301)&gt;0,"بله","خیر")</f>
        <v/>
      </c>
    </row>
    <row r="302" ht="15" customHeight="1" s="14">
      <c r="A302" s="24" t="n">
        <v>486</v>
      </c>
      <c r="B302" s="24" t="inlineStr">
        <is>
          <t>افدرين آمپول - اوتروپ</t>
        </is>
      </c>
      <c r="C302" s="25">
        <f>IF(COUNTIF('کدهای پیام‌داروساز'!$A$2:$A$2442,A302)&gt;0,"بله","خیر")</f>
        <v/>
      </c>
    </row>
    <row r="303" ht="15" customHeight="1" s="14">
      <c r="A303" s="24" t="n">
        <v>487</v>
      </c>
      <c r="B303" s="24" t="inlineStr">
        <is>
          <t>افدرين   قرص خوراکي 20 mg - فوريتهاي سينا آرات گستر</t>
        </is>
      </c>
      <c r="C303" s="25">
        <f>IF(COUNTIF('کدهای پیام‌داروساز'!$A$2:$A$2442,A303)&gt;0,"بله","خیر")</f>
        <v/>
      </c>
    </row>
    <row r="304" ht="15" customHeight="1" s="14">
      <c r="A304" s="24" t="n">
        <v>492</v>
      </c>
      <c r="B304" s="24" t="inlineStr">
        <is>
          <t>اپي زين   پودر براي تهيه محلول تزريقي پرنترال 50 mg  mg - تجهيزات پزشکي دوستکام</t>
        </is>
      </c>
      <c r="C304" s="25">
        <f>IF(COUNTIF('کدهای پیام‌داروساز'!$A$2:$A$2442,A304)&gt;0,"بله","خیر")</f>
        <v/>
      </c>
    </row>
    <row r="305" ht="15" customHeight="1" s="14">
      <c r="A305" s="24" t="n">
        <v>493</v>
      </c>
      <c r="B305" s="24" t="inlineStr">
        <is>
          <t>ارگوتامين سي قرص - داروپخش</t>
        </is>
      </c>
      <c r="C305" s="25">
        <f>IF(COUNTIF('کدهای پیام‌داروساز'!$A$2:$A$2442,A305)&gt;0,"بله","خیر")</f>
        <v/>
      </c>
    </row>
    <row r="306" ht="15" customHeight="1" s="14">
      <c r="A306" s="24" t="n">
        <v>495</v>
      </c>
      <c r="B306" s="24" t="inlineStr">
        <is>
          <t>اريترومايسين   قرص خوراکي 200 mg - دارو سازي فارابي</t>
        </is>
      </c>
      <c r="C306" s="25">
        <f>IF(COUNTIF('کدهای پیام‌داروساز'!$A$2:$A$2442,A306)&gt;0,"بله","خیر")</f>
        <v/>
      </c>
    </row>
    <row r="307" ht="15" customHeight="1" s="14">
      <c r="A307" s="24" t="n">
        <v>496</v>
      </c>
      <c r="B307" s="24" t="inlineStr">
        <is>
          <t>اريترومايسين   قرص خوراکي 400 mg</t>
        </is>
      </c>
      <c r="C307" s="25">
        <f>IF(COUNTIF('کدهای پیام‌داروساز'!$A$2:$A$2442,A307)&gt;0,"بله","خیر")</f>
        <v/>
      </c>
    </row>
    <row r="308" ht="15" customHeight="1" s="14">
      <c r="A308" s="24" t="n">
        <v>497</v>
      </c>
      <c r="B308" s="24" t="inlineStr">
        <is>
          <t>اريترومايسين   پودر براي تهيه سوسپانسيون   خوراکي 200 mg/5mL 100 mL - توليد مواد داروئي درسا دارو</t>
        </is>
      </c>
      <c r="C308" s="25">
        <f>IF(COUNTIF('کدهای پیام‌داروساز'!$A$2:$A$2442,A308)&gt;0,"بله","خیر")</f>
        <v/>
      </c>
    </row>
    <row r="309" ht="15" customHeight="1" s="14">
      <c r="A309" s="24" t="n">
        <v>499</v>
      </c>
      <c r="B309" s="24" t="inlineStr">
        <is>
          <t>اريتروليدين   پماد چشمي 0.5 % 3 g - لابراتوارهاي سينا دارو</t>
        </is>
      </c>
      <c r="C309" s="25">
        <f>IF(COUNTIF('کدهای پیام‌داروساز'!$A$2:$A$2442,A309)&gt;0,"بله","خیر")</f>
        <v/>
      </c>
    </row>
    <row r="310" ht="15" customHeight="1" s="14">
      <c r="A310" s="24" t="n">
        <v>500</v>
      </c>
      <c r="B310" s="24" t="inlineStr">
        <is>
          <t>اريتروسل   پودر براي تهيه محلول تزريقي پرنترال 1 g  g - پويش دارو گستر برتر فارس</t>
        </is>
      </c>
      <c r="C310" s="25">
        <f>IF(COUNTIF('کدهای پیام‌داروساز'!$A$2:$A$2442,A310)&gt;0,"بله","خیر")</f>
        <v/>
      </c>
    </row>
    <row r="311" ht="15" customHeight="1" s="14">
      <c r="A311" s="24" t="n">
        <v>501</v>
      </c>
      <c r="B311" s="24" t="inlineStr">
        <is>
          <t>اپولي رک   تزريقي پرنترال 2000 [iU]/1mL  [iU] - توليد مواد داروئي درسا دارو</t>
        </is>
      </c>
      <c r="C311" s="25">
        <f>IF(COUNTIF('کدهای پیام‌داروساز'!$A$2:$A$2442,A311)&gt;0,"بله","خیر")</f>
        <v/>
      </c>
    </row>
    <row r="312" ht="15" customHeight="1" s="14">
      <c r="A312" s="24" t="n">
        <v>502</v>
      </c>
      <c r="B312" s="24" t="inlineStr">
        <is>
          <t>استراديول والرات   تزريقي پرنترال 10 mg/1mL  mg</t>
        </is>
      </c>
      <c r="C312" s="25">
        <f>IF(COUNTIF('کدهای پیام‌داروساز'!$A$2:$A$2442,A312)&gt;0,"بله","خیر")</f>
        <v/>
      </c>
    </row>
    <row r="313" ht="15" customHeight="1" s="14">
      <c r="A313" s="24" t="n">
        <v>503</v>
      </c>
      <c r="B313" s="24" t="inlineStr">
        <is>
          <t>استرابت   قرص خوراکي 1 mg</t>
        </is>
      </c>
      <c r="C313" s="25">
        <f>IF(COUNTIF('کدهای پیام‌داروساز'!$A$2:$A$2442,A313)&gt;0,"بله","خیر")</f>
        <v/>
      </c>
    </row>
    <row r="314" ht="15" customHeight="1" s="14">
      <c r="A314" s="24" t="n">
        <v>504</v>
      </c>
      <c r="B314" s="24" t="inlineStr">
        <is>
          <t>استراديول والرات   قرص خوراکي 2 mg - دارو درمان سپهر</t>
        </is>
      </c>
      <c r="C314" s="25">
        <f>IF(COUNTIF('کدهای پیام‌داروساز'!$A$2:$A$2442,A314)&gt;0,"بله","خیر")</f>
        <v/>
      </c>
    </row>
    <row r="315" ht="15" customHeight="1" s="14">
      <c r="A315" s="24" t="n">
        <v>505</v>
      </c>
      <c r="B315" s="24" t="inlineStr">
        <is>
          <t>استراسيت   کپسول خوراکي 140 mg  [Amb'a'1'U] - فوريتهاي سينا آرات گستر</t>
        </is>
      </c>
      <c r="C315" s="25">
        <f>IF(COUNTIF('کدهای پیام‌داروساز'!$A$2:$A$2442,A315)&gt;0,"بله","خیر")</f>
        <v/>
      </c>
    </row>
    <row r="316" ht="15" customHeight="1" s="14">
      <c r="A316" s="24" t="n">
        <v>508</v>
      </c>
      <c r="B316" s="24" t="inlineStr">
        <is>
          <t>اتامبوتول   قرص خوراکي 400 mg  mg - ايران دارو</t>
        </is>
      </c>
      <c r="C316" s="25">
        <f>IF(COUNTIF('کدهای پیام‌داروساز'!$A$2:$A$2442,A316)&gt;0,"بله","خیر")</f>
        <v/>
      </c>
    </row>
    <row r="317" ht="15" customHeight="1" s="14">
      <c r="A317" s="24" t="n">
        <v>511</v>
      </c>
      <c r="B317" s="24" t="inlineStr">
        <is>
          <t>اتينيل استراديول   قرص خوراکي 0.05 mg - داروسازي ابوريحان</t>
        </is>
      </c>
      <c r="C317" s="25">
        <f>IF(COUNTIF('کدهای پیام‌داروساز'!$A$2:$A$2442,A317)&gt;0,"بله","خیر")</f>
        <v/>
      </c>
    </row>
    <row r="318" ht="15" customHeight="1" s="14">
      <c r="A318" s="24" t="n">
        <v>512</v>
      </c>
      <c r="B318" s="24" t="inlineStr">
        <is>
          <t>استراديول والرات 0.5 قرص - ابوريحان</t>
        </is>
      </c>
      <c r="C318" s="25">
        <f>IF(COUNTIF('کدهای پیام‌داروساز'!$A$2:$A$2442,A318)&gt;0,"بله","خیر")</f>
        <v/>
      </c>
    </row>
    <row r="319" ht="15" customHeight="1" s="14">
      <c r="A319" s="24" t="n">
        <v>513</v>
      </c>
      <c r="B319" s="24" t="inlineStr">
        <is>
          <t>اتوسوکسيمايد شربت 240ML - الحاوي</t>
        </is>
      </c>
      <c r="C319" s="25">
        <f>IF(COUNTIF('کدهای پیام‌داروساز'!$A$2:$A$2442,A319)&gt;0,"بله","خیر")</f>
        <v/>
      </c>
    </row>
    <row r="320" ht="15" customHeight="1" s="14">
      <c r="A320" s="24" t="n">
        <v>514</v>
      </c>
      <c r="B320" s="24" t="inlineStr">
        <is>
          <t>اتام   کپسول خوراکي 250 mg - دارويي پرسون بام بين الملل</t>
        </is>
      </c>
      <c r="C320" s="25">
        <f>IF(COUNTIF('کدهای پیام‌داروساز'!$A$2:$A$2442,A320)&gt;0,"بله","خیر")</f>
        <v/>
      </c>
    </row>
    <row r="321" ht="15" customHeight="1" s="14">
      <c r="A321" s="24" t="n">
        <v>517</v>
      </c>
      <c r="B321" s="24" t="inlineStr">
        <is>
          <t>اتو اسپال   کپسول خوراکي 100 mg  mg - رضا دارو پارس</t>
        </is>
      </c>
      <c r="C321" s="25">
        <f>IF(COUNTIF('کدهای پیام‌داروساز'!$A$2:$A$2442,A321)&gt;0,"بله","خیر")</f>
        <v/>
      </c>
    </row>
    <row r="322" ht="15" customHeight="1" s="14">
      <c r="A322" s="24" t="n">
        <v>518</v>
      </c>
      <c r="B322" s="24" t="inlineStr">
        <is>
          <t>اتوپودال (اتوپوزايد) 100 ميلي گرم / ميلي ليتر تزريقى سه دال نانو 5</t>
        </is>
      </c>
      <c r="C322" s="25">
        <f>IF(COUNTIF('کدهای پیام‌داروساز'!$A$2:$A$2442,A322)&gt;0,"بله","خیر")</f>
        <v/>
      </c>
    </row>
    <row r="323" ht="15" customHeight="1" s="14">
      <c r="A323" s="24" t="n">
        <v>520</v>
      </c>
      <c r="B323" s="24" t="inlineStr">
        <is>
          <t>اتو اسپال   کپسول خوراکي 50 mg - هيراد فارمد</t>
        </is>
      </c>
      <c r="C323" s="25">
        <f>IF(COUNTIF('کدهای پیام‌داروساز'!$A$2:$A$2442,A323)&gt;0,"بله","خیر")</f>
        <v/>
      </c>
    </row>
    <row r="324" ht="15" customHeight="1" s="14">
      <c r="A324" s="24" t="n">
        <v>523</v>
      </c>
      <c r="B324" s="24" t="inlineStr">
        <is>
          <t>اکسپکتورانت   شربت خوراکي 100 mg/2 mg/30 mg/5mL 60 mL - پور سينا</t>
        </is>
      </c>
      <c r="C324" s="25">
        <f>IF(COUNTIF('کدهای پیام‌داروساز'!$A$2:$A$2442,A324)&gt;0,"بله","خیر")</f>
        <v/>
      </c>
    </row>
    <row r="325" ht="15" customHeight="1" s="14">
      <c r="A325" s="24" t="n">
        <v>524</v>
      </c>
      <c r="B325" s="24" t="inlineStr">
        <is>
          <t>اکسپکتورانت کدئين 60 م ل شربت - الحاوي</t>
        </is>
      </c>
      <c r="C325" s="25">
        <f>IF(COUNTIF('کدهای پیام‌داروساز'!$A$2:$A$2442,A325)&gt;0,"بله","خیر")</f>
        <v/>
      </c>
    </row>
    <row r="326" ht="15" customHeight="1" s="14">
      <c r="A326" s="24" t="n">
        <v>527</v>
      </c>
      <c r="B326" s="24" t="inlineStr">
        <is>
          <t>فاموتد   قرص خوراکي 20 mg</t>
        </is>
      </c>
      <c r="C326" s="25">
        <f>IF(COUNTIF('کدهای پیام‌داروساز'!$A$2:$A$2442,A326)&gt;0,"بله","خیر")</f>
        <v/>
      </c>
    </row>
    <row r="327" ht="15" customHeight="1" s="14">
      <c r="A327" s="24" t="n">
        <v>528</v>
      </c>
      <c r="B327" s="24" t="inlineStr">
        <is>
          <t>فاموتد   قرص خوراکي 40 mg - دارو سازي تهران دارو</t>
        </is>
      </c>
      <c r="C327" s="25">
        <f>IF(COUNTIF('کدهای پیام‌داروساز'!$A$2:$A$2442,A327)&gt;0,"بله","خیر")</f>
        <v/>
      </c>
    </row>
    <row r="328" ht="15" customHeight="1" s="14">
      <c r="A328" s="24" t="n">
        <v>530</v>
      </c>
      <c r="B328" s="24" t="inlineStr">
        <is>
          <t>فربولين(فروس سولفات)قطره 15 ميلي ليتر - شهردارو</t>
        </is>
      </c>
      <c r="C328" s="25">
        <f>IF(COUNTIF('کدهای پیام‌داروساز'!$A$2:$A$2442,A328)&gt;0,"بله","خیر")</f>
        <v/>
      </c>
    </row>
    <row r="329" ht="15" customHeight="1" s="14">
      <c r="A329" s="24" t="n">
        <v>531</v>
      </c>
      <c r="B329" s="24" t="inlineStr">
        <is>
          <t>آمي فر-اس (فروس سولفات) قرص - امين</t>
        </is>
      </c>
      <c r="C329" s="25">
        <f>IF(COUNTIF('کدهای پیام‌داروساز'!$A$2:$A$2442,A329)&gt;0,"بله","خیر")</f>
        <v/>
      </c>
    </row>
    <row r="330" ht="15" customHeight="1" s="14">
      <c r="A330" s="24" t="n">
        <v>532</v>
      </c>
      <c r="B330" s="24" t="inlineStr">
        <is>
          <t>پري فيبري   پودر براي تهيه محلول تزريقي پرنترال 1 g  g - درمان آرا</t>
        </is>
      </c>
      <c r="C330" s="25">
        <f>IF(COUNTIF('کدهای پیام‌داروساز'!$A$2:$A$2442,A330)&gt;0,"بله","خیر")</f>
        <v/>
      </c>
    </row>
    <row r="331" ht="15" customHeight="1" s="14">
      <c r="A331" s="24" t="n">
        <v>533</v>
      </c>
      <c r="B331" s="24" t="inlineStr">
        <is>
          <t>فيبرينوليزين (دزوکسي ريبونوکلئاز) پماد موضعي 20 گرم - وستاژن پارس</t>
        </is>
      </c>
      <c r="C331" s="25">
        <f>IF(COUNTIF('کدهای پیام‌داروساز'!$A$2:$A$2442,A331)&gt;0,"بله","خیر")</f>
        <v/>
      </c>
    </row>
    <row r="332" ht="15" customHeight="1" s="14">
      <c r="A332" s="24" t="n">
        <v>535</v>
      </c>
      <c r="B332" s="24" t="inlineStr">
        <is>
          <t>فينازکس- آي اچ   قرص خوراکي 5 mg - ايران هورمون</t>
        </is>
      </c>
      <c r="C332" s="25">
        <f>IF(COUNTIF('کدهای پیام‌داروساز'!$A$2:$A$2442,A332)&gt;0,"بله","خیر")</f>
        <v/>
      </c>
    </row>
    <row r="333" ht="15" customHeight="1" s="14">
      <c r="A333" s="24" t="n">
        <v>536</v>
      </c>
      <c r="B333" s="24" t="inlineStr">
        <is>
          <t>تامونيد   قرص خوراکي 100 mg - آرنا حيات دانش</t>
        </is>
      </c>
      <c r="C333" s="25">
        <f>IF(COUNTIF('کدهای پیام‌داروساز'!$A$2:$A$2442,A333)&gt;0,"بله","خیر")</f>
        <v/>
      </c>
    </row>
    <row r="334" ht="15" customHeight="1" s="14">
      <c r="A334" s="24" t="n">
        <v>537</v>
      </c>
      <c r="B334" s="24" t="inlineStr">
        <is>
          <t>فلوکونازول   کپسول خوراکي 100 mg</t>
        </is>
      </c>
      <c r="C334" s="25">
        <f>IF(COUNTIF('کدهای پیام‌داروساز'!$A$2:$A$2442,A334)&gt;0,"بله","خیر")</f>
        <v/>
      </c>
    </row>
    <row r="335" ht="15" customHeight="1" s="14">
      <c r="A335" s="24" t="n">
        <v>538</v>
      </c>
      <c r="B335" s="24" t="inlineStr">
        <is>
          <t>فلوکونازول   کپسول خوراکي 150 mg</t>
        </is>
      </c>
      <c r="C335" s="25">
        <f>IF(COUNTIF('کدهای پیام‌داروساز'!$A$2:$A$2442,A335)&gt;0,"بله","خیر")</f>
        <v/>
      </c>
    </row>
    <row r="336" ht="15" customHeight="1" s="14">
      <c r="A336" s="24" t="n">
        <v>540</v>
      </c>
      <c r="B336" s="24" t="inlineStr">
        <is>
          <t>فلوکونازول   کپسول خوراکي 50 mg</t>
        </is>
      </c>
      <c r="C336" s="25">
        <f>IF(COUNTIF('کدهای پیام‌داروساز'!$A$2:$A$2442,A336)&gt;0,"بله","خیر")</f>
        <v/>
      </c>
    </row>
    <row r="337" ht="15" customHeight="1" s="14">
      <c r="A337" s="24" t="n">
        <v>541</v>
      </c>
      <c r="B337" s="24" t="inlineStr">
        <is>
          <t>انکتيل   قرص خوراکي 500 mg - دارو اثرت گستر</t>
        </is>
      </c>
      <c r="C337" s="25">
        <f>IF(COUNTIF('کدهای پیام‌داروساز'!$A$2:$A$2442,A337)&gt;0,"بله","خیر")</f>
        <v/>
      </c>
    </row>
    <row r="338" ht="15" customHeight="1" s="14">
      <c r="A338" s="24" t="n">
        <v>542</v>
      </c>
      <c r="B338" s="24" t="inlineStr">
        <is>
          <t>فلودارا   پودر براي تهيه محلول تزريقي داخل وريدي 50 mg  mg - پويش دارو گستر برتر فارس</t>
        </is>
      </c>
      <c r="C338" s="25">
        <f>IF(COUNTIF('کدهای پیام‌داروساز'!$A$2:$A$2442,A338)&gt;0,"بله","خیر")</f>
        <v/>
      </c>
    </row>
    <row r="339" ht="15" customHeight="1" s="14">
      <c r="A339" s="24" t="n">
        <v>543</v>
      </c>
      <c r="B339" s="24" t="inlineStr">
        <is>
          <t>فلودروکورتيزون   قرص خوراکي 0.1 mg - داروسازي ابوريحان</t>
        </is>
      </c>
      <c r="C339" s="25">
        <f>IF(COUNTIF('کدهای پیام‌داروساز'!$A$2:$A$2442,A339)&gt;0,"بله","خیر")</f>
        <v/>
      </c>
    </row>
    <row r="340" ht="15" customHeight="1" s="14">
      <c r="A340" s="24" t="n">
        <v>544</v>
      </c>
      <c r="B340" s="24" t="inlineStr">
        <is>
          <t>آمپول فلومازنيل-هاملن 0.1 ميلي گرم/ميلي ليتر 5 ميلي ليتر</t>
        </is>
      </c>
      <c r="C340" s="25">
        <f>IF(COUNTIF('کدهای پیام‌داروساز'!$A$2:$A$2442,A340)&gt;0,"بله","خیر")</f>
        <v/>
      </c>
    </row>
    <row r="341" ht="15" customHeight="1" s="14">
      <c r="A341" s="24" t="n">
        <v>545</v>
      </c>
      <c r="B341" s="24" t="inlineStr">
        <is>
          <t>درماسينول   پماد موضعي 0.025 % 15 g - پارس دارو</t>
        </is>
      </c>
      <c r="C341" s="25">
        <f>IF(COUNTIF('کدهای پیام‌داروساز'!$A$2:$A$2442,A341)&gt;0,"بله","خیر")</f>
        <v/>
      </c>
    </row>
    <row r="342" ht="15" customHeight="1" s="14">
      <c r="A342" s="24" t="n">
        <v>546</v>
      </c>
      <c r="B342" s="24" t="inlineStr">
        <is>
          <t>درماسينول   کرم موضعي 0.025 % 15 g - پارس دارو</t>
        </is>
      </c>
      <c r="C342" s="25">
        <f>IF(COUNTIF('کدهای پیام‌داروساز'!$A$2:$A$2442,A342)&gt;0,"بله","خیر")</f>
        <v/>
      </c>
    </row>
    <row r="343" ht="15" customHeight="1" s="14">
      <c r="A343" s="24" t="n">
        <v>547</v>
      </c>
      <c r="B343" s="24" t="inlineStr">
        <is>
          <t>آناترا   تزريقي پرنترال 10 % 5 mL - سينا پيشگام دارو نوين</t>
        </is>
      </c>
      <c r="C343" s="25">
        <f>IF(COUNTIF('کدهای پیام‌داروساز'!$A$2:$A$2442,A343)&gt;0,"بله","خیر")</f>
        <v/>
      </c>
    </row>
    <row r="344" ht="15" customHeight="1" s="14">
      <c r="A344" s="24" t="n">
        <v>548</v>
      </c>
      <c r="B344" s="24" t="inlineStr">
        <is>
          <t>اف ام ال   سوسپانسيون، قطره چشمي 0.1 % 5 % - پويش دارو گستر برتر فارس</t>
        </is>
      </c>
      <c r="C344" s="25">
        <f>IF(COUNTIF('کدهای پیام‌داروساز'!$A$2:$A$2442,A344)&gt;0,"بله","خیر")</f>
        <v/>
      </c>
    </row>
    <row r="345" ht="15" customHeight="1" s="14">
      <c r="A345" s="24" t="n">
        <v>549</v>
      </c>
      <c r="B345" s="24" t="inlineStr">
        <is>
          <t>افوديکس   کرم موضعي 5 % 20 g - درمان ياب دارو</t>
        </is>
      </c>
      <c r="C345" s="25">
        <f>IF(COUNTIF('کدهای پیام‌داروساز'!$A$2:$A$2442,A345)&gt;0,"بله","خیر")</f>
        <v/>
      </c>
    </row>
    <row r="346" ht="15" customHeight="1" s="14">
      <c r="A346" s="24" t="n">
        <v>550</v>
      </c>
      <c r="B346" s="24" t="inlineStr">
        <is>
          <t>5-اف يو   تزريقي پرنترال 50 mg/1mL 5 mg - نوآوران فخر دارو</t>
        </is>
      </c>
      <c r="C346" s="25">
        <f>IF(COUNTIF('کدهای پیام‌داروساز'!$A$2:$A$2442,A346)&gt;0,"بله","خیر")</f>
        <v/>
      </c>
    </row>
    <row r="347" ht="15" customHeight="1" s="14">
      <c r="A347" s="24" t="n">
        <v>551</v>
      </c>
      <c r="B347" s="24" t="inlineStr">
        <is>
          <t>پروزاک   کپسول خوراکي 20 mg</t>
        </is>
      </c>
      <c r="C347" s="25">
        <f>IF(COUNTIF('کدهای پیام‌داروساز'!$A$2:$A$2442,A347)&gt;0,"بله","خیر")</f>
        <v/>
      </c>
    </row>
    <row r="348" ht="15" customHeight="1" s="14">
      <c r="A348" s="24" t="n">
        <v>553</v>
      </c>
      <c r="B348" s="24" t="inlineStr">
        <is>
          <t>فلوفنازين   قرص خوراکي 1 mg 1 - صنعتي کيميدارو</t>
        </is>
      </c>
      <c r="C348" s="25">
        <f>IF(COUNTIF('کدهای پیام‌داروساز'!$A$2:$A$2442,A348)&gt;0,"بله","خیر")</f>
        <v/>
      </c>
    </row>
    <row r="349" ht="15" customHeight="1" s="14">
      <c r="A349" s="24" t="n">
        <v>554</v>
      </c>
      <c r="B349" s="24" t="inlineStr">
        <is>
          <t>فلوفنازين   قرص خوراکي 2.5 mg - صنعتي کيميدارو</t>
        </is>
      </c>
      <c r="C349" s="25">
        <f>IF(COUNTIF('کدهای پیام‌داروساز'!$A$2:$A$2442,A349)&gt;0,"بله","خیر")</f>
        <v/>
      </c>
    </row>
    <row r="350" ht="15" customHeight="1" s="14">
      <c r="A350" s="24" t="n">
        <v>555</v>
      </c>
      <c r="B350" s="24" t="inlineStr">
        <is>
          <t>سايکوسين   تزريقي پرنترال 25 mg/1mL  mg - تامين فارمد تهران</t>
        </is>
      </c>
      <c r="C350" s="25">
        <f>IF(COUNTIF('کدهای پیام‌داروساز'!$A$2:$A$2442,A350)&gt;0,"بله","خیر")</f>
        <v/>
      </c>
    </row>
    <row r="351" ht="15" customHeight="1" s="14">
      <c r="A351" s="24" t="n">
        <v>558</v>
      </c>
      <c r="B351" s="24" t="inlineStr">
        <is>
          <t>فلورازپام 15 م گ کپسول - پارس دارو</t>
        </is>
      </c>
      <c r="C351" s="25">
        <f>IF(COUNTIF('کدهای پیام‌داروساز'!$A$2:$A$2442,A351)&gt;0,"بله","خیر")</f>
        <v/>
      </c>
    </row>
    <row r="352" ht="15" customHeight="1" s="14">
      <c r="A352" s="24" t="n">
        <v>560</v>
      </c>
      <c r="B352" s="24" t="inlineStr">
        <is>
          <t>سوتاميد   قرص خوراکي 250 mg - داروسازي سبحان انکولوژي</t>
        </is>
      </c>
      <c r="C352" s="25">
        <f>IF(COUNTIF('کدهای پیام‌داروساز'!$A$2:$A$2442,A352)&gt;0,"بله","خیر")</f>
        <v/>
      </c>
    </row>
    <row r="353" ht="15" customHeight="1" s="14">
      <c r="A353" s="24" t="n">
        <v>562</v>
      </c>
      <c r="B353" s="24" t="inlineStr">
        <is>
          <t>فولي -1   قرص خوراکي 1 mg - مهردارو</t>
        </is>
      </c>
      <c r="C353" s="25">
        <f>IF(COUNTIF('کدهای پیام‌داروساز'!$A$2:$A$2442,A353)&gt;0,"بله","خیر")</f>
        <v/>
      </c>
    </row>
    <row r="354" ht="15" customHeight="1" s="14">
      <c r="A354" s="24" t="n">
        <v>568</v>
      </c>
      <c r="B354" s="24" t="inlineStr">
        <is>
          <t>قرص فورابن 100 ميلي گرم( فورازوليدون )</t>
        </is>
      </c>
      <c r="C354" s="25">
        <f>IF(COUNTIF('کدهای پیام‌داروساز'!$A$2:$A$2442,A354)&gt;0,"بله","خیر")</f>
        <v/>
      </c>
    </row>
    <row r="355" ht="15" customHeight="1" s="14">
      <c r="A355" s="24" t="n">
        <v>569</v>
      </c>
      <c r="B355" s="24" t="inlineStr">
        <is>
          <t>آمبنيل(فورازوليدون)سوسپانسيون 60 ميلي ليتر - KUMRA</t>
        </is>
      </c>
      <c r="C355" s="25">
        <f>IF(COUNTIF('کدهای پیام‌داروساز'!$A$2:$A$2442,A355)&gt;0,"بله","خیر")</f>
        <v/>
      </c>
    </row>
    <row r="356" ht="15" customHeight="1" s="14">
      <c r="A356" s="24" t="n">
        <v>570</v>
      </c>
      <c r="B356" s="24" t="inlineStr">
        <is>
          <t>فوروزمايد 20 م گ / 2 م ل آمپول - البرز دارو</t>
        </is>
      </c>
      <c r="C356" s="25">
        <f>IF(COUNTIF('کدهای پیام‌داروساز'!$A$2:$A$2442,A356)&gt;0,"بله","خیر")</f>
        <v/>
      </c>
    </row>
    <row r="357" ht="15" customHeight="1" s="14">
      <c r="A357" s="24" t="n">
        <v>571</v>
      </c>
      <c r="B357" s="24" t="inlineStr">
        <is>
          <t>فوروزمايد   قرص خوراکي 40 mg - البرز دارو</t>
        </is>
      </c>
      <c r="C357" s="25">
        <f>IF(COUNTIF('کدهای پیام‌داروساز'!$A$2:$A$2442,A357)&gt;0,"بله","خیر")</f>
        <v/>
      </c>
    </row>
    <row r="358" ht="15" customHeight="1" s="14">
      <c r="A358" s="24" t="n">
        <v>572</v>
      </c>
      <c r="B358" s="24" t="inlineStr">
        <is>
          <t>آپو-گاباپنتين   کپسول خوراکي 100 mg</t>
        </is>
      </c>
      <c r="C358" s="25">
        <f>IF(COUNTIF('کدهای پیام‌داروساز'!$A$2:$A$2442,A358)&gt;0,"بله","خیر")</f>
        <v/>
      </c>
    </row>
    <row r="359" ht="15" customHeight="1" s="14">
      <c r="A359" s="24" t="n">
        <v>573</v>
      </c>
      <c r="B359" s="24" t="inlineStr">
        <is>
          <t>آپو گاباپنتين 300 کپسول</t>
        </is>
      </c>
      <c r="C359" s="25">
        <f>IF(COUNTIF('کدهای پیام‌داروساز'!$A$2:$A$2442,A359)&gt;0,"بله","خیر")</f>
        <v/>
      </c>
    </row>
    <row r="360" ht="15" customHeight="1" s="14">
      <c r="A360" s="24" t="n">
        <v>574</v>
      </c>
      <c r="B360" s="24" t="inlineStr">
        <is>
          <t>اکتوپنتين   کپسول خوراکي 400 mg - اکتوورکو</t>
        </is>
      </c>
      <c r="C360" s="25">
        <f>IF(COUNTIF('کدهای پیام‌داروساز'!$A$2:$A$2442,A360)&gt;0,"بله","خیر")</f>
        <v/>
      </c>
    </row>
    <row r="361" ht="15" customHeight="1" s="14">
      <c r="A361" s="24" t="n">
        <v>575</v>
      </c>
      <c r="B361" s="24" t="inlineStr">
        <is>
          <t>ام آر-لوکس   تزريقي پرنترال 469 mg/1mL 15 g - ان بي اس کيش</t>
        </is>
      </c>
      <c r="C361" s="25">
        <f>IF(COUNTIF('کدهای پیام‌داروساز'!$A$2:$A$2442,A361)&gt;0,"بله","خیر")</f>
        <v/>
      </c>
    </row>
    <row r="362" ht="15" customHeight="1" s="14">
      <c r="A362" s="24" t="n">
        <v>577</v>
      </c>
      <c r="B362" s="24" t="inlineStr">
        <is>
          <t>اسکا سلو (ليندان) 1 درصد  60 م ل لوسيون - گيلارانکو</t>
        </is>
      </c>
      <c r="C362" s="25">
        <f>IF(COUNTIF('کدهای پیام‌داروساز'!$A$2:$A$2442,A362)&gt;0,"بله","خیر")</f>
        <v/>
      </c>
    </row>
    <row r="363" ht="15" customHeight="1" s="14">
      <c r="A363" s="24" t="n">
        <v>578</v>
      </c>
      <c r="B363" s="24" t="inlineStr">
        <is>
          <t>ليندالايس   شامپو موضعي 1 % 60 mL - گيلارانکو</t>
        </is>
      </c>
      <c r="C363" s="25">
        <f>IF(COUNTIF('کدهای پیام‌داروساز'!$A$2:$A$2442,A363)&gt;0,"بله","خیر")</f>
        <v/>
      </c>
    </row>
    <row r="364" ht="15" customHeight="1" s="14">
      <c r="A364" s="24" t="n">
        <v>581</v>
      </c>
      <c r="B364" s="24" t="inlineStr">
        <is>
          <t>تامووير   پودر لئوفيليزه براي تهيه محلول تزريقي پرنترال 500 mg  mg - دارو بهداشت درنا</t>
        </is>
      </c>
      <c r="C364" s="25">
        <f>IF(COUNTIF('کدهای پیام‌داروساز'!$A$2:$A$2442,A364)&gt;0,"بله","خیر")</f>
        <v/>
      </c>
    </row>
    <row r="365" ht="15" customHeight="1" s="14">
      <c r="A365" s="24" t="n">
        <v>583</v>
      </c>
      <c r="B365" s="24" t="inlineStr">
        <is>
          <t>ژلاتين مديفايد   محلول تزريقي داخل وريدي 3 % 500 L - داروسازي ثامن</t>
        </is>
      </c>
      <c r="C365" s="25">
        <f>IF(COUNTIF('کدهای پیام‌داروساز'!$A$2:$A$2442,A365)&gt;0,"بله","خیر")</f>
        <v/>
      </c>
    </row>
    <row r="366" ht="15" customHeight="1" s="14">
      <c r="A366" s="24" t="n">
        <v>584</v>
      </c>
      <c r="B366" s="24" t="inlineStr">
        <is>
          <t>جم فيبروزيل    کپسول خوراکي 300 mg - پور سينا</t>
        </is>
      </c>
      <c r="C366" s="25">
        <f>IF(COUNTIF('کدهای پیام‌داروساز'!$A$2:$A$2442,A366)&gt;0,"بله","خیر")</f>
        <v/>
      </c>
    </row>
    <row r="367" ht="15" customHeight="1" s="14">
      <c r="A367" s="24" t="n">
        <v>587</v>
      </c>
      <c r="B367" s="24" t="inlineStr">
        <is>
          <t>جنتاديک   تزريقي پرنترال 10 mg/1mL 2 mL</t>
        </is>
      </c>
      <c r="C367" s="25">
        <f>IF(COUNTIF('کدهای پیام‌داروساز'!$A$2:$A$2442,A367)&gt;0,"بله","خیر")</f>
        <v/>
      </c>
    </row>
    <row r="368" ht="15" customHeight="1" s="14">
      <c r="A368" s="24" t="n">
        <v>588</v>
      </c>
      <c r="B368" s="24" t="inlineStr">
        <is>
          <t>جنتامايسين   پماد چشمي 3 mg/1g 3</t>
        </is>
      </c>
      <c r="C368" s="25">
        <f>IF(COUNTIF('کدهای پیام‌داروساز'!$A$2:$A$2442,A368)&gt;0,"بله","خیر")</f>
        <v/>
      </c>
    </row>
    <row r="369" ht="15" customHeight="1" s="14">
      <c r="A369" s="24" t="n">
        <v>589</v>
      </c>
      <c r="B369" s="24" t="inlineStr">
        <is>
          <t>تايسيم-آي   محلول، قطره چشمي 3 mg/1mL 5 mL - نوآوري زيستي گويا</t>
        </is>
      </c>
      <c r="C369" s="25">
        <f>IF(COUNTIF('کدهای پیام‌داروساز'!$A$2:$A$2442,A369)&gt;0,"بله","خیر")</f>
        <v/>
      </c>
    </row>
    <row r="370" ht="15" customHeight="1" s="14">
      <c r="A370" s="24" t="n">
        <v>590</v>
      </c>
      <c r="B370" s="24" t="inlineStr">
        <is>
          <t>جنتاديک   تزريقي پرنترال 40 mg/1mL 1 mL</t>
        </is>
      </c>
      <c r="C370" s="25">
        <f>IF(COUNTIF('کدهای پیام‌داروساز'!$A$2:$A$2442,A370)&gt;0,"بله","خیر")</f>
        <v/>
      </c>
    </row>
    <row r="371" ht="15" customHeight="1" s="14">
      <c r="A371" s="24" t="n">
        <v>592</v>
      </c>
      <c r="B371" s="24" t="inlineStr">
        <is>
          <t>جنتاديک   تزريقي پرنترال 40 mg/1mL 2 mL</t>
        </is>
      </c>
      <c r="C371" s="25">
        <f>IF(COUNTIF('کدهای پیام‌داروساز'!$A$2:$A$2442,A371)&gt;0,"بله","خیر")</f>
        <v/>
      </c>
    </row>
    <row r="372" ht="15" customHeight="1" s="14">
      <c r="A372" s="24" t="n">
        <v>595</v>
      </c>
      <c r="B372" s="24" t="inlineStr">
        <is>
          <t>آپو-گليبورايد   قرص خوراکي 5 mg - رستا ايمن دارو</t>
        </is>
      </c>
      <c r="C372" s="25">
        <f>IF(COUNTIF('کدهای پیام‌داروساز'!$A$2:$A$2442,A372)&gt;0,"بله","خیر")</f>
        <v/>
      </c>
    </row>
    <row r="373" ht="15" customHeight="1" s="14">
      <c r="A373" s="24" t="n">
        <v>597</v>
      </c>
      <c r="B373" s="24" t="inlineStr">
        <is>
          <t>گلوکاژن   پودر براي تهيه محلول تزريقي پرنترال 1 mg  mg - جوان آذر دارو</t>
        </is>
      </c>
      <c r="C373" s="25">
        <f>IF(COUNTIF('کدهای پیام‌داروساز'!$A$2:$A$2442,A373)&gt;0,"بله","خیر")</f>
        <v/>
      </c>
    </row>
    <row r="374" ht="15" customHeight="1" s="14">
      <c r="A374" s="24" t="n">
        <v>601</v>
      </c>
      <c r="B374" s="24" t="inlineStr">
        <is>
          <t>گلايسين   محلول جهت شستشو 1.5 % 3000 L - داروسازي ثامن</t>
        </is>
      </c>
      <c r="C374" s="25">
        <f>IF(COUNTIF('کدهای پیام‌داروساز'!$A$2:$A$2442,A374)&gt;0,"بله","خیر")</f>
        <v/>
      </c>
    </row>
    <row r="375" ht="15" customHeight="1" s="14">
      <c r="A375" s="24" t="n">
        <v>604</v>
      </c>
      <c r="B375" s="24" t="inlineStr">
        <is>
          <t>ال اچ-آر اچ فرينگ   پودر براي تهيه محلول تزريقي پرنترال 100 ug  mg - پويش دارو گستر برتر فارس</t>
        </is>
      </c>
      <c r="C375" s="25">
        <f>IF(COUNTIF('کدهای پیام‌داروساز'!$A$2:$A$2442,A375)&gt;0,"بله","خیر")</f>
        <v/>
      </c>
    </row>
    <row r="376" ht="15" customHeight="1" s="14">
      <c r="A376" s="24" t="n">
        <v>609</v>
      </c>
      <c r="B376" s="24" t="inlineStr">
        <is>
          <t>KYTRIL 1 mg TAB   قرص خوراکي 1 mg</t>
        </is>
      </c>
      <c r="C376" s="25">
        <f>IF(COUNTIF('کدهای پیام‌داروساز'!$A$2:$A$2442,A376)&gt;0,"بله","خیر")</f>
        <v/>
      </c>
    </row>
    <row r="377" ht="15" customHeight="1" s="14">
      <c r="A377" s="24" t="n">
        <v>610</v>
      </c>
      <c r="B377" s="24" t="inlineStr">
        <is>
          <t>دووميت   محلول تزريقي داخل وريدي 1 mg/1mL 3 mL - داروسازي تهران شيمي</t>
        </is>
      </c>
      <c r="C377" s="25">
        <f>IF(COUNTIF('کدهای پیام‌داروساز'!$A$2:$A$2442,A377)&gt;0,"بله","خیر")</f>
        <v/>
      </c>
    </row>
    <row r="378" ht="15" customHeight="1" s="14">
      <c r="A378" s="24" t="n">
        <v>612</v>
      </c>
      <c r="B378" s="24" t="inlineStr">
        <is>
          <t>نرس هارويز (گريپ ميکسچر) شربت 145 ميلي ليتر - HARVEY SCRUTON</t>
        </is>
      </c>
      <c r="C378" s="25">
        <f>IF(COUNTIF('کدهای پیام‌داروساز'!$A$2:$A$2442,A378)&gt;0,"بله","خیر")</f>
        <v/>
      </c>
    </row>
    <row r="379" ht="15" customHeight="1" s="14">
      <c r="A379" s="24" t="n">
        <v>613</v>
      </c>
      <c r="B379" s="24" t="inlineStr">
        <is>
          <t>گريزئوفولوين   قرص خوراکي 125 mg - يارا طب خاورميانه</t>
        </is>
      </c>
      <c r="C379" s="25">
        <f>IF(COUNTIF('کدهای پیام‌داروساز'!$A$2:$A$2442,A379)&gt;0,"بله","خیر")</f>
        <v/>
      </c>
    </row>
    <row r="380" ht="15" customHeight="1" s="14">
      <c r="A380" s="24" t="n">
        <v>614</v>
      </c>
      <c r="B380" s="24" t="inlineStr">
        <is>
          <t>جي ماکس ( گايافنزين ) شربت 60ميلي ليتر-تهران شيمي</t>
        </is>
      </c>
      <c r="C380" s="25">
        <f>IF(COUNTIF('کدهای پیام‌داروساز'!$A$2:$A$2442,A380)&gt;0,"بله","خیر")</f>
        <v/>
      </c>
    </row>
    <row r="381" ht="15" customHeight="1" s="14">
      <c r="A381" s="24" t="n">
        <v>616</v>
      </c>
      <c r="B381" s="24" t="inlineStr">
        <is>
          <t>دکالدول   تزريقي پرنترال 50 mg/1mL 1 mg - فوريتهاي سينا آرات گستر</t>
        </is>
      </c>
      <c r="C381" s="25">
        <f>IF(COUNTIF('کدهای پیام‌داروساز'!$A$2:$A$2442,A381)&gt;0,"بله","خیر")</f>
        <v/>
      </c>
    </row>
    <row r="382" ht="15" customHeight="1" s="14">
      <c r="A382" s="24" t="n">
        <v>617</v>
      </c>
      <c r="B382" s="24" t="inlineStr">
        <is>
          <t>هالوپريدول 0/5 قرص - سبحان</t>
        </is>
      </c>
      <c r="C382" s="25">
        <f>IF(COUNTIF('کدهای پیام‌داروساز'!$A$2:$A$2442,A382)&gt;0,"بله","خیر")</f>
        <v/>
      </c>
    </row>
    <row r="383" ht="15" customHeight="1" s="14">
      <c r="A383" s="24" t="n">
        <v>618</v>
      </c>
      <c r="B383" s="24" t="inlineStr">
        <is>
          <t>هالوپريدول 2 قطره 15 ميلي ليتر - سبحان</t>
        </is>
      </c>
      <c r="C383" s="25">
        <f>IF(COUNTIF('کدهای پیام‌داروساز'!$A$2:$A$2442,A383)&gt;0,"بله","خیر")</f>
        <v/>
      </c>
    </row>
    <row r="384" ht="15" customHeight="1" s="14">
      <c r="A384" s="24" t="n">
        <v>619</v>
      </c>
      <c r="B384" s="24" t="inlineStr">
        <is>
          <t>هالوپريدول 5 قرص - سبحان</t>
        </is>
      </c>
      <c r="C384" s="25">
        <f>IF(COUNTIF('کدهای پیام‌داروساز'!$A$2:$A$2442,A384)&gt;0,"بله","خیر")</f>
        <v/>
      </c>
    </row>
    <row r="385" ht="15" customHeight="1" s="14">
      <c r="A385" s="24" t="n">
        <v>620</v>
      </c>
      <c r="B385" s="24" t="inlineStr">
        <is>
          <t>هالوپريدول   تزريقي پرنترال 5 mg/1mL  mg - پويش دارو گستر برتر فارس</t>
        </is>
      </c>
      <c r="C385" s="25">
        <f>IF(COUNTIF('کدهای پیام‌داروساز'!$A$2:$A$2442,A385)&gt;0,"بله","خیر")</f>
        <v/>
      </c>
    </row>
    <row r="386" ht="15" customHeight="1" s="14">
      <c r="A386" s="24" t="n">
        <v>622</v>
      </c>
      <c r="B386" s="24" t="inlineStr">
        <is>
          <t>هماتينيک   کپسول خوراکي 15 ug/350 mg/150 mg/1 mg</t>
        </is>
      </c>
      <c r="C386" s="25">
        <f>IF(COUNTIF('کدهای پیام‌داروساز'!$A$2:$A$2442,A386)&gt;0,"بله","خیر")</f>
        <v/>
      </c>
    </row>
    <row r="387" ht="15" customHeight="1" s="14">
      <c r="A387" s="24" t="n">
        <v>624</v>
      </c>
      <c r="B387" s="24" t="inlineStr">
        <is>
          <t>پلي پارين   تزريقي پرنترال 5000 [iU]/1mL 1 [iU] - کي بي سي</t>
        </is>
      </c>
      <c r="C387" s="25">
        <f>IF(COUNTIF('کدهای پیام‌داروساز'!$A$2:$A$2442,A387)&gt;0,"بله","خیر")</f>
        <v/>
      </c>
    </row>
    <row r="388" ht="15" customHeight="1" s="14">
      <c r="A388" s="24" t="n">
        <v>625</v>
      </c>
      <c r="B388" s="24" t="inlineStr">
        <is>
          <t>هپارين   تزريقي پرنترال 10000 [iU]/1mL 1 mL - البرز دارو</t>
        </is>
      </c>
      <c r="C388" s="25">
        <f>IF(COUNTIF('کدهای پیام‌داروساز'!$A$2:$A$2442,A388)&gt;0,"بله","خیر")</f>
        <v/>
      </c>
    </row>
    <row r="389" ht="15" customHeight="1" s="14">
      <c r="A389" s="24" t="n">
        <v>630</v>
      </c>
      <c r="B389" s="24" t="inlineStr">
        <is>
          <t>هوميدرين 2% (هماتروپين) قطره چشم 10ML - سينادارو</t>
        </is>
      </c>
      <c r="C389" s="25">
        <f>IF(COUNTIF('کدهای پیام‌داروساز'!$A$2:$A$2442,A389)&gt;0,"بله","خیر")</f>
        <v/>
      </c>
    </row>
    <row r="390" ht="15" customHeight="1" s="14">
      <c r="A390" s="24" t="n">
        <v>631</v>
      </c>
      <c r="B390" s="24" t="inlineStr">
        <is>
          <t>آپو - هيدرالازين ® 10 ميلي گرم   قرص خوراکي 10 mg</t>
        </is>
      </c>
      <c r="C390" s="25">
        <f>IF(COUNTIF('کدهای پیام‌داروساز'!$A$2:$A$2442,A390)&gt;0,"بله","خیر")</f>
        <v/>
      </c>
    </row>
    <row r="391" ht="15" customHeight="1" s="14">
      <c r="A391" s="24" t="n">
        <v>632</v>
      </c>
      <c r="B391" s="24" t="inlineStr">
        <is>
          <t>آروزولين   پودر براي تهيه محلول تزريقي پرنترال 20 mg  mg - دارو درمان آرنگ</t>
        </is>
      </c>
      <c r="C391" s="25">
        <f>IF(COUNTIF('کدهای پیام‌داروساز'!$A$2:$A$2442,A391)&gt;0,"بله","خیر")</f>
        <v/>
      </c>
    </row>
    <row r="392" ht="15" customHeight="1" s="14">
      <c r="A392" s="24" t="n">
        <v>633</v>
      </c>
      <c r="B392" s="24" t="inlineStr">
        <is>
          <t>آپو - هيدرالازين   قرص خوراکي 25 mg</t>
        </is>
      </c>
      <c r="C392" s="25">
        <f>IF(COUNTIF('کدهای پیام‌داروساز'!$A$2:$A$2442,A392)&gt;0,"بله","خیر")</f>
        <v/>
      </c>
    </row>
    <row r="393" ht="15" customHeight="1" s="14">
      <c r="A393" s="24" t="n">
        <v>634</v>
      </c>
      <c r="B393" s="24" t="inlineStr">
        <is>
          <t>آپو - هيدرالازين   قرص خوراکي 50 mg</t>
        </is>
      </c>
      <c r="C393" s="25">
        <f>IF(COUNTIF('کدهای پیام‌داروساز'!$A$2:$A$2442,A393)&gt;0,"بله","خیر")</f>
        <v/>
      </c>
    </row>
    <row r="394" ht="15" customHeight="1" s="14">
      <c r="A394" s="24" t="n">
        <v>636</v>
      </c>
      <c r="B394" s="24" t="inlineStr">
        <is>
          <t>تيازيدکس   قرص خوراکي 50 mg - آفا شيمي</t>
        </is>
      </c>
      <c r="C394" s="25">
        <f>IF(COUNTIF('کدهای پیام‌داروساز'!$A$2:$A$2442,A394)&gt;0,"بله","خیر")</f>
        <v/>
      </c>
    </row>
    <row r="395" ht="15" customHeight="1" s="14">
      <c r="A395" s="24" t="n">
        <v>637</v>
      </c>
      <c r="B395" s="24" t="inlineStr">
        <is>
          <t>اکسي کورت ( هيدروکورتيزون) 100 م گ ويال - اکسير</t>
        </is>
      </c>
      <c r="C395" s="25">
        <f>IF(COUNTIF('کدهای پیام‌داروساز'!$A$2:$A$2442,A395)&gt;0,"بله","خیر")</f>
        <v/>
      </c>
    </row>
    <row r="396" ht="15" customHeight="1" s="14">
      <c r="A396" s="24" t="n">
        <v>638</v>
      </c>
      <c r="B396" s="24" t="inlineStr">
        <is>
          <t>جنکورت   قرص خوراکي 10 mg - کيان طب پاسارگاد</t>
        </is>
      </c>
      <c r="C396" s="25">
        <f>IF(COUNTIF('کدهای پیام‌داروساز'!$A$2:$A$2442,A396)&gt;0,"بله","خیر")</f>
        <v/>
      </c>
    </row>
    <row r="397" ht="15" customHeight="1" s="14">
      <c r="A397" s="24" t="n">
        <v>639</v>
      </c>
      <c r="B397" s="24" t="inlineStr">
        <is>
          <t>هيدروکورتيزون   پماد چشمي 1 % 3</t>
        </is>
      </c>
      <c r="C397" s="25">
        <f>IF(COUNTIF('کدهای پیام‌داروساز'!$A$2:$A$2442,A397)&gt;0,"بله","خیر")</f>
        <v/>
      </c>
    </row>
    <row r="398" ht="15" customHeight="1" s="14">
      <c r="A398" s="24" t="n">
        <v>640</v>
      </c>
      <c r="B398" s="24" t="inlineStr">
        <is>
          <t>هيدروکورتيزون   پماد موضعي 1 % 15 g</t>
        </is>
      </c>
      <c r="C398" s="25">
        <f>IF(COUNTIF('کدهای پیام‌داروساز'!$A$2:$A$2442,A398)&gt;0,"بله","خیر")</f>
        <v/>
      </c>
    </row>
    <row r="399" ht="15" customHeight="1" s="14">
      <c r="A399" s="24" t="n">
        <v>641</v>
      </c>
      <c r="B399" s="24" t="inlineStr">
        <is>
          <t>بهکورت   انما مقعدي 100 mg/60mL  mL - دارو سازي بهوزان</t>
        </is>
      </c>
      <c r="C399" s="25">
        <f>IF(COUNTIF('کدهای پیام‌داروساز'!$A$2:$A$2442,A399)&gt;0,"بله","خیر")</f>
        <v/>
      </c>
    </row>
    <row r="400" ht="15" customHeight="1" s="14">
      <c r="A400" s="24" t="n">
        <v>648</v>
      </c>
      <c r="B400" s="24" t="inlineStr">
        <is>
          <t xml:space="preserve">هيدروکسي اوره 500 ميلي گرم کپسول </t>
        </is>
      </c>
      <c r="C400" s="25">
        <f>IF(COUNTIF('کدهای پیام‌داروساز'!$A$2:$A$2442,A400)&gt;0,"بله","خیر")</f>
        <v/>
      </c>
    </row>
    <row r="401" ht="15" customHeight="1" s="14">
      <c r="A401" s="24" t="n">
        <v>650</v>
      </c>
      <c r="B401" s="24" t="inlineStr">
        <is>
          <t>تدازين   شربت خوراکي 10 mg/5mL 120</t>
        </is>
      </c>
      <c r="C401" s="25">
        <f>IF(COUNTIF('کدهای پیام‌داروساز'!$A$2:$A$2442,A401)&gt;0,"بله","خیر")</f>
        <v/>
      </c>
    </row>
    <row r="402" ht="15" customHeight="1" s="14">
      <c r="A402" s="24" t="n">
        <v>651</v>
      </c>
      <c r="B402" s="24" t="inlineStr">
        <is>
          <t>تدازين   قرص خوراکي 10 mg</t>
        </is>
      </c>
      <c r="C402" s="25">
        <f>IF(COUNTIF('کدهای پیام‌داروساز'!$A$2:$A$2442,A402)&gt;0,"بله","خیر")</f>
        <v/>
      </c>
    </row>
    <row r="403" ht="15" customHeight="1" s="14">
      <c r="A403" s="24" t="n">
        <v>652</v>
      </c>
      <c r="B403" s="24" t="inlineStr">
        <is>
          <t>تدازين   قرص خوراکي 25 mg</t>
        </is>
      </c>
      <c r="C403" s="25">
        <f>IF(COUNTIF('کدهای پیام‌داروساز'!$A$2:$A$2442,A403)&gt;0,"بله","خیر")</f>
        <v/>
      </c>
    </row>
    <row r="404" ht="15" customHeight="1" s="14">
      <c r="A404" s="24" t="n">
        <v>653</v>
      </c>
      <c r="B404" s="24" t="inlineStr">
        <is>
          <t>هيوسين - ان - بوتيل برومايد 10 ميلي گرم شياف مقعدي</t>
        </is>
      </c>
      <c r="C404" s="25">
        <f>IF(COUNTIF('کدهای پیام‌داروساز'!$A$2:$A$2442,A404)&gt;0,"بله","خیر")</f>
        <v/>
      </c>
    </row>
    <row r="405" ht="15" customHeight="1" s="14">
      <c r="A405" s="24" t="n">
        <v>654</v>
      </c>
      <c r="B405" s="24" t="inlineStr">
        <is>
          <t>هيوسين ان بوتيل برومايد 10 م گ قرص - البرز دارو</t>
        </is>
      </c>
      <c r="C405" s="25">
        <f>IF(COUNTIF('کدهای پیام‌داروساز'!$A$2:$A$2442,A405)&gt;0,"بله","خیر")</f>
        <v/>
      </c>
    </row>
    <row r="406" ht="15" customHeight="1" s="14">
      <c r="A406" s="24" t="n">
        <v>655</v>
      </c>
      <c r="B406" s="24" t="inlineStr">
        <is>
          <t>ديسپاسمين   تزريقي پرنترال 20 mg/1mL  mL</t>
        </is>
      </c>
      <c r="C406" s="25">
        <f>IF(COUNTIF('کدهای پیام‌داروساز'!$A$2:$A$2442,A406)&gt;0,"بله","خیر")</f>
        <v/>
      </c>
    </row>
    <row r="407" ht="15" customHeight="1" s="14">
      <c r="A407" s="24" t="n">
        <v>656</v>
      </c>
      <c r="B407" s="24" t="inlineStr">
        <is>
          <t>هيوسين - ان - بوتيل برومايد 7.5 ميلي گرم شياف مقعدي</t>
        </is>
      </c>
      <c r="C407" s="25">
        <f>IF(COUNTIF('کدهای پیام‌داروساز'!$A$2:$A$2442,A407)&gt;0,"بله","خیر")</f>
        <v/>
      </c>
    </row>
    <row r="408" ht="15" customHeight="1" s="14">
      <c r="A408" s="24" t="n">
        <v>657</v>
      </c>
      <c r="B408" s="24" t="inlineStr">
        <is>
          <t>ادوالژين (ايبوپروفن) 120 م ل سوسپانسيون - عبيدي</t>
        </is>
      </c>
      <c r="C408" s="25">
        <f>IF(COUNTIF('کدهای پیام‌داروساز'!$A$2:$A$2442,A408)&gt;0,"بله","خیر")</f>
        <v/>
      </c>
    </row>
    <row r="409" ht="15" customHeight="1" s="14">
      <c r="A409" s="24" t="n">
        <v>658</v>
      </c>
      <c r="B409" s="24" t="inlineStr">
        <is>
          <t>قرص ادوالژين فلش (ليزين) 200 ميلي گرم</t>
        </is>
      </c>
      <c r="C409" s="25">
        <f>IF(COUNTIF('کدهای پیام‌داروساز'!$A$2:$A$2442,A409)&gt;0,"بله","خیر")</f>
        <v/>
      </c>
    </row>
    <row r="410" ht="15" customHeight="1" s="14">
      <c r="A410" s="24" t="n">
        <v>659</v>
      </c>
      <c r="B410" s="24" t="inlineStr">
        <is>
          <t>ادوالژين فلش (ايبوپروفن ليزين) 400 م گ قرص - عبيدي</t>
        </is>
      </c>
      <c r="C410" s="25">
        <f>IF(COUNTIF('کدهای پیام‌داروساز'!$A$2:$A$2442,A410)&gt;0,"بله","خیر")</f>
        <v/>
      </c>
    </row>
    <row r="411" ht="15" customHeight="1" s="14">
      <c r="A411" s="24" t="n">
        <v>661</v>
      </c>
      <c r="B411" s="24" t="inlineStr">
        <is>
          <t>ريدينوکس   محلول، قطره چشمي 0.1 % 10 mL - يارا طب خاورميانه</t>
        </is>
      </c>
      <c r="C411" s="25">
        <f>IF(COUNTIF('کدهای پیام‌داروساز'!$A$2:$A$2442,A411)&gt;0,"بله","خیر")</f>
        <v/>
      </c>
    </row>
    <row r="412" ht="15" customHeight="1" s="14">
      <c r="A412" s="24" t="n">
        <v>662</v>
      </c>
      <c r="B412" s="24" t="inlineStr">
        <is>
          <t>آزيفوس   پودر براي تهيه محلول تزريقي پرنترال 1 g  g - يارا طب خاورميانه</t>
        </is>
      </c>
      <c r="C412" s="25">
        <f>IF(COUNTIF('کدهای پیام‌داروساز'!$A$2:$A$2442,A412)&gt;0,"بله","خیر")</f>
        <v/>
      </c>
    </row>
    <row r="413" ht="15" customHeight="1" s="14">
      <c r="A413" s="24" t="n">
        <v>664</v>
      </c>
      <c r="B413" s="24" t="inlineStr">
        <is>
          <t>ايمي پرامين   قرص خوراکي 10 mg - مرهم دارو</t>
        </is>
      </c>
      <c r="C413" s="25">
        <f>IF(COUNTIF('کدهای پیام‌داروساز'!$A$2:$A$2442,A413)&gt;0,"بله","خیر")</f>
        <v/>
      </c>
    </row>
    <row r="414" ht="15" customHeight="1" s="14">
      <c r="A414" s="24" t="n">
        <v>665</v>
      </c>
      <c r="B414" s="24" t="inlineStr">
        <is>
          <t>ايمي پرامين 25 قرص - امين</t>
        </is>
      </c>
      <c r="C414" s="25">
        <f>IF(COUNTIF('کدهای پیام‌داروساز'!$A$2:$A$2442,A414)&gt;0,"بله","خیر")</f>
        <v/>
      </c>
    </row>
    <row r="415" ht="15" customHeight="1" s="14">
      <c r="A415" s="24" t="n">
        <v>666</v>
      </c>
      <c r="B415" s="24" t="inlineStr">
        <is>
          <t>ايمي پرامين 50قرص - سبحان</t>
        </is>
      </c>
      <c r="C415" s="25">
        <f>IF(COUNTIF('کدهای پیام‌داروساز'!$A$2:$A$2442,A415)&gt;0,"بله","خیر")</f>
        <v/>
      </c>
    </row>
    <row r="416" ht="15" customHeight="1" s="14">
      <c r="A416" s="24" t="n">
        <v>667</v>
      </c>
      <c r="B416" s="24" t="inlineStr">
        <is>
          <t>اينفلوواک تترا(واکسن آنفلوانزا)سرنگ آماده تزريق - ابوت</t>
        </is>
      </c>
      <c r="C416" s="25">
        <f>IF(COUNTIF('کدهای پیام‌داروساز'!$A$2:$A$2442,A416)&gt;0,"بله","خیر")</f>
        <v/>
      </c>
    </row>
    <row r="417" ht="15" customHeight="1" s="14">
      <c r="A417" s="24" t="n">
        <v>668</v>
      </c>
      <c r="B417" s="24" t="inlineStr">
        <is>
          <t>ايندوساپ   شياف مقعدي 100 mg - داروسازي توليد دارو</t>
        </is>
      </c>
      <c r="C417" s="25">
        <f>IF(COUNTIF('کدهای پیام‌داروساز'!$A$2:$A$2442,A417)&gt;0,"بله","خیر")</f>
        <v/>
      </c>
    </row>
    <row r="418" ht="15" customHeight="1" s="14">
      <c r="A418" s="24" t="n">
        <v>669</v>
      </c>
      <c r="B418" s="24" t="inlineStr">
        <is>
          <t>ايندومتاسين   کپسول خوراکي 25 mg - آفا شيمي</t>
        </is>
      </c>
      <c r="C418" s="25">
        <f>IF(COUNTIF('کدهای پیام‌داروساز'!$A$2:$A$2442,A418)&gt;0,"بله","خیر")</f>
        <v/>
      </c>
    </row>
    <row r="419" ht="15" customHeight="1" s="14">
      <c r="A419" s="24" t="n">
        <v>670</v>
      </c>
      <c r="B419" s="24" t="inlineStr">
        <is>
          <t>ايندوساپ   شياف مقعدي 50 mg - داروسازي توليد دارو</t>
        </is>
      </c>
      <c r="C419" s="25">
        <f>IF(COUNTIF('کدهای پیام‌داروساز'!$A$2:$A$2442,A419)&gt;0,"بله","خیر")</f>
        <v/>
      </c>
    </row>
    <row r="420" ht="15" customHeight="1" s="14">
      <c r="A420" s="24" t="n">
        <v>671</v>
      </c>
      <c r="B420" s="24" t="inlineStr">
        <is>
          <t>ايندومت (ايندومتاسين پيوسته رهش) 75 م گ قرص - آريا</t>
        </is>
      </c>
      <c r="C420" s="25">
        <f>IF(COUNTIF('کدهای پیام‌داروساز'!$A$2:$A$2442,A420)&gt;0,"بله","خیر")</f>
        <v/>
      </c>
    </row>
    <row r="421" ht="15" customHeight="1" s="14">
      <c r="A421" s="24" t="n">
        <v>674</v>
      </c>
      <c r="B421" s="24" t="inlineStr">
        <is>
          <t>انسولايف آر   تزريقي پرنترال 100 [iU]/1mL 10 [iU]</t>
        </is>
      </c>
      <c r="C421" s="25">
        <f>IF(COUNTIF('کدهای پیام‌داروساز'!$A$2:$A$2442,A421)&gt;0,"بله","خیر")</f>
        <v/>
      </c>
    </row>
    <row r="422" ht="15" customHeight="1" s="14">
      <c r="A422" s="24" t="n">
        <v>676</v>
      </c>
      <c r="B422" s="24" t="inlineStr">
        <is>
          <t>انسولايف ان   تزريقي پرنترال 100 [iU]/1mL 10 [iU]</t>
        </is>
      </c>
      <c r="C422" s="25">
        <f>IF(COUNTIF('کدهای پیام‌داروساز'!$A$2:$A$2442,A422)&gt;0,"بله","خیر")</f>
        <v/>
      </c>
    </row>
    <row r="423" ht="15" customHeight="1" s="14">
      <c r="A423" s="24" t="n">
        <v>682</v>
      </c>
      <c r="B423" s="24" t="inlineStr">
        <is>
          <t>پي دي فرون   تزريقي پرنترال 5000000 U  [iU] - فرآورده هاي پويش دارو</t>
        </is>
      </c>
      <c r="C423" s="25">
        <f>IF(COUNTIF('کدهای پیام‌داروساز'!$A$2:$A$2442,A423)&gt;0,"بله","خیر")</f>
        <v/>
      </c>
    </row>
    <row r="424" ht="15" customHeight="1" s="14">
      <c r="A424" s="24" t="n">
        <v>686</v>
      </c>
      <c r="B424" s="24" t="inlineStr">
        <is>
          <t>ايموکين   محلول تزريقي پرنترال 100 ug/0.5mL  [iU] - بازرگاني سها کيش</t>
        </is>
      </c>
      <c r="C424" s="25">
        <f>IF(COUNTIF('کدهای پیام‌داروساز'!$A$2:$A$2442,A424)&gt;0,"بله","خیر")</f>
        <v/>
      </c>
    </row>
    <row r="425" ht="15" customHeight="1" s="14">
      <c r="A425" s="24" t="n">
        <v>690</v>
      </c>
      <c r="B425" s="24" t="inlineStr">
        <is>
          <t>دياليز صفاقي I   محلول داخل صفاقي 13.62 g/132 meq/3.5 meq/1.5 meq/35 meq/102 meq/1000 mL 2 L - داروسازي ثامن</t>
        </is>
      </c>
      <c r="C425" s="25">
        <f>IF(COUNTIF('کدهای پیام‌داروساز'!$A$2:$A$2442,A425)&gt;0,"بله","خیر")</f>
        <v/>
      </c>
    </row>
    <row r="426" ht="15" customHeight="1" s="14">
      <c r="A426" s="24" t="n">
        <v>693</v>
      </c>
      <c r="B426" s="24" t="inlineStr">
        <is>
          <t>دياليز صفاقي II    محلول داخل صفاقي 22.7 g/1025.67 meq/3.5 meq/1.5 meq/35 meq/132 meq/1000 mL 2 L - داروسازي ثامن</t>
        </is>
      </c>
      <c r="C426" s="25">
        <f>IF(COUNTIF('کدهای پیام‌داروساز'!$A$2:$A$2442,A426)&gt;0,"بله","خیر")</f>
        <v/>
      </c>
    </row>
    <row r="427" ht="15" customHeight="1" s="14">
      <c r="A427" s="24" t="n">
        <v>694</v>
      </c>
      <c r="B427" s="24" t="inlineStr">
        <is>
          <t>دياليز صفاقي III   محلول داخل صفاقي 38.6 g/5.67 g/0.257 g/0.152 g/3.922 g/1000 mL 2 L - داروسازي ثامن</t>
        </is>
      </c>
      <c r="C427" s="25">
        <f>IF(COUNTIF('کدهای پیام‌داروساز'!$A$2:$A$2442,A427)&gt;0,"بله","خیر")</f>
        <v/>
      </c>
    </row>
    <row r="428" ht="15" customHeight="1" s="14">
      <c r="A428" s="24" t="n">
        <v>698</v>
      </c>
      <c r="B428" s="24" t="inlineStr">
        <is>
          <t>آيوپک   تزريقي پرنترال 240 mg/1mL 20 mL - کارخانجات دارو پخش</t>
        </is>
      </c>
      <c r="C428" s="25">
        <f>IF(COUNTIF('کدهای پیام‌داروساز'!$A$2:$A$2442,A428)&gt;0,"بله","خیر")</f>
        <v/>
      </c>
    </row>
    <row r="429" ht="15" customHeight="1" s="14">
      <c r="A429" s="24" t="n">
        <v>699</v>
      </c>
      <c r="B429" s="24" t="inlineStr">
        <is>
          <t>آيوپک   تزريقي پرنترال 240 mg/1mL 50 mL - کارخانجات دارو پخش</t>
        </is>
      </c>
      <c r="C429" s="25">
        <f>IF(COUNTIF('کدهای پیام‌داروساز'!$A$2:$A$2442,A429)&gt;0,"بله","خیر")</f>
        <v/>
      </c>
    </row>
    <row r="430" ht="15" customHeight="1" s="14">
      <c r="A430" s="24" t="n">
        <v>701</v>
      </c>
      <c r="B430" s="24" t="inlineStr">
        <is>
          <t>آيوپک   تزريقي پرنترال 300 mg/1mL 20 mL - کارخانجات دارو پخش</t>
        </is>
      </c>
      <c r="C430" s="25">
        <f>IF(COUNTIF('کدهای پیام‌داروساز'!$A$2:$A$2442,A430)&gt;0,"بله","خیر")</f>
        <v/>
      </c>
    </row>
    <row r="431" ht="15" customHeight="1" s="14">
      <c r="A431" s="24" t="n">
        <v>703</v>
      </c>
      <c r="B431" s="24" t="inlineStr">
        <is>
          <t>اولتراويست   تزريقي پرنترال 300 mg/1mL 20 mL - باير پارسيان</t>
        </is>
      </c>
      <c r="C431" s="25">
        <f>IF(COUNTIF('کدهای پیام‌داروساز'!$A$2:$A$2442,A431)&gt;0,"بله","خیر")</f>
        <v/>
      </c>
    </row>
    <row r="432" ht="15" customHeight="1" s="14">
      <c r="A432" s="24" t="n">
        <v>704</v>
      </c>
      <c r="B432" s="24" t="inlineStr">
        <is>
          <t>آيوپرومايد   تزريقي پرنترال 300 mg/1mL 50 mL - داروسازي شهيد قاضي</t>
        </is>
      </c>
      <c r="C432" s="25">
        <f>IF(COUNTIF('کدهای پیام‌داروساز'!$A$2:$A$2442,A432)&gt;0,"بله","خیر")</f>
        <v/>
      </c>
    </row>
    <row r="433" ht="15" customHeight="1" s="14">
      <c r="A433" s="24" t="n">
        <v>708</v>
      </c>
      <c r="B433" s="24" t="inlineStr">
        <is>
          <t>آتروونت ان (ايپراتروپيوم برومايد) 20 م ک گ 200پاف - بوهرينگر</t>
        </is>
      </c>
      <c r="C433" s="25">
        <f>IF(COUNTIF('کدهای پیام‌داروساز'!$A$2:$A$2442,A433)&gt;0,"بله","خیر")</f>
        <v/>
      </c>
    </row>
    <row r="434" ht="15" customHeight="1" s="14">
      <c r="A434" s="24" t="n">
        <v>711</v>
      </c>
      <c r="B434" s="24" t="inlineStr">
        <is>
          <t>مارپلان   قرص خوراکي 10 mg  mg - نوآوران فخر دارو</t>
        </is>
      </c>
      <c r="C434" s="25">
        <f>IF(COUNTIF('کدهای پیام‌داروساز'!$A$2:$A$2442,A434)&gt;0,"بله","خیر")</f>
        <v/>
      </c>
    </row>
    <row r="435" ht="15" customHeight="1" s="14">
      <c r="A435" s="24" t="n">
        <v>712</v>
      </c>
      <c r="B435" s="24" t="inlineStr">
        <is>
          <t>ايزوبريگس   قرص خوراکي 100 mg - دارو اثرت گستر</t>
        </is>
      </c>
      <c r="C435" s="25">
        <f>IF(COUNTIF('کدهای پیام‌داروساز'!$A$2:$A$2442,A435)&gt;0,"بله","خیر")</f>
        <v/>
      </c>
    </row>
    <row r="436" ht="15" customHeight="1" s="14">
      <c r="A436" s="24" t="n">
        <v>713</v>
      </c>
      <c r="B436" s="24" t="inlineStr">
        <is>
          <t>ايزوبريگس   قرص خوراکي 300 mg - دارو اثرت گستر</t>
        </is>
      </c>
      <c r="C436" s="25">
        <f>IF(COUNTIF('کدهای پیام‌داروساز'!$A$2:$A$2442,A436)&gt;0,"بله","خیر")</f>
        <v/>
      </c>
    </row>
    <row r="437" ht="15" customHeight="1" s="14">
      <c r="A437" s="24" t="n">
        <v>717</v>
      </c>
      <c r="B437" s="24" t="inlineStr">
        <is>
          <t>ايزوربايد   قرص خوراکي 10 mg - داروسازي توليد دارو</t>
        </is>
      </c>
      <c r="C437" s="25">
        <f>IF(COUNTIF('کدهای پیام‌داروساز'!$A$2:$A$2442,A437)&gt;0,"بله","خیر")</f>
        <v/>
      </c>
    </row>
    <row r="438" ht="15" customHeight="1" s="14">
      <c r="A438" s="24" t="n">
        <v>718</v>
      </c>
      <c r="B438" s="24" t="inlineStr">
        <is>
          <t>ايزوکور (ايزوسوربايد دي نيترات) 40 م گ قرص - آريا</t>
        </is>
      </c>
      <c r="C438" s="25">
        <f>IF(COUNTIF('کدهای پیام‌داروساز'!$A$2:$A$2442,A438)&gt;0,"بله","خیر")</f>
        <v/>
      </c>
    </row>
    <row r="439" ht="15" customHeight="1" s="14">
      <c r="A439" s="24" t="n">
        <v>720</v>
      </c>
      <c r="B439" s="24" t="inlineStr">
        <is>
          <t>نورم اسکين (ايزوترتينوئين) کپسول - تسنيم</t>
        </is>
      </c>
      <c r="C439" s="25">
        <f>IF(COUNTIF('کدهای پیام‌داروساز'!$A$2:$A$2442,A439)&gt;0,"بله","خیر")</f>
        <v/>
      </c>
    </row>
    <row r="440" ht="15" customHeight="1" s="14">
      <c r="A440" s="24" t="n">
        <v>721</v>
      </c>
      <c r="B440" s="24" t="inlineStr">
        <is>
          <t>ايزوپرين   قرص خوراکي 10 mg - داروسازي توليد دارو</t>
        </is>
      </c>
      <c r="C440" s="25">
        <f>IF(COUNTIF('کدهای پیام‌داروساز'!$A$2:$A$2442,A440)&gt;0,"بله","خیر")</f>
        <v/>
      </c>
    </row>
    <row r="441" ht="15" customHeight="1" s="14">
      <c r="A441" s="24" t="n">
        <v>722</v>
      </c>
      <c r="B441" s="24" t="inlineStr">
        <is>
          <t>اسپرونازول   کپسول خوراکي 100 mg - آرين سلامت سينا</t>
        </is>
      </c>
      <c r="C441" s="25">
        <f>IF(COUNTIF('کدهای پیام‌داروساز'!$A$2:$A$2442,A441)&gt;0,"بله","خیر")</f>
        <v/>
      </c>
    </row>
    <row r="442" ht="15" customHeight="1" s="14">
      <c r="A442" s="24" t="n">
        <v>723</v>
      </c>
      <c r="B442" s="24" t="inlineStr">
        <is>
          <t>KETAMINE   تزريقي پرنترال 50 mg/1mL 10 mg - درمان ياب آنا</t>
        </is>
      </c>
      <c r="C442" s="25">
        <f>IF(COUNTIF('کدهای پیام‌داروساز'!$A$2:$A$2442,A442)&gt;0,"بله","خیر")</f>
        <v/>
      </c>
    </row>
    <row r="443" ht="15" customHeight="1" s="14">
      <c r="A443" s="24" t="n">
        <v>725</v>
      </c>
      <c r="B443" s="24" t="inlineStr">
        <is>
          <t>کتوکونازول   کرم موضعي 2 % 30 g - ايران آوند فر</t>
        </is>
      </c>
      <c r="C443" s="25">
        <f>IF(COUNTIF('کدهای پیام‌داروساز'!$A$2:$A$2442,A443)&gt;0,"بله","خیر")</f>
        <v/>
      </c>
    </row>
    <row r="444" ht="15" customHeight="1" s="14">
      <c r="A444" s="24" t="n">
        <v>726</v>
      </c>
      <c r="B444" s="24" t="inlineStr">
        <is>
          <t>کتوريکس   قرص خوراکي 200 mg - دارو درمان سلامت پارس</t>
        </is>
      </c>
      <c r="C444" s="25">
        <f>IF(COUNTIF('کدهای پیام‌داروساز'!$A$2:$A$2442,A444)&gt;0,"بله","خیر")</f>
        <v/>
      </c>
    </row>
    <row r="445" ht="15" customHeight="1" s="14">
      <c r="A445" s="24" t="n">
        <v>727</v>
      </c>
      <c r="B445" s="24" t="inlineStr">
        <is>
          <t>برونتيف   قرص خوراکي 1 mg - دارو سازي سها</t>
        </is>
      </c>
      <c r="C445" s="25">
        <f>IF(COUNTIF('کدهای پیام‌داروساز'!$A$2:$A$2442,A445)&gt;0,"بله","خیر")</f>
        <v/>
      </c>
    </row>
    <row r="446" ht="15" customHeight="1" s="14">
      <c r="A446" s="24" t="n">
        <v>728</v>
      </c>
      <c r="B446" s="24" t="inlineStr">
        <is>
          <t>آميتن   شربت خوراکي 1 mg/5mL 120 mL</t>
        </is>
      </c>
      <c r="C446" s="25">
        <f>IF(COUNTIF('کدهای پیام‌داروساز'!$A$2:$A$2442,A446)&gt;0,"بله","خیر")</f>
        <v/>
      </c>
    </row>
    <row r="447" ht="15" customHeight="1" s="14">
      <c r="A447" s="24" t="n">
        <v>731</v>
      </c>
      <c r="B447" s="24" t="inlineStr">
        <is>
          <t>شربت لاکتولوز دوفالاک ابوت - 300 ميلي ليتر</t>
        </is>
      </c>
      <c r="C447" s="25">
        <f>IF(COUNTIF('کدهای پیام‌داروساز'!$A$2:$A$2442,A447)&gt;0,"بله","خیر")</f>
        <v/>
      </c>
    </row>
    <row r="448" ht="15" customHeight="1" s="14">
      <c r="A448" s="24" t="n">
        <v>732</v>
      </c>
      <c r="B448" s="24" t="inlineStr">
        <is>
          <t>لاتريگال   قرص خوراکي 100 mg - دارو درمان سلامت پارس</t>
        </is>
      </c>
      <c r="C448" s="25">
        <f>IF(COUNTIF('کدهای پیام‌داروساز'!$A$2:$A$2442,A448)&gt;0,"بله","خیر")</f>
        <v/>
      </c>
    </row>
    <row r="449" ht="15" customHeight="1" s="14">
      <c r="A449" s="24" t="n">
        <v>733</v>
      </c>
      <c r="B449" s="24" t="inlineStr">
        <is>
          <t>لاموبيوژين (لاموتريژين) 50 م گ قرص - باختربيوشيمي</t>
        </is>
      </c>
      <c r="C449" s="25">
        <f>IF(COUNTIF('کدهای پیام‌داروساز'!$A$2:$A$2442,A449)&gt;0,"بله","خیر")</f>
        <v/>
      </c>
    </row>
    <row r="450" ht="15" customHeight="1" s="14">
      <c r="A450" s="24" t="n">
        <v>736</v>
      </c>
      <c r="B450" s="24" t="inlineStr">
        <is>
          <t>روفولين   تزريقي پرنترال 10 mg/1mL 3 mL - روناک</t>
        </is>
      </c>
      <c r="C450" s="25">
        <f>IF(COUNTIF('کدهای پیام‌داروساز'!$A$2:$A$2442,A450)&gt;0,"بله","خیر")</f>
        <v/>
      </c>
    </row>
    <row r="451" ht="15" customHeight="1" s="14">
      <c r="A451" s="24" t="n">
        <v>738</v>
      </c>
      <c r="B451" s="24" t="inlineStr">
        <is>
          <t>بيوورين   قرص خوراکي 15 mg - پارس فارمد آريا</t>
        </is>
      </c>
      <c r="C451" s="25">
        <f>IF(COUNTIF('کدهای پیام‌داروساز'!$A$2:$A$2442,A451)&gt;0,"بله","خیر")</f>
        <v/>
      </c>
    </row>
    <row r="452" ht="15" customHeight="1" s="14">
      <c r="A452" s="24" t="n">
        <v>739</v>
      </c>
      <c r="B452" s="24" t="inlineStr">
        <is>
          <t>روفولين   قرص خوراکي 25 mg - روناک</t>
        </is>
      </c>
      <c r="C452" s="25">
        <f>IF(COUNTIF('کدهای پیام‌داروساز'!$A$2:$A$2442,A452)&gt;0,"بله","خیر")</f>
        <v/>
      </c>
    </row>
    <row r="453" ht="15" customHeight="1" s="14">
      <c r="A453" s="24" t="n">
        <v>740</v>
      </c>
      <c r="B453" s="24" t="inlineStr">
        <is>
          <t>روفولين   قرص خوراکي 5 mg - روناک</t>
        </is>
      </c>
      <c r="C453" s="25">
        <f>IF(COUNTIF('کدهای پیام‌داروساز'!$A$2:$A$2442,A453)&gt;0,"بله","خیر")</f>
        <v/>
      </c>
    </row>
    <row r="454" ht="15" customHeight="1" s="14">
      <c r="A454" s="24" t="n">
        <v>741</v>
      </c>
      <c r="B454" s="24" t="inlineStr">
        <is>
          <t>قرص لوواميزول 50 ميلي گرم   قرص خوراکي 50 mg</t>
        </is>
      </c>
      <c r="C454" s="25">
        <f>IF(COUNTIF('کدهای پیام‌داروساز'!$A$2:$A$2442,A454)&gt;0,"بله","خیر")</f>
        <v/>
      </c>
    </row>
    <row r="455" ht="15" customHeight="1" s="14">
      <c r="A455" s="24" t="n">
        <v>743</v>
      </c>
      <c r="B455" s="24" t="inlineStr">
        <is>
          <t>ال-کارنوکس   تزريقي پرنترال 200 mg/1mL 5 mL - اوکسين داروي وشت</t>
        </is>
      </c>
      <c r="C455" s="25">
        <f>IF(COUNTIF('کدهای پیام‌داروساز'!$A$2:$A$2442,A455)&gt;0,"بله","خیر")</f>
        <v/>
      </c>
    </row>
    <row r="456" ht="15" customHeight="1" s="14">
      <c r="A456" s="24" t="n">
        <v>745</v>
      </c>
      <c r="B456" s="24" t="inlineStr">
        <is>
          <t>MADOPAR 125 MG TAB   قرص خوراکي 100 mg/25 mg</t>
        </is>
      </c>
      <c r="C456" s="25">
        <f>IF(COUNTIF('کدهای پیام‌داروساز'!$A$2:$A$2442,A456)&gt;0,"بله","خیر")</f>
        <v/>
      </c>
    </row>
    <row r="457" ht="15" customHeight="1" s="14">
      <c r="A457" s="24" t="n">
        <v>746</v>
      </c>
      <c r="B457" s="24" t="inlineStr">
        <is>
          <t>بايودوپاکس-بي   قرص خوراکي 200 mg/50 mg</t>
        </is>
      </c>
      <c r="C457" s="25">
        <f>IF(COUNTIF('کدهای پیام‌داروساز'!$A$2:$A$2442,A457)&gt;0,"بله","خیر")</f>
        <v/>
      </c>
    </row>
    <row r="458" ht="15" customHeight="1" s="14">
      <c r="A458" s="24" t="n">
        <v>747</v>
      </c>
      <c r="B458" s="24" t="inlineStr">
        <is>
          <t>ال دورام-سي 100/10(لوودوپا-سي) قرص - راموفارمين</t>
        </is>
      </c>
      <c r="C458" s="25">
        <f>IF(COUNTIF('کدهای پیام‌داروساز'!$A$2:$A$2442,A458)&gt;0,"بله","خیر")</f>
        <v/>
      </c>
    </row>
    <row r="459" ht="15" customHeight="1" s="14">
      <c r="A459" s="24" t="n">
        <v>748</v>
      </c>
      <c r="B459" s="24" t="inlineStr">
        <is>
          <t>ال دورام-سي فورت 250/25  (لوودوپا-سي250/25)قرص - راموفارمين</t>
        </is>
      </c>
      <c r="C459" s="25">
        <f>IF(COUNTIF('کدهای پیام‌داروساز'!$A$2:$A$2442,A459)&gt;0,"بله","خیر")</f>
        <v/>
      </c>
    </row>
    <row r="460" ht="15" customHeight="1" s="14">
      <c r="A460" s="24" t="n">
        <v>751</v>
      </c>
      <c r="B460" s="24" t="inlineStr">
        <is>
          <t>اثيروکس (لووتيروکسين سديم) 100 م گ قرص - مرک</t>
        </is>
      </c>
      <c r="C460" s="25">
        <f>IF(COUNTIF('کدهای پیام‌داروساز'!$A$2:$A$2442,A460)&gt;0,"بله","خیر")</f>
        <v/>
      </c>
    </row>
    <row r="461" ht="15" customHeight="1" s="14">
      <c r="A461" s="24" t="n">
        <v>753</v>
      </c>
      <c r="B461" s="24" t="inlineStr">
        <is>
          <t>ليدوريتم   تزريقي پرنترال 2 % 5 mL</t>
        </is>
      </c>
      <c r="C461" s="25">
        <f>IF(COUNTIF('کدهای پیام‌داروساز'!$A$2:$A$2442,A461)&gt;0,"بله","خیر")</f>
        <v/>
      </c>
    </row>
    <row r="462" ht="15" customHeight="1" s="14">
      <c r="A462" s="24" t="n">
        <v>755</v>
      </c>
      <c r="B462" s="24" t="inlineStr">
        <is>
          <t>ليدوکائين   تزريقي پرنترال 1 % 50 mL - انستيتو پاستور ايران</t>
        </is>
      </c>
      <c r="C462" s="25">
        <f>IF(COUNTIF('کدهای پیام‌داروساز'!$A$2:$A$2442,A462)&gt;0,"بله","خیر")</f>
        <v/>
      </c>
    </row>
    <row r="463" ht="15" customHeight="1" s="14">
      <c r="A463" s="24" t="n">
        <v>756</v>
      </c>
      <c r="B463" s="24" t="inlineStr">
        <is>
          <t xml:space="preserve">زايلوژل 2% (ليدوکائين) ژل موضعي 25 گرم - سينا دارو </t>
        </is>
      </c>
      <c r="C463" s="25">
        <f>IF(COUNTIF('کدهای پیام‌داروساز'!$A$2:$A$2442,A463)&gt;0,"بله","خیر")</f>
        <v/>
      </c>
    </row>
    <row r="464" ht="15" customHeight="1" s="14">
      <c r="A464" s="24" t="n">
        <v>757</v>
      </c>
      <c r="B464" s="24" t="inlineStr">
        <is>
          <t>ليدوکائين   محلول تزريقي پرنترال 2 % 50 mg - رويان دارو</t>
        </is>
      </c>
      <c r="C464" s="25">
        <f>IF(COUNTIF('کدهای پیام‌داروساز'!$A$2:$A$2442,A464)&gt;0,"بله","خیر")</f>
        <v/>
      </c>
    </row>
    <row r="465" ht="15" customHeight="1" s="14">
      <c r="A465" s="24" t="n">
        <v>762</v>
      </c>
      <c r="B465" s="24" t="inlineStr">
        <is>
          <t>زايلکس-اچ   پماد مقعدي 5 %/0.5 % 15 g - لابراتوارهاي سينا دارو</t>
        </is>
      </c>
      <c r="C465" s="25">
        <f>IF(COUNTIF('کدهای پیام‌داروساز'!$A$2:$A$2442,A465)&gt;0,"بله","خیر")</f>
        <v/>
      </c>
    </row>
    <row r="466" ht="15" customHeight="1" s="14">
      <c r="A466" s="24" t="n">
        <v>763</v>
      </c>
      <c r="B466" s="24" t="inlineStr">
        <is>
          <t>تي تري 25 (ليوتيرونين سديم) -يوني فارما</t>
        </is>
      </c>
      <c r="C466" s="25">
        <f>IF(COUNTIF('کدهای پیام‌داروساز'!$A$2:$A$2442,A466)&gt;0,"بله","خیر")</f>
        <v/>
      </c>
    </row>
    <row r="467" ht="15" customHeight="1" s="14">
      <c r="A467" s="24" t="n">
        <v>764</v>
      </c>
      <c r="B467" s="24" t="inlineStr">
        <is>
          <t>زست پرل   قرص خوراکي 10 mg - داروسازي دکتر عبيدي</t>
        </is>
      </c>
      <c r="C467" s="25">
        <f>IF(COUNTIF('کدهای پیام‌داروساز'!$A$2:$A$2442,A467)&gt;0,"بله","خیر")</f>
        <v/>
      </c>
    </row>
    <row r="468" ht="15" customHeight="1" s="14">
      <c r="A468" s="24" t="n">
        <v>765</v>
      </c>
      <c r="B468" s="24" t="inlineStr">
        <is>
          <t>زست پرل   قرص خوراکي 20 mg - داروسازي دکتر عبيدي</t>
        </is>
      </c>
      <c r="C468" s="25">
        <f>IF(COUNTIF('کدهای پیام‌داروساز'!$A$2:$A$2442,A468)&gt;0,"بله","خیر")</f>
        <v/>
      </c>
    </row>
    <row r="469" ht="15" customHeight="1" s="14">
      <c r="A469" s="24" t="n">
        <v>766</v>
      </c>
      <c r="B469" s="24" t="inlineStr">
        <is>
          <t>زست پرل   قرص خوراکي 5 mg - داروسازي دکتر عبيدي</t>
        </is>
      </c>
      <c r="C469" s="25">
        <f>IF(COUNTIF('کدهای پیام‌داروساز'!$A$2:$A$2442,A469)&gt;0,"بله","خیر")</f>
        <v/>
      </c>
    </row>
    <row r="470" ht="15" customHeight="1" s="14">
      <c r="A470" s="24" t="n">
        <v>767</v>
      </c>
      <c r="B470" s="24" t="inlineStr">
        <is>
          <t>بايپوران   قرص خوراکي 300 mg - اهران تجارت</t>
        </is>
      </c>
      <c r="C470" s="25">
        <f>IF(COUNTIF('کدهای پیام‌داروساز'!$A$2:$A$2442,A470)&gt;0,"بله","خیر")</f>
        <v/>
      </c>
    </row>
    <row r="471" ht="15" customHeight="1" s="14">
      <c r="A471" s="24" t="n">
        <v>768</v>
      </c>
      <c r="B471" s="24" t="inlineStr">
        <is>
          <t>پريادل   قرص پيوسته رهش خوراکي 400 mg - بازرگاني سها کيش</t>
        </is>
      </c>
      <c r="C471" s="25">
        <f>IF(COUNTIF('کدهای پیام‌داروساز'!$A$2:$A$2442,A471)&gt;0,"بله","خیر")</f>
        <v/>
      </c>
    </row>
    <row r="472" ht="15" customHeight="1" s="14">
      <c r="A472" s="24" t="n">
        <v>769</v>
      </c>
      <c r="B472" s="24" t="inlineStr">
        <is>
          <t>بلوستين   کپسول خوراکي 40 mg - اوتانا فارمد گستر</t>
        </is>
      </c>
      <c r="C472" s="25">
        <f>IF(COUNTIF('کدهای پیام‌داروساز'!$A$2:$A$2442,A472)&gt;0,"بله","خیر")</f>
        <v/>
      </c>
    </row>
    <row r="473" ht="15" customHeight="1" s="14">
      <c r="A473" s="24" t="n">
        <v>771</v>
      </c>
      <c r="B473" s="24" t="inlineStr">
        <is>
          <t>لورازپام 1 م گ قرص - زهراوي</t>
        </is>
      </c>
      <c r="C473" s="25">
        <f>IF(COUNTIF('کدهای پیام‌داروساز'!$A$2:$A$2442,A473)&gt;0,"بله","خیر")</f>
        <v/>
      </c>
    </row>
    <row r="474" ht="15" customHeight="1" s="14">
      <c r="A474" s="24" t="n">
        <v>772</v>
      </c>
      <c r="B474" s="24" t="inlineStr">
        <is>
          <t>لورازپام   قرص خوراکي 2 mg - داروسازي دکتر عبيدي</t>
        </is>
      </c>
      <c r="C474" s="25">
        <f>IF(COUNTIF('کدهای پیام‌داروساز'!$A$2:$A$2442,A474)&gt;0,"بله","خیر")</f>
        <v/>
      </c>
    </row>
    <row r="475" ht="15" customHeight="1" s="14">
      <c r="A475" s="24" t="n">
        <v>773</v>
      </c>
      <c r="B475" s="24" t="inlineStr">
        <is>
          <t>اسوه-لوواستاتين   قرص خوراکي 20 mg - دارو سازي اسوه</t>
        </is>
      </c>
      <c r="C475" s="25">
        <f>IF(COUNTIF('کدهای پیام‌داروساز'!$A$2:$A$2442,A475)&gt;0,"بله","خیر")</f>
        <v/>
      </c>
    </row>
    <row r="476" ht="15" customHeight="1" s="14">
      <c r="A476" s="24" t="n">
        <v>775</v>
      </c>
      <c r="B476" s="24" t="inlineStr">
        <is>
          <t>لاينسترنول 0.5 قرص - ابوريحان</t>
        </is>
      </c>
      <c r="C476" s="25">
        <f>IF(COUNTIF('کدهای پیام‌داروساز'!$A$2:$A$2442,A476)&gt;0,"بله","خیر")</f>
        <v/>
      </c>
    </row>
    <row r="477" ht="15" customHeight="1" s="14">
      <c r="A477" s="24" t="n">
        <v>777</v>
      </c>
      <c r="B477" s="24" t="inlineStr">
        <is>
          <t>لاکسمل (منيزيم هيدروکسايد) 8 درصد 240 م ل سوسپانسيون - توليد دارو</t>
        </is>
      </c>
      <c r="C477" s="25">
        <f>IF(COUNTIF('کدهای پیام‌داروساز'!$A$2:$A$2442,A477)&gt;0,"بله","خیر")</f>
        <v/>
      </c>
    </row>
    <row r="478" ht="15" customHeight="1" s="14">
      <c r="A478" s="24" t="n">
        <v>781</v>
      </c>
      <c r="B478" s="24" t="inlineStr">
        <is>
          <t>مانيتول   محلول تزريقي داخل وريدي 10 % 500 L - داروسازي ثامن</t>
        </is>
      </c>
      <c r="C478" s="25">
        <f>IF(COUNTIF('کدهای پیام‌داروساز'!$A$2:$A$2442,A478)&gt;0,"بله","خیر")</f>
        <v/>
      </c>
    </row>
    <row r="479" ht="15" customHeight="1" s="14">
      <c r="A479" s="24" t="n">
        <v>782</v>
      </c>
      <c r="B479" s="24" t="inlineStr">
        <is>
          <t>بيوفلکس   محلول تزريقي داخل وريدي 20 % 500 mL - رايان دارو ايرانيان</t>
        </is>
      </c>
      <c r="C479" s="25">
        <f>IF(COUNTIF('کدهای پیام‌داروساز'!$A$2:$A$2442,A479)&gt;0,"بله","خیر")</f>
        <v/>
      </c>
    </row>
    <row r="480" ht="15" customHeight="1" s="14">
      <c r="A480" s="24" t="n">
        <v>783</v>
      </c>
      <c r="B480" s="24" t="inlineStr">
        <is>
          <t>لوديوميل   قرص خوراکي 25 mg</t>
        </is>
      </c>
      <c r="C480" s="25">
        <f>IF(COUNTIF('کدهای پیام‌داروساز'!$A$2:$A$2442,A480)&gt;0,"بله","خیر")</f>
        <v/>
      </c>
    </row>
    <row r="481" ht="15" customHeight="1" s="14">
      <c r="A481" s="24" t="n">
        <v>784</v>
      </c>
      <c r="B481" s="24" t="inlineStr">
        <is>
          <t>لوديوميل   قرص خوراکي 75 mg</t>
        </is>
      </c>
      <c r="C481" s="25">
        <f>IF(COUNTIF('کدهای پیام‌داروساز'!$A$2:$A$2442,A481)&gt;0,"بله","خیر")</f>
        <v/>
      </c>
    </row>
    <row r="482" ht="15" customHeight="1" s="14">
      <c r="A482" s="24" t="n">
        <v>785</v>
      </c>
      <c r="B482" s="24" t="inlineStr">
        <is>
          <t>آساکول    انما مقعدي 4 g/100mL  {dose}</t>
        </is>
      </c>
      <c r="C482" s="25">
        <f>IF(COUNTIF('کدهای پیام‌داروساز'!$A$2:$A$2442,A482)&gt;0,"بله","خیر")</f>
        <v/>
      </c>
    </row>
    <row r="483" ht="15" customHeight="1" s="14">
      <c r="A483" s="24" t="n">
        <v>786</v>
      </c>
      <c r="B483" s="24" t="inlineStr">
        <is>
          <t>مبندازول   قرص جويدني خوراکي 100 mg</t>
        </is>
      </c>
      <c r="C483" s="25">
        <f>IF(COUNTIF('کدهای پیام‌داروساز'!$A$2:$A$2442,A483)&gt;0,"بله","خیر")</f>
        <v/>
      </c>
    </row>
    <row r="484" ht="15" customHeight="1" s="14">
      <c r="A484" s="24" t="n">
        <v>787</v>
      </c>
      <c r="B484" s="24" t="inlineStr">
        <is>
          <t>ايريمب   قرص خوراکي 135 mg - داروسازي امين</t>
        </is>
      </c>
      <c r="C484" s="25">
        <f>IF(COUNTIF('کدهای پیام‌داروساز'!$A$2:$A$2442,A484)&gt;0,"بله","خیر")</f>
        <v/>
      </c>
    </row>
    <row r="485" ht="15" customHeight="1" s="14">
      <c r="A485" s="24" t="n">
        <v>790</v>
      </c>
      <c r="B485" s="24" t="inlineStr">
        <is>
          <t>دپو پروورا 500(مدروکسي پروژسترون)  ويال  - فايزر</t>
        </is>
      </c>
      <c r="C485" s="25">
        <f>IF(COUNTIF('کدهای پیام‌داروساز'!$A$2:$A$2442,A485)&gt;0,"بله","خیر")</f>
        <v/>
      </c>
    </row>
    <row r="486" ht="15" customHeight="1" s="14">
      <c r="A486" s="24" t="n">
        <v>791</v>
      </c>
      <c r="B486" s="24" t="inlineStr">
        <is>
          <t>پرووديک   سوسپانسيون تزريقي پرنترال 150 mg/1mL 1 mL</t>
        </is>
      </c>
      <c r="C486" s="25">
        <f>IF(COUNTIF('کدهای پیام‌داروساز'!$A$2:$A$2442,A486)&gt;0,"بله","خیر")</f>
        <v/>
      </c>
    </row>
    <row r="487" ht="15" customHeight="1" s="14">
      <c r="A487" s="24" t="n">
        <v>792</v>
      </c>
      <c r="B487" s="24" t="inlineStr">
        <is>
          <t>پروژرا   قرص خوراکي 5 mg</t>
        </is>
      </c>
      <c r="C487" s="25">
        <f>IF(COUNTIF('کدهای پیام‌داروساز'!$A$2:$A$2442,A487)&gt;0,"بله","خیر")</f>
        <v/>
      </c>
    </row>
    <row r="488" ht="15" customHeight="1" s="14">
      <c r="A488" s="24" t="n">
        <v>794</v>
      </c>
      <c r="B488" s="24" t="inlineStr">
        <is>
          <t>مفناميک اسيد   کپسول خوراکي 250 mg</t>
        </is>
      </c>
      <c r="C488" s="25">
        <f>IF(COUNTIF('کدهای پیام‌داروساز'!$A$2:$A$2442,A488)&gt;0,"بله","خیر")</f>
        <v/>
      </c>
    </row>
    <row r="489" ht="15" customHeight="1" s="14">
      <c r="A489" s="24" t="n">
        <v>795</v>
      </c>
      <c r="B489" s="24" t="inlineStr">
        <is>
          <t>مفنايد (مفنايد استات) 30 گرم کرم موضعي</t>
        </is>
      </c>
      <c r="C489" s="25">
        <f>IF(COUNTIF('کدهای پیام‌داروساز'!$A$2:$A$2442,A489)&gt;0,"بله","خیر")</f>
        <v/>
      </c>
    </row>
    <row r="490" ht="15" customHeight="1" s="14">
      <c r="A490" s="24" t="n">
        <v>796</v>
      </c>
      <c r="B490" s="24" t="inlineStr">
        <is>
          <t>الوکوين   قرص خوراکي 250 mg - بازرگاني سها کيش</t>
        </is>
      </c>
      <c r="C490" s="25">
        <f>IF(COUNTIF('کدهای پیام‌داروساز'!$A$2:$A$2442,A490)&gt;0,"بله","خیر")</f>
        <v/>
      </c>
    </row>
    <row r="491" ht="15" customHeight="1" s="14">
      <c r="A491" s="24" t="n">
        <v>797</v>
      </c>
      <c r="B491" s="24" t="inlineStr">
        <is>
          <t>گلوکانتيم   محلول تزريقي پرنترال 300 mg/1mL 5 [Amb'a'1'U] - ماه داروي تجهيز</t>
        </is>
      </c>
      <c r="C491" s="25">
        <f>IF(COUNTIF('کدهای پیام‌داروساز'!$A$2:$A$2442,A491)&gt;0,"بله","خیر")</f>
        <v/>
      </c>
    </row>
    <row r="492" ht="15" customHeight="1" s="14">
      <c r="A492" s="24" t="n">
        <v>798</v>
      </c>
      <c r="B492" s="24" t="inlineStr">
        <is>
          <t>آمپول يوروگرافين ® 76%    100 ميلي ليتر   تزريقي پرنترال 66 %/10 % 100</t>
        </is>
      </c>
      <c r="C492" s="25">
        <f>IF(COUNTIF('کدهای پیام‌داروساز'!$A$2:$A$2442,A492)&gt;0,"بله","خیر")</f>
        <v/>
      </c>
    </row>
    <row r="493" ht="15" customHeight="1" s="14">
      <c r="A493" s="24" t="n">
        <v>799</v>
      </c>
      <c r="B493" s="24" t="inlineStr">
        <is>
          <t>اوروگرافين   تزريقي پرنترال 66 %/10 % 20 %</t>
        </is>
      </c>
      <c r="C493" s="25">
        <f>IF(COUNTIF('کدهای پیام‌داروساز'!$A$2:$A$2442,A493)&gt;0,"بله","خیر")</f>
        <v/>
      </c>
    </row>
    <row r="494" ht="15" customHeight="1" s="14">
      <c r="A494" s="24" t="n">
        <v>800</v>
      </c>
      <c r="B494" s="24" t="inlineStr">
        <is>
          <t>برندوکر   قرص خوراکي 40 mg - داروسازي ابوريحان</t>
        </is>
      </c>
      <c r="C494" s="25">
        <f>IF(COUNTIF('کدهای پیام‌داروساز'!$A$2:$A$2442,A494)&gt;0,"بله","خیر")</f>
        <v/>
      </c>
    </row>
    <row r="495" ht="15" customHeight="1" s="14">
      <c r="A495" s="24" t="n">
        <v>801</v>
      </c>
      <c r="B495" s="24" t="inlineStr">
        <is>
          <t>اوروگرافين   محلول خوراکي 66 %/10 % 100 mL - رايان دارو ايرانيان</t>
        </is>
      </c>
      <c r="C495" s="25">
        <f>IF(COUNTIF('کدهای پیام‌داروساز'!$A$2:$A$2442,A495)&gt;0,"بله","خیر")</f>
        <v/>
      </c>
    </row>
    <row r="496" ht="15" customHeight="1" s="14">
      <c r="A496" s="24" t="n">
        <v>802</v>
      </c>
      <c r="B496" s="24" t="inlineStr">
        <is>
          <t>دي پي گرافين   تزريقي پرنترال 52.1 %/7.9 % 20 mL - کارخانجات دارو پخش</t>
        </is>
      </c>
      <c r="C496" s="25">
        <f>IF(COUNTIF('کدهای پیام‌داروساز'!$A$2:$A$2442,A496)&gt;0,"بله","خیر")</f>
        <v/>
      </c>
    </row>
    <row r="497" ht="15" customHeight="1" s="14">
      <c r="A497" s="24" t="n">
        <v>803</v>
      </c>
      <c r="B497" s="24" t="inlineStr">
        <is>
          <t>آلکاسل   قرص خوراکي 2 mg  mg - رايان دارو ايرانيان</t>
        </is>
      </c>
      <c r="C497" s="25">
        <f>IF(COUNTIF('کدهای پیام‌داروساز'!$A$2:$A$2442,A497)&gt;0,"بله","خیر")</f>
        <v/>
      </c>
    </row>
    <row r="498" ht="15" customHeight="1" s="14">
      <c r="A498" s="24" t="n">
        <v>804</v>
      </c>
      <c r="B498" s="24" t="inlineStr">
        <is>
          <t>آي وي اف-ام   پودر لئوفيليزه براي تهيه محلول تزريقي پرنترال 75 [iU]/75 [iU]</t>
        </is>
      </c>
      <c r="C498" s="25">
        <f>IF(COUNTIF('کدهای پیام‌داروساز'!$A$2:$A$2442,A498)&gt;0,"بله","خیر")</f>
        <v/>
      </c>
    </row>
    <row r="499" ht="15" customHeight="1" s="14">
      <c r="A499" s="24" t="n">
        <v>807</v>
      </c>
      <c r="B499" s="24" t="inlineStr">
        <is>
          <t xml:space="preserve">منتول ساليسيلات پماد </t>
        </is>
      </c>
      <c r="C499" s="25">
        <f>IF(COUNTIF('کدهای پیام‌داروساز'!$A$2:$A$2442,A499)&gt;0,"بله","خیر")</f>
        <v/>
      </c>
    </row>
    <row r="500" ht="15" customHeight="1" s="14">
      <c r="A500" s="24" t="n">
        <v>811</v>
      </c>
      <c r="B500" s="24" t="inlineStr">
        <is>
          <t>6- ام پي   قرص خوراکي 50 mg  mg - رايان دارو ايرانيان</t>
        </is>
      </c>
      <c r="C500" s="25">
        <f>IF(COUNTIF('کدهای پیام‌داروساز'!$A$2:$A$2442,A500)&gt;0,"بله","خیر")</f>
        <v/>
      </c>
    </row>
    <row r="501" ht="15" customHeight="1" s="14">
      <c r="A501" s="24" t="n">
        <v>812</v>
      </c>
      <c r="B501" s="24" t="inlineStr">
        <is>
          <t>آساکول   قرص انتريک کوتد خوراکي 400 mg - راسن درمان</t>
        </is>
      </c>
      <c r="C501" s="25">
        <f>IF(COUNTIF('کدهای پیام‌داروساز'!$A$2:$A$2442,A501)&gt;0,"بله","خیر")</f>
        <v/>
      </c>
    </row>
    <row r="502" ht="15" customHeight="1" s="14">
      <c r="A502" s="24" t="n">
        <v>813</v>
      </c>
      <c r="B502" s="24" t="inlineStr">
        <is>
          <t>آسافا 500 (مزالازين) قرص - فاران شيمي</t>
        </is>
      </c>
      <c r="C502" s="25">
        <f>IF(COUNTIF('کدهای پیام‌داروساز'!$A$2:$A$2442,A502)&gt;0,"بله","خیر")</f>
        <v/>
      </c>
    </row>
    <row r="503" ht="15" customHeight="1" s="14">
      <c r="A503" s="24" t="n">
        <v>814</v>
      </c>
      <c r="B503" s="24" t="inlineStr">
        <is>
          <t>اورميکسان   تزريقي پرنترال 100 mg/1mL 4 mL - داروسازي اکسير</t>
        </is>
      </c>
      <c r="C503" s="25">
        <f>IF(COUNTIF('کدهای پیام‌داروساز'!$A$2:$A$2442,A503)&gt;0,"بله","خیر")</f>
        <v/>
      </c>
    </row>
    <row r="504" ht="15" customHeight="1" s="14">
      <c r="A504" s="24" t="n">
        <v>817</v>
      </c>
      <c r="B504" s="24" t="inlineStr">
        <is>
          <t>قرص متفورمين (ويتالوفاژ )500 ميلي گرم</t>
        </is>
      </c>
      <c r="C504" s="25">
        <f>IF(COUNTIF('کدهای پیام‌داروساز'!$A$2:$A$2442,A504)&gt;0,"بله","خیر")</f>
        <v/>
      </c>
    </row>
    <row r="505" ht="15" customHeight="1" s="14">
      <c r="A505" s="24" t="n">
        <v>818</v>
      </c>
      <c r="B505" s="24" t="inlineStr">
        <is>
          <t>متادون   قرص خوراکي 5 mg - توليد مواد اوليه داروپخش</t>
        </is>
      </c>
      <c r="C505" s="25">
        <f>IF(COUNTIF('کدهای پیام‌داروساز'!$A$2:$A$2442,A505)&gt;0,"بله","خیر")</f>
        <v/>
      </c>
    </row>
    <row r="506" ht="15" customHeight="1" s="14">
      <c r="A506" s="24" t="n">
        <v>819</v>
      </c>
      <c r="B506" s="24" t="inlineStr">
        <is>
          <t>متادون   تزريقي پرنترال 5 mg/1mL 1 mL - کارخانجات دارو پخش</t>
        </is>
      </c>
      <c r="C506" s="25">
        <f>IF(COUNTIF('کدهای پیام‌داروساز'!$A$2:$A$2442,A506)&gt;0,"بله","خیر")</f>
        <v/>
      </c>
    </row>
    <row r="507" ht="15" customHeight="1" s="14">
      <c r="A507" s="24" t="n">
        <v>821</v>
      </c>
      <c r="B507" s="24" t="inlineStr">
        <is>
          <t>پريزول   قرص خوراکي 5 mg - هيواد دارو ايرانيان</t>
        </is>
      </c>
      <c r="C507" s="25">
        <f>IF(COUNTIF('کدهای پیام‌داروساز'!$A$2:$A$2442,A507)&gt;0,"بله","خیر")</f>
        <v/>
      </c>
    </row>
    <row r="508" ht="15" customHeight="1" s="14">
      <c r="A508" s="24" t="n">
        <v>822</v>
      </c>
      <c r="B508" s="24" t="inlineStr">
        <is>
          <t>ريلاکسي مول   تزريقي پرنترال 100 mg/1mL 10 mL</t>
        </is>
      </c>
      <c r="C508" s="25">
        <f>IF(COUNTIF('کدهای پیام‌داروساز'!$A$2:$A$2442,A508)&gt;0,"بله","خیر")</f>
        <v/>
      </c>
    </row>
    <row r="509" ht="15" customHeight="1" s="14">
      <c r="A509" s="24" t="n">
        <v>823</v>
      </c>
      <c r="B509" s="24" t="inlineStr">
        <is>
          <t>متوکاربامول   قرص خوراکي 500 mg - پور سينا</t>
        </is>
      </c>
      <c r="C509" s="25">
        <f>IF(COUNTIF('کدهای پیام‌داروساز'!$A$2:$A$2442,A509)&gt;0,"بله","خیر")</f>
        <v/>
      </c>
    </row>
    <row r="510" ht="15" customHeight="1" s="14">
      <c r="A510" s="24" t="n">
        <v>824</v>
      </c>
      <c r="B510" s="24" t="inlineStr">
        <is>
          <t>آکساترکس   قرص خوراکي 2.5 mg</t>
        </is>
      </c>
      <c r="C510" s="25">
        <f>IF(COUNTIF('کدهای پیام‌داروساز'!$A$2:$A$2442,A510)&gt;0,"بله","خیر")</f>
        <v/>
      </c>
    </row>
    <row r="511" ht="15" customHeight="1" s="14">
      <c r="A511" s="24" t="n">
        <v>826</v>
      </c>
      <c r="B511" s="24" t="inlineStr">
        <is>
          <t>ابترکس   محلول تزريقي پرنترال 100 mg/1mL 10 mg - کاوش گستر دارو</t>
        </is>
      </c>
      <c r="C511" s="25">
        <f>IF(COUNTIF('کدهای پیام‌داروساز'!$A$2:$A$2442,A511)&gt;0,"بله","خیر")</f>
        <v/>
      </c>
    </row>
    <row r="512" ht="15" customHeight="1" s="14">
      <c r="A512" s="24" t="n">
        <v>829</v>
      </c>
      <c r="B512" s="24" t="inlineStr">
        <is>
          <t>متوکسالن   محلول موضعي 1 % 30 mL - خدمات دارويي رضوي</t>
        </is>
      </c>
      <c r="C512" s="25">
        <f>IF(COUNTIF('کدهای پیام‌داروساز'!$A$2:$A$2442,A512)&gt;0,"بله","خیر")</f>
        <v/>
      </c>
    </row>
    <row r="513" ht="15" customHeight="1" s="14">
      <c r="A513" s="24" t="n">
        <v>830</v>
      </c>
      <c r="B513" s="24" t="inlineStr">
        <is>
          <t>ملادينين   قرص خوراکي 10 mg - وليان دارو</t>
        </is>
      </c>
      <c r="C513" s="25">
        <f>IF(COUNTIF('کدهای پیام‌داروساز'!$A$2:$A$2442,A513)&gt;0,"بله","خیر")</f>
        <v/>
      </c>
    </row>
    <row r="514" ht="15" customHeight="1" s="14">
      <c r="A514" s="24" t="n">
        <v>831</v>
      </c>
      <c r="B514" s="24" t="inlineStr">
        <is>
          <t>متديک 30 (متيل سالسيلات) پماد موضعي 30 گرم - کاسپين</t>
        </is>
      </c>
      <c r="C514" s="25">
        <f>IF(COUNTIF('کدهای پیام‌داروساز'!$A$2:$A$2442,A514)&gt;0,"بله","خیر")</f>
        <v/>
      </c>
    </row>
    <row r="515" ht="15" customHeight="1" s="14">
      <c r="A515" s="24" t="n">
        <v>832</v>
      </c>
      <c r="B515" s="24" t="inlineStr">
        <is>
          <t>آلدومت   قرص خوراکي 250 mg - پويش دارو گستر برتر فارس</t>
        </is>
      </c>
      <c r="C515" s="25">
        <f>IF(COUNTIF('کدهای پیام‌داروساز'!$A$2:$A$2442,A515)&gt;0,"بله","خیر")</f>
        <v/>
      </c>
    </row>
    <row r="516" ht="15" customHeight="1" s="14">
      <c r="A516" s="24" t="n">
        <v>833</v>
      </c>
      <c r="B516" s="24" t="inlineStr">
        <is>
          <t>آئووين   قرص خوراکي 0.125 mg</t>
        </is>
      </c>
      <c r="C516" s="25">
        <f>IF(COUNTIF('کدهای پیام‌داروساز'!$A$2:$A$2442,A516)&gt;0,"بله","خیر")</f>
        <v/>
      </c>
    </row>
    <row r="517" ht="15" customHeight="1" s="14">
      <c r="A517" s="24" t="n">
        <v>834</v>
      </c>
      <c r="B517" s="24" t="inlineStr">
        <is>
          <t>متيل ارگومترين   تزريقي پرنترال 0.2 mg/1mL 1 mg</t>
        </is>
      </c>
      <c r="C517" s="25">
        <f>IF(COUNTIF('کدهای پیام‌داروساز'!$A$2:$A$2442,A517)&gt;0,"بله","خیر")</f>
        <v/>
      </c>
    </row>
    <row r="518" ht="15" customHeight="1" s="14">
      <c r="A518" s="24" t="n">
        <v>835</v>
      </c>
      <c r="B518" s="24" t="inlineStr">
        <is>
          <t>ام پي وي   سوسپانسيون تزريقي پرنترال 40 mg/1mL 1 mg - درمان ياب آنا</t>
        </is>
      </c>
      <c r="C518" s="25">
        <f>IF(COUNTIF('کدهای پیام‌داروساز'!$A$2:$A$2442,A518)&gt;0,"بله","خیر")</f>
        <v/>
      </c>
    </row>
    <row r="519" ht="15" customHeight="1" s="14">
      <c r="A519" s="24" t="n">
        <v>836</v>
      </c>
      <c r="B519" s="24" t="inlineStr">
        <is>
          <t>سولو-مدرول   پودر براي تهيه محلول تزريقي پرنترال 500 mg  mg - بهستان دارو</t>
        </is>
      </c>
      <c r="C519" s="25">
        <f>IF(COUNTIF('کدهای پیام‌داروساز'!$A$2:$A$2442,A519)&gt;0,"بله","خیر")</f>
        <v/>
      </c>
    </row>
    <row r="520" ht="15" customHeight="1" s="14">
      <c r="A520" s="24" t="n">
        <v>838</v>
      </c>
      <c r="B520" s="24" t="inlineStr">
        <is>
          <t>متيل تستوسترون 25 قرص - ابوريحان</t>
        </is>
      </c>
      <c r="C520" s="25">
        <f>IF(COUNTIF('کدهای پیام‌داروساز'!$A$2:$A$2442,A520)&gt;0,"بله","خیر")</f>
        <v/>
      </c>
    </row>
    <row r="521" ht="15" customHeight="1" s="14">
      <c r="A521" s="24" t="n">
        <v>839</v>
      </c>
      <c r="B521" s="24" t="inlineStr">
        <is>
          <t>اسوه-متوکلوپراميد   تزريقي پرنترال 5 mg/1mL 2 mL</t>
        </is>
      </c>
      <c r="C521" s="25">
        <f>IF(COUNTIF('کدهای پیام‌داروساز'!$A$2:$A$2442,A521)&gt;0,"بله","خیر")</f>
        <v/>
      </c>
    </row>
    <row r="522" ht="15" customHeight="1" s="14">
      <c r="A522" s="24" t="n">
        <v>840</v>
      </c>
      <c r="B522" s="24" t="inlineStr">
        <is>
          <t>پلاميدگات (متوکلوپراميد) 4 م گ / 1 م ل قطره خوراکي - خوارزمي</t>
        </is>
      </c>
      <c r="C522" s="25">
        <f>IF(COUNTIF('کدهای پیام‌داروساز'!$A$2:$A$2442,A522)&gt;0,"بله","خیر")</f>
        <v/>
      </c>
    </row>
    <row r="523" ht="15" customHeight="1" s="14">
      <c r="A523" s="24" t="n">
        <v>841</v>
      </c>
      <c r="B523" s="24" t="inlineStr">
        <is>
          <t>متوکلوپراميد   قرص خوراکي 10 mg - دانش پژوهان آريا دارو</t>
        </is>
      </c>
      <c r="C523" s="25">
        <f>IF(COUNTIF('کدهای پیام‌داروساز'!$A$2:$A$2442,A523)&gt;0,"بله","خیر")</f>
        <v/>
      </c>
    </row>
    <row r="524" ht="15" customHeight="1" s="14">
      <c r="A524" s="24" t="n">
        <v>843</v>
      </c>
      <c r="B524" s="24" t="inlineStr">
        <is>
          <t>پلژيل   محلول تزريقي پرنترال 5 mg/1mL 100 mL</t>
        </is>
      </c>
      <c r="C524" s="25">
        <f>IF(COUNTIF('کدهای پیام‌داروساز'!$A$2:$A$2442,A524)&gt;0,"بله","خیر")</f>
        <v/>
      </c>
    </row>
    <row r="525" ht="15" customHeight="1" s="14">
      <c r="A525" s="24" t="n">
        <v>844</v>
      </c>
      <c r="B525" s="24" t="inlineStr">
        <is>
          <t>اراپ   سوسپانسيون خوراکي 125 mg/5mL 120</t>
        </is>
      </c>
      <c r="C525" s="25">
        <f>IF(COUNTIF('کدهای پیام‌داروساز'!$A$2:$A$2442,A525)&gt;0,"بله","خیر")</f>
        <v/>
      </c>
    </row>
    <row r="526" ht="15" customHeight="1" s="14">
      <c r="A526" s="24" t="n">
        <v>845</v>
      </c>
      <c r="B526" s="24" t="inlineStr">
        <is>
          <t>زوتينال   قرص خوراکي 250 mg - داروسازي آني درمان</t>
        </is>
      </c>
      <c r="C526" s="25">
        <f>IF(COUNTIF('کدهای پیام‌داروساز'!$A$2:$A$2442,A526)&gt;0,"بله","خیر")</f>
        <v/>
      </c>
    </row>
    <row r="527" ht="15" customHeight="1" s="14">
      <c r="A527" s="24" t="n">
        <v>846</v>
      </c>
      <c r="B527" s="24" t="inlineStr">
        <is>
          <t>مترونيدازول 500 قرص واژينال - پارس دارو</t>
        </is>
      </c>
      <c r="C527" s="25">
        <f>IF(COUNTIF('کدهای پیام‌داروساز'!$A$2:$A$2442,A527)&gt;0,"بله","خیر")</f>
        <v/>
      </c>
    </row>
    <row r="528" ht="15" customHeight="1" s="14">
      <c r="A528" s="24" t="n">
        <v>848</v>
      </c>
      <c r="B528" s="24" t="inlineStr">
        <is>
          <t>مگزيلتين اچ سي ال 100 ميلي گرم کپسول</t>
        </is>
      </c>
      <c r="C528" s="25">
        <f>IF(COUNTIF('کدهای پیام‌داروساز'!$A$2:$A$2442,A528)&gt;0,"بله","خیر")</f>
        <v/>
      </c>
    </row>
    <row r="529" ht="15" customHeight="1" s="14">
      <c r="A529" s="24" t="n">
        <v>849</v>
      </c>
      <c r="B529" s="24" t="inlineStr">
        <is>
          <t>مگزيلتين اچ سي ال 200 ميلي گرم کپسول</t>
        </is>
      </c>
      <c r="C529" s="25">
        <f>IF(COUNTIF('کدهای پیام‌داروساز'!$A$2:$A$2442,A529)&gt;0,"بله","خیر")</f>
        <v/>
      </c>
    </row>
    <row r="530" ht="15" customHeight="1" s="14">
      <c r="A530" s="24" t="n">
        <v>850</v>
      </c>
      <c r="B530" s="24" t="inlineStr">
        <is>
          <t>مايکونازول   کرم واژينال 2 % 45 g</t>
        </is>
      </c>
      <c r="C530" s="25">
        <f>IF(COUNTIF('کدهای پیام‌داروساز'!$A$2:$A$2442,A530)&gt;0,"بله","خیر")</f>
        <v/>
      </c>
    </row>
    <row r="531" ht="15" customHeight="1" s="14">
      <c r="A531" s="24" t="n">
        <v>851</v>
      </c>
      <c r="B531" s="24" t="inlineStr">
        <is>
          <t>داکتارين   کرم موضعي 2 % 30 % - پويش دارو گستر برتر فارس</t>
        </is>
      </c>
      <c r="C531" s="25">
        <f>IF(COUNTIF('کدهای پیام‌داروساز'!$A$2:$A$2442,A531)&gt;0,"بله","خیر")</f>
        <v/>
      </c>
    </row>
    <row r="532" ht="15" customHeight="1" s="14">
      <c r="A532" s="24" t="n">
        <v>852</v>
      </c>
      <c r="B532" s="24" t="inlineStr">
        <is>
          <t>زودالم   تزريقي پرنترال 5 mg/1mL 1 mL - داروسازي کاسپين تأمين</t>
        </is>
      </c>
      <c r="C532" s="25">
        <f>IF(COUNTIF('کدهای پیام‌داروساز'!$A$2:$A$2442,A532)&gt;0,"بله","خیر")</f>
        <v/>
      </c>
    </row>
    <row r="533" ht="15" customHeight="1" s="14">
      <c r="A533" s="24" t="n">
        <v>855</v>
      </c>
      <c r="B533" s="24" t="inlineStr">
        <is>
          <t>لونيتن   قرص خوراکي 10 mg - پويش دارو گستر برتر فارس</t>
        </is>
      </c>
      <c r="C533" s="25">
        <f>IF(COUNTIF('کدهای پیام‌داروساز'!$A$2:$A$2442,A533)&gt;0,"بله","خیر")</f>
        <v/>
      </c>
    </row>
    <row r="534" ht="15" customHeight="1" s="14">
      <c r="A534" s="24" t="n">
        <v>856</v>
      </c>
      <c r="B534" s="24" t="inlineStr">
        <is>
          <t>آلوپکسين   محلول موضعي 20 mg/1mL 60 mL</t>
        </is>
      </c>
      <c r="C534" s="25">
        <f>IF(COUNTIF('کدهای پیام‌داروساز'!$A$2:$A$2442,A534)&gt;0,"بله","خیر")</f>
        <v/>
      </c>
    </row>
    <row r="535" ht="15" customHeight="1" s="14">
      <c r="A535" s="24" t="n">
        <v>857</v>
      </c>
      <c r="B535" s="24" t="inlineStr">
        <is>
          <t>مايسين اسپال   پودر براي تهيه محلول تزريقي پرنترال 2 mg  mg - رضا دارو پارس</t>
        </is>
      </c>
      <c r="C535" s="25">
        <f>IF(COUNTIF('کدهای پیام‌داروساز'!$A$2:$A$2442,A535)&gt;0,"بله","خیر")</f>
        <v/>
      </c>
    </row>
    <row r="536" ht="15" customHeight="1" s="14">
      <c r="A536" s="24" t="n">
        <v>858</v>
      </c>
      <c r="B536" s="24" t="inlineStr">
        <is>
          <t>لايزودرن   قرص خوراکي 500 mg - اريکه تجارت ويستا</t>
        </is>
      </c>
      <c r="C536" s="25">
        <f>IF(COUNTIF('کدهای پیام‌داروساز'!$A$2:$A$2442,A536)&gt;0,"بله","خیر")</f>
        <v/>
      </c>
    </row>
    <row r="537" ht="15" customHeight="1" s="14">
      <c r="A537" s="24" t="n">
        <v>859</v>
      </c>
      <c r="B537" s="24" t="inlineStr">
        <is>
          <t>زانتوميت   محلول تزريقي پرنترال 2 mg/1mL 10 mg - نانو فناوران داروئي الوند</t>
        </is>
      </c>
      <c r="C537" s="25">
        <f>IF(COUNTIF('کدهای پیام‌داروساز'!$A$2:$A$2442,A537)&gt;0,"بله","خیر")</f>
        <v/>
      </c>
    </row>
    <row r="538" ht="15" customHeight="1" s="14">
      <c r="A538" s="24" t="n">
        <v>864</v>
      </c>
      <c r="B538" s="24" t="inlineStr">
        <is>
          <t>بنزام   کرم موضعي 20 % 30 % - دارويي پرسون بام بين الملل</t>
        </is>
      </c>
      <c r="C538" s="25">
        <f>IF(COUNTIF('کدهای پیام‌داروساز'!$A$2:$A$2442,A538)&gt;0,"بله","خیر")</f>
        <v/>
      </c>
    </row>
    <row r="539" ht="15" customHeight="1" s="14">
      <c r="A539" s="24" t="n">
        <v>865</v>
      </c>
      <c r="B539" s="24" t="inlineStr">
        <is>
          <t>مورفينا بازي   تزريقي پرنترال 10 mg/1mL 1 mg - سامان دارو سلامت</t>
        </is>
      </c>
      <c r="C539" s="25">
        <f>IF(COUNTIF('کدهای پیام‌داروساز'!$A$2:$A$2442,A539)&gt;0,"بله","خیر")</f>
        <v/>
      </c>
    </row>
    <row r="540" ht="15" customHeight="1" s="14">
      <c r="A540" s="24" t="n">
        <v>867</v>
      </c>
      <c r="B540" s="24" t="inlineStr">
        <is>
          <t>مولتي ويتامين تراپوتيک   کپسول خوراکي 25000 [iU]/20 mg/5 mg/50 mg/10 mg/5 ug/150 mg/0.25 mg/1000 [iU]/10 mg/1 mg/11.6 mg/100 mg/5 mg/0.5 mg/0.1 mg/10 mg/0.5 mg/72.27 mg/1 mg</t>
        </is>
      </c>
      <c r="C540" s="25">
        <f>IF(COUNTIF('کدهای پیام‌داروساز'!$A$2:$A$2442,A540)&gt;0,"بله","خیر")</f>
        <v/>
      </c>
    </row>
    <row r="541" ht="15" customHeight="1" s="14">
      <c r="A541" s="24" t="n">
        <v>868</v>
      </c>
      <c r="B541" s="24" t="inlineStr">
        <is>
          <t>دورتامينا (مولتي ويتامين مينرال) کپسول - دورنا</t>
        </is>
      </c>
      <c r="C541" s="25">
        <f>IF(COUNTIF('کدهای پیام‌داروساز'!$A$2:$A$2442,A541)&gt;0,"بله","خیر")</f>
        <v/>
      </c>
    </row>
    <row r="542" ht="15" customHeight="1" s="14">
      <c r="A542" s="24" t="n">
        <v>869</v>
      </c>
      <c r="B542" s="24" t="inlineStr">
        <is>
          <t>مولتي ويتامين قرص - ايران دارو</t>
        </is>
      </c>
      <c r="C542" s="25">
        <f>IF(COUNTIF('کدهای پیام‌داروساز'!$A$2:$A$2442,A542)&gt;0,"بله","خیر")</f>
        <v/>
      </c>
    </row>
    <row r="543" ht="15" customHeight="1" s="14">
      <c r="A543" s="24" t="n">
        <v>870</v>
      </c>
      <c r="B543" s="24" t="inlineStr">
        <is>
          <t>مولتي ويتامين 60 م ل شربت - ايران دارو</t>
        </is>
      </c>
      <c r="C543" s="25">
        <f>IF(COUNTIF('کدهای پیام‌داروساز'!$A$2:$A$2442,A543)&gt;0,"بله","خیر")</f>
        <v/>
      </c>
    </row>
    <row r="544" ht="15" customHeight="1" s="14">
      <c r="A544" s="24" t="n">
        <v>871</v>
      </c>
      <c r="B544" s="24" t="inlineStr">
        <is>
          <t>پديابست قطره خوراکي مولتي ويتامين30 م ل - پدوريفمپ</t>
        </is>
      </c>
      <c r="C544" s="25">
        <f>IF(COUNTIF('کدهای پیام‌داروساز'!$A$2:$A$2442,A544)&gt;0,"بله","خیر")</f>
        <v/>
      </c>
    </row>
    <row r="545" ht="15" customHeight="1" s="14">
      <c r="A545" s="24" t="n">
        <v>875</v>
      </c>
      <c r="B545" s="24" t="inlineStr">
        <is>
          <t>آفيروسين (موپيروسين) 2 درصد 15 گرم پماد موضعي - آوندفر</t>
        </is>
      </c>
      <c r="C545" s="25">
        <f>IF(COUNTIF('کدهای پیام‌داروساز'!$A$2:$A$2442,A545)&gt;0,"بله","خیر")</f>
        <v/>
      </c>
    </row>
    <row r="546" ht="15" customHeight="1" s="14">
      <c r="A546" s="24" t="n">
        <v>881</v>
      </c>
      <c r="B546" s="24" t="inlineStr">
        <is>
          <t>ناليديکسيک اسيد 500 قرص - البرزدارو</t>
        </is>
      </c>
      <c r="C546" s="25">
        <f>IF(COUNTIF('کدهای پیام‌داروساز'!$A$2:$A$2442,A546)&gt;0,"بله","خیر")</f>
        <v/>
      </c>
    </row>
    <row r="547" ht="15" customHeight="1" s="14">
      <c r="A547" s="24" t="n">
        <v>882</v>
      </c>
      <c r="B547" s="24" t="inlineStr">
        <is>
          <t>ناليديکسيک اسيد 300 سوسپانسيون 120 ميلي ليتر - البرز دارو</t>
        </is>
      </c>
      <c r="C547" s="25">
        <f>IF(COUNTIF('کدهای پیام‌داروساز'!$A$2:$A$2442,A547)&gt;0,"بله","خیر")</f>
        <v/>
      </c>
    </row>
    <row r="548" ht="15" customHeight="1" s="14">
      <c r="A548" s="24" t="n">
        <v>884</v>
      </c>
      <c r="B548" s="24" t="inlineStr">
        <is>
          <t>دکابولکس (ناندرولون دکانوات) 25 م گ / 1 م ل آمپول - ابوريحان</t>
        </is>
      </c>
      <c r="C548" s="25">
        <f>IF(COUNTIF('کدهای پیام‌داروساز'!$A$2:$A$2442,A548)&gt;0,"بله","خیر")</f>
        <v/>
      </c>
    </row>
    <row r="549" ht="15" customHeight="1" s="14">
      <c r="A549" s="24" t="n">
        <v>886</v>
      </c>
      <c r="B549" s="24" t="inlineStr">
        <is>
          <t>فازوليکس   محلول، قطره از راه بيني 0.05 % 10 mL - نوآوري زيستي گويا</t>
        </is>
      </c>
      <c r="C549" s="25">
        <f>IF(COUNTIF('کدهای پیام‌داروساز'!$A$2:$A$2442,A549)&gt;0,"بله","خیر")</f>
        <v/>
      </c>
    </row>
    <row r="550" ht="15" customHeight="1" s="14">
      <c r="A550" s="24" t="n">
        <v>887</v>
      </c>
      <c r="B550" s="24" t="inlineStr">
        <is>
          <t>دکواستاپ   محلول، قطره چشمي 0.1 % 10 mL</t>
        </is>
      </c>
      <c r="C550" s="25">
        <f>IF(COUNTIF('کدهای پیام‌داروساز'!$A$2:$A$2442,A550)&gt;0,"بله","خیر")</f>
        <v/>
      </c>
    </row>
    <row r="551" ht="15" customHeight="1" s="14">
      <c r="A551" s="24" t="n">
        <v>888</v>
      </c>
      <c r="B551" s="24" t="inlineStr">
        <is>
          <t>آناپريوين   محلول، قطره چشمي 0.05 %/0.5 % 10 mL - لابراتوارهاي سينا دارو</t>
        </is>
      </c>
      <c r="C551" s="25">
        <f>IF(COUNTIF('کدهای پیام‌داروساز'!$A$2:$A$2442,A551)&gt;0,"بله","خیر")</f>
        <v/>
      </c>
    </row>
    <row r="552" ht="15" customHeight="1" s="14">
      <c r="A552" s="24" t="n">
        <v>889</v>
      </c>
      <c r="B552" s="24" t="inlineStr">
        <is>
          <t>تداپروکس (ناپروکسن) 250 م گ قرص - تهران دارو</t>
        </is>
      </c>
      <c r="C552" s="25">
        <f>IF(COUNTIF('کدهای پیام‌داروساز'!$A$2:$A$2442,A552)&gt;0,"بله","خیر")</f>
        <v/>
      </c>
    </row>
    <row r="553" ht="15" customHeight="1" s="14">
      <c r="A553" s="24" t="n">
        <v>890</v>
      </c>
      <c r="B553" s="24" t="inlineStr">
        <is>
          <t>ناتامت   محلول، قطره چشمي 5 % 3 % - فوريتهاي سينا آرات گستر</t>
        </is>
      </c>
      <c r="C553" s="25">
        <f>IF(COUNTIF('کدهای پیام‌داروساز'!$A$2:$A$2442,A553)&gt;0,"بله","خیر")</f>
        <v/>
      </c>
    </row>
    <row r="554" ht="15" customHeight="1" s="14">
      <c r="A554" s="24" t="n">
        <v>893</v>
      </c>
      <c r="B554" s="24" t="inlineStr">
        <is>
          <t>ايپوستيگمين   تزريقي پرنترال 0.5 mg/1mL 1 mL - داروسازي کاسپين تأمين</t>
        </is>
      </c>
      <c r="C554" s="25">
        <f>IF(COUNTIF('کدهای پیام‌داروساز'!$A$2:$A$2442,A554)&gt;0,"بله","خیر")</f>
        <v/>
      </c>
    </row>
    <row r="555" ht="15" customHeight="1" s="14">
      <c r="A555" s="24" t="n">
        <v>895</v>
      </c>
      <c r="B555" s="24" t="inlineStr">
        <is>
          <t>ايپوستيگمين   تزريقي پرنترال 2.5 mg/1mL 1 mL - داروسازي کاسپين تأمين</t>
        </is>
      </c>
      <c r="C555" s="25">
        <f>IF(COUNTIF('کدهای پیام‌داروساز'!$A$2:$A$2442,A555)&gt;0,"بله","خیر")</f>
        <v/>
      </c>
    </row>
    <row r="556" ht="15" customHeight="1" s="14">
      <c r="A556" s="24" t="n">
        <v>897</v>
      </c>
      <c r="B556" s="24" t="inlineStr">
        <is>
          <t>نيکلوزامايد 500 قرص - پارس دارو</t>
        </is>
      </c>
      <c r="C556" s="25">
        <f>IF(COUNTIF('کدهای پیام‌داروساز'!$A$2:$A$2442,A556)&gt;0,"بله","خیر")</f>
        <v/>
      </c>
    </row>
    <row r="557" ht="15" customHeight="1" s="14">
      <c r="A557" s="24" t="n">
        <v>898</v>
      </c>
      <c r="B557" s="24" t="inlineStr">
        <is>
          <t>اسيد نيکوتينيک 100 قرص - سبحان</t>
        </is>
      </c>
      <c r="C557" s="25">
        <f>IF(COUNTIF('کدهای پیام‌داروساز'!$A$2:$A$2442,A557)&gt;0,"بله","خیر")</f>
        <v/>
      </c>
    </row>
    <row r="558" ht="15" customHeight="1" s="14">
      <c r="A558" s="24" t="n">
        <v>899</v>
      </c>
      <c r="B558" s="24" t="inlineStr">
        <is>
          <t>اسيد نيکوتينيک 25 قرص - سبحان</t>
        </is>
      </c>
      <c r="C558" s="25">
        <f>IF(COUNTIF('کدهای پیام‌داروساز'!$A$2:$A$2442,A558)&gt;0,"بله","خیر")</f>
        <v/>
      </c>
    </row>
    <row r="559" ht="15" customHeight="1" s="14">
      <c r="A559" s="24" t="n">
        <v>902</v>
      </c>
      <c r="B559" s="24" t="inlineStr">
        <is>
          <t>زانيفد (نيفديپين) 10 م گ کپسول - زهراوي</t>
        </is>
      </c>
      <c r="C559" s="25">
        <f>IF(COUNTIF('کدهای پیام‌داروساز'!$A$2:$A$2442,A559)&gt;0,"بله","خیر")</f>
        <v/>
      </c>
    </row>
    <row r="560" ht="15" customHeight="1" s="14">
      <c r="A560" s="24" t="n">
        <v>903</v>
      </c>
      <c r="B560" s="24" t="inlineStr">
        <is>
          <t>نيفديپين قرص 10 م گ</t>
        </is>
      </c>
      <c r="C560" s="25">
        <f>IF(COUNTIF('کدهای پیام‌داروساز'!$A$2:$A$2442,A560)&gt;0,"بله","خیر")</f>
        <v/>
      </c>
    </row>
    <row r="561" ht="15" customHeight="1" s="14">
      <c r="A561" s="24" t="n">
        <v>904</v>
      </c>
      <c r="B561" s="24" t="inlineStr">
        <is>
          <t>نيموتوپ   محلول تزريقي داخل وريدي 0.2 mg/1mL 50 - پويش دارو گستر برتر فارس</t>
        </is>
      </c>
      <c r="C561" s="25">
        <f>IF(COUNTIF('کدهای پیام‌داروساز'!$A$2:$A$2442,A561)&gt;0,"بله","خیر")</f>
        <v/>
      </c>
    </row>
    <row r="562" ht="15" customHeight="1" s="14">
      <c r="A562" s="24" t="n">
        <v>905</v>
      </c>
      <c r="B562" s="24" t="inlineStr">
        <is>
          <t>برينوکس   قرص خوراکي 30 mg</t>
        </is>
      </c>
      <c r="C562" s="25">
        <f>IF(COUNTIF('کدهای پیام‌داروساز'!$A$2:$A$2442,A562)&gt;0,"بله","خیر")</f>
        <v/>
      </c>
    </row>
    <row r="563" ht="15" customHeight="1" s="14">
      <c r="A563" s="24" t="n">
        <v>906</v>
      </c>
      <c r="B563" s="24" t="inlineStr">
        <is>
          <t>زيپکس (نيترازپام) 5 م گ قرص - ابوريحان</t>
        </is>
      </c>
      <c r="C563" s="25">
        <f>IF(COUNTIF('کدهای پیام‌داروساز'!$A$2:$A$2442,A563)&gt;0,"بله","خیر")</f>
        <v/>
      </c>
    </row>
    <row r="564" ht="15" customHeight="1" s="14">
      <c r="A564" s="24" t="n">
        <v>907</v>
      </c>
      <c r="B564" s="24" t="inlineStr">
        <is>
          <t>نيتروفورانتوئين 100 قرص - سها</t>
        </is>
      </c>
      <c r="C564" s="25">
        <f>IF(COUNTIF('کدهای پیام‌داروساز'!$A$2:$A$2442,A564)&gt;0,"بله","خیر")</f>
        <v/>
      </c>
    </row>
    <row r="565" ht="15" customHeight="1" s="14">
      <c r="A565" s="24" t="n">
        <v>909</v>
      </c>
      <c r="B565" s="24" t="inlineStr">
        <is>
          <t>نيتروفروز   کرم موضعي 0.2 % 30 g - دارو سازي بهوزان</t>
        </is>
      </c>
      <c r="C565" s="25">
        <f>IF(COUNTIF('کدهای پیام‌داروساز'!$A$2:$A$2442,A565)&gt;0,"بله","خیر")</f>
        <v/>
      </c>
    </row>
    <row r="566" ht="15" customHeight="1" s="14">
      <c r="A566" s="24" t="n">
        <v>910</v>
      </c>
      <c r="B566" s="24" t="inlineStr">
        <is>
          <t>نيتروگليسيرين   پماد موضعي 2 % 30 g</t>
        </is>
      </c>
      <c r="C566" s="25">
        <f>IF(COUNTIF('کدهای پیام‌داروساز'!$A$2:$A$2442,A566)&gt;0,"بله","خیر")</f>
        <v/>
      </c>
    </row>
    <row r="567" ht="15" customHeight="1" s="14">
      <c r="A567" s="24" t="n">
        <v>913</v>
      </c>
      <c r="B567" s="24" t="inlineStr">
        <is>
          <t>تداگليز   قرص پيوسته رهش خوراکي 2.6 mg - دارو سازي تهران دارو</t>
        </is>
      </c>
      <c r="C567" s="25">
        <f>IF(COUNTIF('کدهای پیام‌داروساز'!$A$2:$A$2442,A567)&gt;0,"بله","خیر")</f>
        <v/>
      </c>
    </row>
    <row r="568" ht="15" customHeight="1" s="14">
      <c r="A568" s="24" t="n">
        <v>914</v>
      </c>
      <c r="B568" s="24" t="inlineStr">
        <is>
          <t>نيترال   تزريقي پرنترال 5 mg/1mL 2 mL - داروسازي کاسپين تأمين</t>
        </is>
      </c>
      <c r="C568" s="25">
        <f>IF(COUNTIF('کدهای پیام‌داروساز'!$A$2:$A$2442,A568)&gt;0,"بله","خیر")</f>
        <v/>
      </c>
    </row>
    <row r="569" ht="15" customHeight="1" s="14">
      <c r="A569" s="24" t="n">
        <v>915</v>
      </c>
      <c r="B569" s="24" t="inlineStr">
        <is>
          <t>تداگليز   قرص پيوسته رهش خوراکي 6.4 mg - دارو سازي تهران دارو</t>
        </is>
      </c>
      <c r="C569" s="25">
        <f>IF(COUNTIF('کدهای پیام‌داروساز'!$A$2:$A$2442,A569)&gt;0,"بله","خیر")</f>
        <v/>
      </c>
    </row>
    <row r="570" ht="15" customHeight="1" s="14">
      <c r="A570" s="24" t="n">
        <v>916</v>
      </c>
      <c r="B570" s="24" t="inlineStr">
        <is>
          <t>نيپرس   پودر براي تهيه محلول تزريقي پرنترال 50 mg  mg - توسعه مکانيزه نوين آوران</t>
        </is>
      </c>
      <c r="C570" s="25">
        <f>IF(COUNTIF('کدهای پیام‌داروساز'!$A$2:$A$2442,A570)&gt;0,"بله","خیر")</f>
        <v/>
      </c>
    </row>
    <row r="571" ht="15" customHeight="1" s="14">
      <c r="A571" s="24" t="n">
        <v>921</v>
      </c>
      <c r="B571" s="24" t="inlineStr">
        <is>
          <t>نورتريپتيلين   قرص خوراکي 10 mg - پاليز فارمد سورنا</t>
        </is>
      </c>
      <c r="C571" s="25">
        <f>IF(COUNTIF('کدهای پیام‌داروساز'!$A$2:$A$2442,A571)&gt;0,"بله","خیر")</f>
        <v/>
      </c>
    </row>
    <row r="572" ht="15" customHeight="1" s="14">
      <c r="A572" s="24" t="n">
        <v>922</v>
      </c>
      <c r="B572" s="24" t="inlineStr">
        <is>
          <t>نورتريپتيلين   قرص خوراکي 25 mg</t>
        </is>
      </c>
      <c r="C572" s="25">
        <f>IF(COUNTIF('کدهای پیام‌داروساز'!$A$2:$A$2442,A572)&gt;0,"بله","خیر")</f>
        <v/>
      </c>
    </row>
    <row r="573" ht="15" customHeight="1" s="14">
      <c r="A573" s="24" t="n">
        <v>923</v>
      </c>
      <c r="B573" s="24" t="inlineStr">
        <is>
          <t>نيستات (نيستاتين) 15 گ م پماد موضعي - جابرابن حيان</t>
        </is>
      </c>
      <c r="C573" s="25">
        <f>IF(COUNTIF('کدهای پیام‌داروساز'!$A$2:$A$2442,A573)&gt;0,"بله","خیر")</f>
        <v/>
      </c>
    </row>
    <row r="574" ht="15" customHeight="1" s="14">
      <c r="A574" s="24" t="n">
        <v>924</v>
      </c>
      <c r="B574" s="24" t="inlineStr">
        <is>
          <t>نيستات 100000 (نيستاتين) قرص واژينال - جابر ابن حيان</t>
        </is>
      </c>
      <c r="C574" s="25">
        <f>IF(COUNTIF('کدهای پیام‌داروساز'!$A$2:$A$2442,A574)&gt;0,"بله","خیر")</f>
        <v/>
      </c>
    </row>
    <row r="575" ht="15" customHeight="1" s="14">
      <c r="A575" s="24" t="n">
        <v>925</v>
      </c>
      <c r="B575" s="24" t="inlineStr">
        <is>
          <t>نيستات   پودر براي تهيه سوسپانسيون   خوراکي 100000 [iU]/1mL  mL - داروسازي جابرابن حيان</t>
        </is>
      </c>
      <c r="C575" s="25">
        <f>IF(COUNTIF('کدهای پیام‌داروساز'!$A$2:$A$2442,A575)&gt;0,"بله","خیر")</f>
        <v/>
      </c>
    </row>
    <row r="576" ht="15" customHeight="1" s="14">
      <c r="A576" s="24" t="n">
        <v>926</v>
      </c>
      <c r="B576" s="24" t="inlineStr">
        <is>
          <t>نيستات 500000 (نيستاتين) قرص - جابر ابن حيان</t>
        </is>
      </c>
      <c r="C576" s="25">
        <f>IF(COUNTIF('کدهای پیام‌داروساز'!$A$2:$A$2442,A576)&gt;0,"بله","خیر")</f>
        <v/>
      </c>
    </row>
    <row r="577" ht="15" customHeight="1" s="14">
      <c r="A577" s="24" t="n">
        <v>928</v>
      </c>
      <c r="B577" s="24" t="inlineStr">
        <is>
          <t>اوکتروتايد   تزريقي پرنترال 50 ug/1mL  mL - داروسازي ابوريحان</t>
        </is>
      </c>
      <c r="C577" s="25">
        <f>IF(COUNTIF('کدهای پیام‌داروساز'!$A$2:$A$2442,A577)&gt;0,"بله","خیر")</f>
        <v/>
      </c>
    </row>
    <row r="578" ht="15" customHeight="1" s="14">
      <c r="A578" s="24" t="n">
        <v>930</v>
      </c>
      <c r="B578" s="24" t="inlineStr">
        <is>
          <t>افلوفکت 200 (افلوکساسين) قرص - امين</t>
        </is>
      </c>
      <c r="C578" s="25">
        <f>IF(COUNTIF('کدهای پیام‌داروساز'!$A$2:$A$2442,A578)&gt;0,"بله","خیر")</f>
        <v/>
      </c>
    </row>
    <row r="579" ht="15" customHeight="1" s="14">
      <c r="A579" s="24" t="n">
        <v>931</v>
      </c>
      <c r="B579" s="24" t="inlineStr">
        <is>
          <t>امبايوزول   کپسول (پلت هاي انتريک کوتد) خوراکي 20 mg - باختر بيو شيمي</t>
        </is>
      </c>
      <c r="C579" s="25">
        <f>IF(COUNTIF('کدهای پیام‌داروساز'!$A$2:$A$2442,A579)&gt;0,"بله","خیر")</f>
        <v/>
      </c>
    </row>
    <row r="580" ht="15" customHeight="1" s="14">
      <c r="A580" s="24" t="n">
        <v>933</v>
      </c>
      <c r="B580" s="24" t="inlineStr">
        <is>
          <t>ساشه او آر اس فلورا</t>
        </is>
      </c>
      <c r="C580" s="25">
        <f>IF(COUNTIF('کدهای پیام‌داروساز'!$A$2:$A$2442,A580)&gt;0,"بله","خیر")</f>
        <v/>
      </c>
    </row>
    <row r="581" ht="15" customHeight="1" s="14">
      <c r="A581" s="24" t="n">
        <v>934</v>
      </c>
      <c r="B581" s="24" t="inlineStr">
        <is>
          <t>اگزازپام 10 م گ قرص - جالينوس</t>
        </is>
      </c>
      <c r="C581" s="25">
        <f>IF(COUNTIF('کدهای پیام‌داروساز'!$A$2:$A$2442,A581)&gt;0,"بله","خیر")</f>
        <v/>
      </c>
    </row>
    <row r="582" ht="15" customHeight="1" s="14">
      <c r="A582" s="24" t="n">
        <v>935</v>
      </c>
      <c r="B582" s="24" t="inlineStr">
        <is>
          <t>اکسي بوتينين 5 قرص - ايران دارو</t>
        </is>
      </c>
      <c r="C582" s="25">
        <f>IF(COUNTIF('کدهای پیام‌داروساز'!$A$2:$A$2442,A582)&gt;0,"بله","خیر")</f>
        <v/>
      </c>
    </row>
    <row r="583" ht="15" customHeight="1" s="14">
      <c r="A583" s="24" t="n">
        <v>936</v>
      </c>
      <c r="B583" s="24" t="inlineStr">
        <is>
          <t>اکسي متولون 50 قرص - الحاوي</t>
        </is>
      </c>
      <c r="C583" s="25">
        <f>IF(COUNTIF('کدهای پیام‌داروساز'!$A$2:$A$2442,A583)&gt;0,"بله","خیر")</f>
        <v/>
      </c>
    </row>
    <row r="584" ht="15" customHeight="1" s="14">
      <c r="A584" s="24" t="n">
        <v>939</v>
      </c>
      <c r="B584" s="24" t="inlineStr">
        <is>
          <t>اکسي توسين 10 واحد / 1 ميلي ليترتزريقى</t>
        </is>
      </c>
      <c r="C584" s="25">
        <f>IF(COUNTIF('کدهای پیام‌داروساز'!$A$2:$A$2442,A584)&gt;0,"بله","خیر")</f>
        <v/>
      </c>
    </row>
    <row r="585" ht="15" customHeight="1" s="14">
      <c r="A585" s="24" t="n">
        <v>940</v>
      </c>
      <c r="B585" s="24" t="inlineStr">
        <is>
          <t>کسي توسين 5 واحد / 1 ميلي ليترتزريقى</t>
        </is>
      </c>
      <c r="C585" s="25">
        <f>IF(COUNTIF('کدهای پیام‌داروساز'!$A$2:$A$2442,A585)&gt;0,"بله","خیر")</f>
        <v/>
      </c>
    </row>
    <row r="586" ht="15" customHeight="1" s="14">
      <c r="A586" s="24" t="n">
        <v>941</v>
      </c>
      <c r="B586" s="24" t="inlineStr">
        <is>
          <t>پتاسيم کلرايد   محلول غليظ تزريقي داخل وريدي 2 meq/1mL 50 mL - اريکه تجارت ويستا</t>
        </is>
      </c>
      <c r="C586" s="25">
        <f>IF(COUNTIF('کدهای پیام‌داروساز'!$A$2:$A$2442,A586)&gt;0,"بله","خیر")</f>
        <v/>
      </c>
    </row>
    <row r="587" ht="15" customHeight="1" s="14">
      <c r="A587" s="24" t="n">
        <v>944</v>
      </c>
      <c r="B587" s="24" t="inlineStr">
        <is>
          <t>پانکراتين   قرص انتريک کوتد خوراکي 8000 [iU] - پور سينا</t>
        </is>
      </c>
      <c r="C587" s="25">
        <f>IF(COUNTIF('کدهای پیام‌داروساز'!$A$2:$A$2442,A587)&gt;0,"بله","خیر")</f>
        <v/>
      </c>
    </row>
    <row r="588" ht="15" customHeight="1" s="14">
      <c r="A588" s="24" t="n">
        <v>945</v>
      </c>
      <c r="B588" s="24" t="inlineStr">
        <is>
          <t>کرون 25000 (پانکراتين) کپسول - ابوت</t>
        </is>
      </c>
      <c r="C588" s="25">
        <f>IF(COUNTIF('کدهای پیام‌داروساز'!$A$2:$A$2442,A588)&gt;0,"بله","خیر")</f>
        <v/>
      </c>
    </row>
    <row r="589" ht="15" customHeight="1" s="14">
      <c r="A589" s="24" t="n">
        <v>946</v>
      </c>
      <c r="B589" s="24" t="inlineStr">
        <is>
          <t>پانکرونيوم   تزريقي پرنترال 2 mg/1mL 2 mL - دارويي پرسون بام بين الملل</t>
        </is>
      </c>
      <c r="C589" s="25">
        <f>IF(COUNTIF('کدهای پیام‌داروساز'!$A$2:$A$2442,A589)&gt;0,"بله","خیر")</f>
        <v/>
      </c>
    </row>
    <row r="590" ht="15" customHeight="1" s="14">
      <c r="A590" s="24" t="n">
        <v>948</v>
      </c>
      <c r="B590" s="24" t="inlineStr">
        <is>
          <t>پاپاورين   تزريقي پرنترال 40 mg/1mL 1 mg - تامين آوا سلامت</t>
        </is>
      </c>
      <c r="C590" s="25">
        <f>IF(COUNTIF('کدهای پیام‌داروساز'!$A$2:$A$2442,A590)&gt;0,"بله","خیر")</f>
        <v/>
      </c>
    </row>
    <row r="591" ht="15" customHeight="1" s="14">
      <c r="A591" s="24" t="n">
        <v>949</v>
      </c>
      <c r="B591" s="24" t="inlineStr">
        <is>
          <t>پوتابا   لوسيون موضعي 5 % 120 g - پويش دارو گستر برتر فارس</t>
        </is>
      </c>
      <c r="C591" s="25">
        <f>IF(COUNTIF('کدهای پیام‌داروساز'!$A$2:$A$2442,A591)&gt;0,"بله","خیر")</f>
        <v/>
      </c>
    </row>
    <row r="592" ht="15" customHeight="1" s="14">
      <c r="A592" s="24" t="n">
        <v>954</v>
      </c>
      <c r="B592" s="24" t="inlineStr">
        <is>
          <t>پارومومايسين   کپسول خوراکي 250 mg - دارو گستران مبين</t>
        </is>
      </c>
      <c r="C592" s="25">
        <f>IF(COUNTIF('کدهای پیام‌داروساز'!$A$2:$A$2442,A592)&gt;0,"بله","خیر")</f>
        <v/>
      </c>
    </row>
    <row r="593" ht="15" customHeight="1" s="14">
      <c r="A593" s="24" t="n">
        <v>955</v>
      </c>
      <c r="B593" s="24" t="inlineStr">
        <is>
          <t>پتنت بلو وي   تزريقي پرنترال 25 mg/1mL 2 mg - سينا پيشگام دارو نوين</t>
        </is>
      </c>
      <c r="C593" s="25">
        <f>IF(COUNTIF('کدهای پیام‌داروساز'!$A$2:$A$2442,A593)&gt;0,"بله","خیر")</f>
        <v/>
      </c>
    </row>
    <row r="594" ht="15" customHeight="1" s="14">
      <c r="A594" s="24" t="n">
        <v>956</v>
      </c>
      <c r="B594" s="24" t="inlineStr">
        <is>
          <t>اگزاکيد   شربت خوراکي 0.67 mg/10 mg/5mL 60 mL - داروسازي اکسير</t>
        </is>
      </c>
      <c r="C594" s="25">
        <f>IF(COUNTIF('کدهای پیام‌داروساز'!$A$2:$A$2442,A594)&gt;0,"بله","خیر")</f>
        <v/>
      </c>
    </row>
    <row r="595" ht="15" customHeight="1" s="14">
      <c r="A595" s="24" t="n">
        <v>957</v>
      </c>
      <c r="B595" s="24" t="inlineStr">
        <is>
          <t>پني سيلين جي سديم 5000000 واحد پودر براي محلول تزريقي</t>
        </is>
      </c>
      <c r="C595" s="25">
        <f>IF(COUNTIF('کدهای پیام‌داروساز'!$A$2:$A$2442,A595)&gt;0,"بله","خیر")</f>
        <v/>
      </c>
    </row>
    <row r="596" ht="15" customHeight="1" s="14">
      <c r="A596" s="24" t="n">
        <v>958</v>
      </c>
      <c r="B596" s="24" t="inlineStr">
        <is>
          <t>بنزا -پن 1200000 ( پني سيلين جي بنزاتين ) ويال - دانا</t>
        </is>
      </c>
      <c r="C596" s="25">
        <f>IF(COUNTIF('کدهای پیام‌داروساز'!$A$2:$A$2442,A596)&gt;0,"بله","خیر")</f>
        <v/>
      </c>
    </row>
    <row r="597" ht="15" customHeight="1" s="14">
      <c r="A597" s="24" t="n">
        <v>959</v>
      </c>
      <c r="B597" s="24" t="inlineStr">
        <is>
          <t>پن پتاسيم   پودر براي تهيه فرآورده تزريقي پرنترال 1000000 [iU]  mg - داروسازي جابرابن حيان</t>
        </is>
      </c>
      <c r="C597" s="25">
        <f>IF(COUNTIF('کدهای پیام‌داروساز'!$A$2:$A$2442,A597)&gt;0,"بله","خیر")</f>
        <v/>
      </c>
    </row>
    <row r="598" ht="15" customHeight="1" s="14">
      <c r="A598" s="24" t="n">
        <v>960</v>
      </c>
      <c r="B598" s="24" t="inlineStr">
        <is>
          <t>پن پتاسيم   پودر براي تهيه فرآورده تزريقي پرنترال 5000000 [iU]  mg - داروسازي جابرابن حيان</t>
        </is>
      </c>
      <c r="C598" s="25">
        <f>IF(COUNTIF('کدهای پیام‌داروساز'!$A$2:$A$2442,A598)&gt;0,"بله","خیر")</f>
        <v/>
      </c>
    </row>
    <row r="599" ht="15" customHeight="1" s="14">
      <c r="A599" s="24" t="n">
        <v>961</v>
      </c>
      <c r="B599" s="24" t="inlineStr">
        <is>
          <t>پني سيلين جي پروکايين 400,000 واحد تزريقى</t>
        </is>
      </c>
      <c r="C599" s="25">
        <f>IF(COUNTIF('کدهای پیام‌داروساز'!$A$2:$A$2442,A599)&gt;0,"بله","خیر")</f>
        <v/>
      </c>
    </row>
    <row r="600" ht="15" customHeight="1" s="14">
      <c r="A600" s="24" t="n">
        <v>962</v>
      </c>
      <c r="B600" s="24" t="inlineStr">
        <is>
          <t>پروکا-پن   پودر براي تهيه فرآورده تزريقي پرنترال 800000 [iU]  [iU] - داروسازي دانا</t>
        </is>
      </c>
      <c r="C600" s="25">
        <f>IF(COUNTIF('کدهای پیام‌داروساز'!$A$2:$A$2442,A600)&gt;0,"بله","خیر")</f>
        <v/>
      </c>
    </row>
    <row r="601" ht="15" customHeight="1" s="14">
      <c r="A601" s="24" t="n">
        <v>963</v>
      </c>
      <c r="B601" s="24" t="inlineStr">
        <is>
          <t>پني سيلين وي بنزاتين   پودر براي تهيه سوسپانسيون   خوراکي 400000 [iU]/5mL 100 mL - دارو سازي فارابي</t>
        </is>
      </c>
      <c r="C601" s="25">
        <f>IF(COUNTIF('کدهای پیام‌داروساز'!$A$2:$A$2442,A601)&gt;0,"بله","خیر")</f>
        <v/>
      </c>
    </row>
    <row r="602" ht="15" customHeight="1" s="14">
      <c r="A602" s="24" t="n">
        <v>964</v>
      </c>
      <c r="B602" s="24" t="inlineStr">
        <is>
          <t>پني سيلين وي بنزاتين 200000 واحد / 5 م ل سوسپانسيون - فارابي</t>
        </is>
      </c>
      <c r="C602" s="25">
        <f>IF(COUNTIF('کدهای پیام‌داروساز'!$A$2:$A$2442,A602)&gt;0,"بله","خیر")</f>
        <v/>
      </c>
    </row>
    <row r="603" ht="15" customHeight="1" s="14">
      <c r="A603" s="24" t="n">
        <v>965</v>
      </c>
      <c r="B603" s="24" t="inlineStr">
        <is>
          <t>پني سيلين وي 400000 سوسپانسيون 100م ل - فارابي</t>
        </is>
      </c>
      <c r="C603" s="25">
        <f>IF(COUNTIF('کدهای پیام‌داروساز'!$A$2:$A$2442,A603)&gt;0,"بله","خیر")</f>
        <v/>
      </c>
    </row>
    <row r="604" ht="15" customHeight="1" s="14">
      <c r="A604" s="24" t="n">
        <v>966</v>
      </c>
      <c r="B604" s="24" t="inlineStr">
        <is>
          <t>پني سيلين وي 500 خارجي</t>
        </is>
      </c>
      <c r="C604" s="25">
        <f>IF(COUNTIF('کدهای پیام‌داروساز'!$A$2:$A$2442,A604)&gt;0,"بله","خیر")</f>
        <v/>
      </c>
    </row>
    <row r="605" ht="15" customHeight="1" s="14">
      <c r="A605" s="24" t="n">
        <v>968</v>
      </c>
      <c r="B605" s="24" t="inlineStr">
        <is>
          <t>پن 6.3.3 ( پن سيلين 6.3.3 ويال) - جابرابن حيان</t>
        </is>
      </c>
      <c r="C605" s="25">
        <f>IF(COUNTIF('کدهای پیام‌داروساز'!$A$2:$A$2442,A605)&gt;0,"بله","خیر")</f>
        <v/>
      </c>
    </row>
    <row r="606" ht="15" customHeight="1" s="14">
      <c r="A606" s="24" t="n">
        <v>970</v>
      </c>
      <c r="B606" s="24" t="inlineStr">
        <is>
          <t>آپو پنتوکسي فيلين 400 قرص- آپوتکس</t>
        </is>
      </c>
      <c r="C606" s="25">
        <f>IF(COUNTIF('کدهای پیام‌داروساز'!$A$2:$A$2442,A606)&gt;0,"بله","خیر")</f>
        <v/>
      </c>
    </row>
    <row r="607" ht="15" customHeight="1" s="14">
      <c r="A607" s="24" t="n">
        <v>972</v>
      </c>
      <c r="B607" s="24" t="inlineStr">
        <is>
          <t>پرفنازين   قرص خوراکي 2 mg - ايران دارو</t>
        </is>
      </c>
      <c r="C607" s="25">
        <f>IF(COUNTIF('کدهای پیام‌داروساز'!$A$2:$A$2442,A607)&gt;0,"بله","خیر")</f>
        <v/>
      </c>
    </row>
    <row r="608" ht="15" customHeight="1" s="14">
      <c r="A608" s="24" t="n">
        <v>973</v>
      </c>
      <c r="B608" s="24" t="inlineStr">
        <is>
          <t>پرفنازين   قرص خوراکي 4 mg - ايران دارو</t>
        </is>
      </c>
      <c r="C608" s="25">
        <f>IF(COUNTIF('کدهای پیام‌داروساز'!$A$2:$A$2442,A608)&gt;0,"بله","خیر")</f>
        <v/>
      </c>
    </row>
    <row r="609" ht="15" customHeight="1" s="14">
      <c r="A609" s="24" t="n">
        <v>974</v>
      </c>
      <c r="B609" s="24" t="inlineStr">
        <is>
          <t>پرفنازين   تزريقي پرنترال 5 mg/1mL  mL - کارخانجات دارو پخش</t>
        </is>
      </c>
      <c r="C609" s="25">
        <f>IF(COUNTIF('کدهای پیام‌داروساز'!$A$2:$A$2442,A609)&gt;0,"بله","خیر")</f>
        <v/>
      </c>
    </row>
    <row r="610" ht="15" customHeight="1" s="14">
      <c r="A610" s="24" t="n">
        <v>975</v>
      </c>
      <c r="B610" s="24" t="inlineStr">
        <is>
          <t>پرفنازين   قرص خوراکي 8 mg</t>
        </is>
      </c>
      <c r="C610" s="25">
        <f>IF(COUNTIF('کدهای پیام‌داروساز'!$A$2:$A$2442,A610)&gt;0,"بله","خیر")</f>
        <v/>
      </c>
    </row>
    <row r="611" ht="15" customHeight="1" s="14">
      <c r="A611" s="24" t="n">
        <v>976</v>
      </c>
      <c r="B611" s="24" t="inlineStr">
        <is>
          <t>اف دي تي-اوروزيدين   قرص خوراکي 100 mg - فرنوش داروطب</t>
        </is>
      </c>
      <c r="C611" s="25">
        <f>IF(COUNTIF('کدهای پیام‌داروساز'!$A$2:$A$2442,A611)&gt;0,"بله","خیر")</f>
        <v/>
      </c>
    </row>
    <row r="612" ht="15" customHeight="1" s="14">
      <c r="A612" s="24" t="n">
        <v>977</v>
      </c>
      <c r="B612" s="24" t="inlineStr">
        <is>
          <t>فنوباربيتال   تزريقي پرنترال 200 mg/1mL  mg - رايان دارو ايرانيان</t>
        </is>
      </c>
      <c r="C612" s="25">
        <f>IF(COUNTIF('کدهای پیام‌داروساز'!$A$2:$A$2442,A612)&gt;0,"بله","خیر")</f>
        <v/>
      </c>
    </row>
    <row r="613" ht="15" customHeight="1" s="14">
      <c r="A613" s="24" t="n">
        <v>979</v>
      </c>
      <c r="B613" s="24" t="inlineStr">
        <is>
          <t>فنوباربيتال   قرص خوراکي 100 mg - رايان دارو ايرانيان</t>
        </is>
      </c>
      <c r="C613" s="25">
        <f>IF(COUNTIF('کدهای پیام‌داروساز'!$A$2:$A$2442,A613)&gt;0,"بله","خیر")</f>
        <v/>
      </c>
    </row>
    <row r="614" ht="15" customHeight="1" s="14">
      <c r="A614" s="24" t="n">
        <v>980</v>
      </c>
      <c r="B614" s="24" t="inlineStr">
        <is>
          <t>فنوباربيتال15قرص - امين</t>
        </is>
      </c>
      <c r="C614" s="25">
        <f>IF(COUNTIF('کدهای پیام‌داروساز'!$A$2:$A$2442,A614)&gt;0,"بله","خیر")</f>
        <v/>
      </c>
    </row>
    <row r="615" ht="15" customHeight="1" s="14">
      <c r="A615" s="24" t="n">
        <v>982</v>
      </c>
      <c r="B615" s="24" t="inlineStr">
        <is>
          <t>فنوباربيتال   قرص خوراکي 60 mg - داروسازي امين</t>
        </is>
      </c>
      <c r="C615" s="25">
        <f>IF(COUNTIF('کدهای پیام‌داروساز'!$A$2:$A$2442,A615)&gt;0,"بله","خیر")</f>
        <v/>
      </c>
    </row>
    <row r="616" ht="15" customHeight="1" s="14">
      <c r="A616" s="24" t="n">
        <v>984</v>
      </c>
      <c r="B616" s="24" t="inlineStr">
        <is>
          <t>دي بن زيران   کپسول خوراکي 10 mg  [Amb'a'1'U] - فوريتهاي سينا آرات گستر</t>
        </is>
      </c>
      <c r="C616" s="25">
        <f>IF(COUNTIF('کدهای پیام‌داروساز'!$A$2:$A$2442,A616)&gt;0,"بله","خیر")</f>
        <v/>
      </c>
    </row>
    <row r="617" ht="15" customHeight="1" s="14">
      <c r="A617" s="24" t="n">
        <v>986</v>
      </c>
      <c r="B617" s="24" t="inlineStr">
        <is>
          <t>فنتانور   تزريقي پرنترال 10 mg/1mL 1 mg - راسا طب ورنا</t>
        </is>
      </c>
      <c r="C617" s="25">
        <f>IF(COUNTIF('کدهای پیام‌داروساز'!$A$2:$A$2442,A617)&gt;0,"بله","خیر")</f>
        <v/>
      </c>
    </row>
    <row r="618" ht="15" customHeight="1" s="14">
      <c r="A618" s="24" t="n">
        <v>988</v>
      </c>
      <c r="B618" s="24" t="inlineStr">
        <is>
          <t>دکوفن  0.25% (فنيل افرين) قطره بيني 10ML - رها فارما</t>
        </is>
      </c>
      <c r="C618" s="25">
        <f>IF(COUNTIF('کدهای پیام‌داروساز'!$A$2:$A$2442,A618)&gt;0,"بله","خیر")</f>
        <v/>
      </c>
    </row>
    <row r="619" ht="15" customHeight="1" s="14">
      <c r="A619" s="24" t="n">
        <v>989</v>
      </c>
      <c r="B619" s="24" t="inlineStr">
        <is>
          <t>بايوافرين   محلول، قطره از راه بيني 0.5 % 10 mL - باختر بيو شيمي</t>
        </is>
      </c>
      <c r="C619" s="25">
        <f>IF(COUNTIF('کدهای پیام‌داروساز'!$A$2:$A$2442,A619)&gt;0,"بله","خیر")</f>
        <v/>
      </c>
    </row>
    <row r="620" ht="15" customHeight="1" s="14">
      <c r="A620" s="24" t="n">
        <v>991</v>
      </c>
      <c r="B620" s="24" t="inlineStr">
        <is>
          <t>نئوفرين 5 درصد 10 ميلي ليتر (فنيل افرين) قطره چشمي  - سينا دارو</t>
        </is>
      </c>
      <c r="C620" s="25">
        <f>IF(COUNTIF('کدهای پیام‌داروساز'!$A$2:$A$2442,A620)&gt;0,"بله","خیر")</f>
        <v/>
      </c>
    </row>
    <row r="621" ht="15" customHeight="1" s="14">
      <c r="A621" s="24" t="n">
        <v>992</v>
      </c>
      <c r="B621" s="24" t="inlineStr">
        <is>
          <t>فنيل افرين زينک 10 م ل قطره چشمي - سينا دارو</t>
        </is>
      </c>
      <c r="C621" s="25">
        <f>IF(COUNTIF('کدهای پیام‌داروساز'!$A$2:$A$2442,A621)&gt;0,"بله","خیر")</f>
        <v/>
      </c>
    </row>
    <row r="622" ht="15" customHeight="1" s="14">
      <c r="A622" s="24" t="n">
        <v>993</v>
      </c>
      <c r="B622" s="24" t="inlineStr">
        <is>
          <t>اپانوتين   کپسول خوراکي 100 mg - دارويي پرسون بام بين الملل</t>
        </is>
      </c>
      <c r="C622" s="25">
        <f>IF(COUNTIF('کدهای پیام‌داروساز'!$A$2:$A$2442,A622)&gt;0,"بله","خیر")</f>
        <v/>
      </c>
    </row>
    <row r="623" ht="15" customHeight="1" s="14">
      <c r="A623" s="24" t="n">
        <v>995</v>
      </c>
      <c r="B623" s="24" t="inlineStr">
        <is>
          <t>اپيتوئين   تزريقي پرنترال 50 mg/1mL 5 mg</t>
        </is>
      </c>
      <c r="C623" s="25">
        <f>IF(COUNTIF('کدهای پیام‌داروساز'!$A$2:$A$2442,A623)&gt;0,"بله","خیر")</f>
        <v/>
      </c>
    </row>
    <row r="624" ht="15" customHeight="1" s="14">
      <c r="A624" s="24" t="n">
        <v>996</v>
      </c>
      <c r="B624" s="24" t="inlineStr">
        <is>
          <t>اپتوئين   قرص خوراکي 100 mg/50 mg - اکسير سلامت آوين</t>
        </is>
      </c>
      <c r="C624" s="25">
        <f>IF(COUNTIF('کدهای پیام‌داروساز'!$A$2:$A$2442,A624)&gt;0,"بله","خیر")</f>
        <v/>
      </c>
    </row>
    <row r="625" ht="15" customHeight="1" s="14">
      <c r="A625" s="24" t="n">
        <v>997</v>
      </c>
      <c r="B625" s="24" t="inlineStr">
        <is>
          <t>فني تريکس   کرم موضعي 1 % 30 g - دارو درمان سلامت پارس</t>
        </is>
      </c>
      <c r="C625" s="25">
        <f>IF(COUNTIF('کدهای پیام‌داروساز'!$A$2:$A$2442,A625)&gt;0,"بله","خیر")</f>
        <v/>
      </c>
    </row>
    <row r="626" ht="15" customHeight="1" s="14">
      <c r="A626" s="24" t="n">
        <v>998</v>
      </c>
      <c r="B626" s="24" t="inlineStr">
        <is>
          <t>فسفات پتاسيم مونوبازيک   قرص خوراکي 500 mg - تامين آوا سلامت</t>
        </is>
      </c>
      <c r="C626" s="25">
        <f>IF(COUNTIF('کدهای پیام‌داروساز'!$A$2:$A$2442,A626)&gt;0,"بله","خیر")</f>
        <v/>
      </c>
    </row>
    <row r="627" ht="15" customHeight="1" s="14">
      <c r="A627" s="24" t="n">
        <v>1003</v>
      </c>
      <c r="B627" s="24" t="inlineStr">
        <is>
          <t>آمپول ويتامين k1   تزريقي پرنترال 10 mg/1mL 1</t>
        </is>
      </c>
      <c r="C627" s="25">
        <f>IF(COUNTIF('کدهای پیام‌داروساز'!$A$2:$A$2442,A627)&gt;0,"بله","خیر")</f>
        <v/>
      </c>
    </row>
    <row r="628" ht="15" customHeight="1" s="14">
      <c r="A628" s="24" t="n">
        <v>1004</v>
      </c>
      <c r="B628" s="24" t="inlineStr">
        <is>
          <t>اسوه-ويتامين کا1   تزريقي پرنترال 2 mg/1mL 0.5 mL - دارو سازي اسوه</t>
        </is>
      </c>
      <c r="C628" s="25">
        <f>IF(COUNTIF('کدهای پیام‌داروساز'!$A$2:$A$2442,A628)&gt;0,"بله","خیر")</f>
        <v/>
      </c>
    </row>
    <row r="629" ht="15" customHeight="1" s="14">
      <c r="A629" s="24" t="n">
        <v>1005</v>
      </c>
      <c r="B629" s="24" t="inlineStr">
        <is>
          <t>قرص ويتامين کا 1   قرص خوراکي 10 mg</t>
        </is>
      </c>
      <c r="C629" s="25">
        <f>IF(COUNTIF('کدهای پیام‌داروساز'!$A$2:$A$2442,A629)&gt;0,"بله","خیر")</f>
        <v/>
      </c>
    </row>
    <row r="630" ht="15" customHeight="1" s="14">
      <c r="A630" s="24" t="n">
        <v>1006</v>
      </c>
      <c r="B630" s="24" t="inlineStr">
        <is>
          <t>گلوپين 1 درصد 10 ميلي ليتر (پيلوکارپين) قطره چشمي - سينا دارو</t>
        </is>
      </c>
      <c r="C630" s="25">
        <f>IF(COUNTIF('کدهای پیام‌داروساز'!$A$2:$A$2442,A630)&gt;0,"بله","خیر")</f>
        <v/>
      </c>
    </row>
    <row r="631" ht="15" customHeight="1" s="14">
      <c r="A631" s="24" t="n">
        <v>1007</v>
      </c>
      <c r="B631" s="24" t="inlineStr">
        <is>
          <t>بايوکارپين   محلول، قطره چشمي 2 % 10 mL - باختر بيو شيمي</t>
        </is>
      </c>
      <c r="C631" s="25">
        <f>IF(COUNTIF('کدهای پیام‌داروساز'!$A$2:$A$2442,A631)&gt;0,"بله","خیر")</f>
        <v/>
      </c>
    </row>
    <row r="632" ht="15" customHeight="1" s="14">
      <c r="A632" s="24" t="n">
        <v>1008</v>
      </c>
      <c r="B632" s="24" t="inlineStr">
        <is>
          <t>بايوکارپين   محلول، قطره چشمي 4 % 10 mL - باختر بيو شيمي</t>
        </is>
      </c>
      <c r="C632" s="25">
        <f>IF(COUNTIF('کدهای پیام‌داروساز'!$A$2:$A$2442,A632)&gt;0,"بله","خیر")</f>
        <v/>
      </c>
    </row>
    <row r="633" ht="15" customHeight="1" s="14">
      <c r="A633" s="24" t="n">
        <v>1009</v>
      </c>
      <c r="B633" s="24" t="inlineStr">
        <is>
          <t>اورپ فورت   قرص خوراکي 4 mg</t>
        </is>
      </c>
      <c r="C633" s="25">
        <f>IF(COUNTIF('کدهای پیام‌داروساز'!$A$2:$A$2442,A633)&gt;0,"بله","خیر")</f>
        <v/>
      </c>
    </row>
    <row r="634" ht="15" customHeight="1" s="14">
      <c r="A634" s="24" t="n">
        <v>1012</v>
      </c>
      <c r="B634" s="24" t="inlineStr">
        <is>
          <t>پي پرازين 60 م ل شربت - فارماشيمي</t>
        </is>
      </c>
      <c r="C634" s="25">
        <f>IF(COUNTIF('کدهای پیام‌داروساز'!$A$2:$A$2442,A634)&gt;0,"بله","خیر")</f>
        <v/>
      </c>
    </row>
    <row r="635" ht="15" customHeight="1" s="14">
      <c r="A635" s="24" t="n">
        <v>1014</v>
      </c>
      <c r="B635" s="24" t="inlineStr">
        <is>
          <t>پيراستام 800 م گ قرص - داروپخش</t>
        </is>
      </c>
      <c r="C635" s="25">
        <f>IF(COUNTIF('کدهای پیام‌داروساز'!$A$2:$A$2442,A635)&gt;0,"بله","خیر")</f>
        <v/>
      </c>
    </row>
    <row r="636" ht="15" customHeight="1" s="14">
      <c r="A636" s="24" t="n">
        <v>1015</v>
      </c>
      <c r="B636" s="24" t="inlineStr">
        <is>
          <t>پيراستام   مايع خوراکي 33.33 % 120 mL - آسا دارو طوس</t>
        </is>
      </c>
      <c r="C636" s="25">
        <f>IF(COUNTIF('کدهای پیام‌داروساز'!$A$2:$A$2442,A636)&gt;0,"بله","خیر")</f>
        <v/>
      </c>
    </row>
    <row r="637" ht="15" customHeight="1" s="14">
      <c r="A637" s="24" t="n">
        <v>1016</v>
      </c>
      <c r="B637" s="24" t="inlineStr">
        <is>
          <t>پيروژل   ژل موضعي 0.5 g/100g 60 g - ايران آوند فر</t>
        </is>
      </c>
      <c r="C637" s="25">
        <f>IF(COUNTIF('کدهای پیام‌داروساز'!$A$2:$A$2442,A637)&gt;0,"بله","خیر")</f>
        <v/>
      </c>
    </row>
    <row r="638" ht="15" customHeight="1" s="14">
      <c r="A638" s="24" t="n">
        <v>1017</v>
      </c>
      <c r="B638" s="24" t="inlineStr">
        <is>
          <t>پيروکسيکام   کپسول خوراکي 10 mg - داروسازي توليد دارو</t>
        </is>
      </c>
      <c r="C638" s="25">
        <f>IF(COUNTIF('کدهای پیام‌داروساز'!$A$2:$A$2442,A638)&gt;0,"بله","خیر")</f>
        <v/>
      </c>
    </row>
    <row r="639" ht="15" customHeight="1" s="14">
      <c r="A639" s="24" t="n">
        <v>1018</v>
      </c>
      <c r="B639" s="24" t="inlineStr">
        <is>
          <t>آلپکس 20 ميلي گرم ( پيروکسيکام ) آمپول  - البرزدارو</t>
        </is>
      </c>
      <c r="C639" s="25">
        <f>IF(COUNTIF('کدهای پیام‌داروساز'!$A$2:$A$2442,A639)&gt;0,"بله","خیر")</f>
        <v/>
      </c>
    </row>
    <row r="640" ht="15" customHeight="1" s="14">
      <c r="A640" s="24" t="n">
        <v>1019</v>
      </c>
      <c r="B640" s="24" t="inlineStr">
        <is>
          <t>پلانتاژل(گرانول)ساشه -  دينه</t>
        </is>
      </c>
      <c r="C640" s="25">
        <f>IF(COUNTIF('کدهای پیام‌داروساز'!$A$2:$A$2442,A640)&gt;0,"بله","خیر")</f>
        <v/>
      </c>
    </row>
    <row r="641" ht="15" customHeight="1" s="14">
      <c r="A641" s="24" t="n">
        <v>1023</v>
      </c>
      <c r="B641" s="24" t="inlineStr">
        <is>
          <t>پلي- ام اکس بي   تزريقي پرنترال 500000 U  [iU] - تدبير کالاي جم</t>
        </is>
      </c>
      <c r="C641" s="25">
        <f>IF(COUNTIF('کدهای پیام‌داروساز'!$A$2:$A$2442,A641)&gt;0,"بله","خیر")</f>
        <v/>
      </c>
    </row>
    <row r="642" ht="15" customHeight="1" s="14">
      <c r="A642" s="24" t="n">
        <v>1026</v>
      </c>
      <c r="B642" s="24" t="inlineStr">
        <is>
          <t>پابا   قرص خوراکي 500 mg - بازرگاني اسپيد شاهد</t>
        </is>
      </c>
      <c r="C642" s="25">
        <f>IF(COUNTIF('کدهای پیام‌داروساز'!$A$2:$A$2442,A642)&gt;0,"بله","خیر")</f>
        <v/>
      </c>
    </row>
    <row r="643" ht="15" customHeight="1" s="14">
      <c r="A643" s="24" t="n">
        <v>1028</v>
      </c>
      <c r="B643" s="24" t="inlineStr">
        <is>
          <t>پتاسيم سيترات   پودر خوراکي 10 meq  g - ايران دارو</t>
        </is>
      </c>
      <c r="C643" s="25">
        <f>IF(COUNTIF('کدهای پیام‌داروساز'!$A$2:$A$2442,A643)&gt;0,"بله","خیر")</f>
        <v/>
      </c>
    </row>
    <row r="644" ht="15" customHeight="1" s="14">
      <c r="A644" s="24" t="n">
        <v>1031</v>
      </c>
      <c r="B644" s="24" t="inlineStr">
        <is>
          <t>آرتيدين   محلول موضعي 10 % 3800 mL - داروئي ره آورد تامين</t>
        </is>
      </c>
      <c r="C644" s="25">
        <f>IF(COUNTIF('کدهای پیام‌داروساز'!$A$2:$A$2442,A644)&gt;0,"بله","خیر")</f>
        <v/>
      </c>
    </row>
    <row r="645" ht="15" customHeight="1" s="14">
      <c r="A645" s="24" t="n">
        <v>1032</v>
      </c>
      <c r="B645" s="24" t="inlineStr">
        <is>
          <t>باکترباي   محلول موضعي 7.5 % 3.8 mL - کيش مديفارم</t>
        </is>
      </c>
      <c r="C645" s="25">
        <f>IF(COUNTIF('کدهای پیام‌داروساز'!$A$2:$A$2442,A645)&gt;0,"بله","خیر")</f>
        <v/>
      </c>
    </row>
    <row r="646" ht="15" customHeight="1" s="14">
      <c r="A646" s="24" t="n">
        <v>1033</v>
      </c>
      <c r="B646" s="24" t="inlineStr">
        <is>
          <t>باکترباي   محلول موضعي 7.5 % 250 mL - کيش مديفارم</t>
        </is>
      </c>
      <c r="C646" s="25">
        <f>IF(COUNTIF('کدهای پیام‌داروساز'!$A$2:$A$2442,A646)&gt;0,"بله","خیر")</f>
        <v/>
      </c>
    </row>
    <row r="647" ht="15" customHeight="1" s="14">
      <c r="A647" s="24" t="n">
        <v>1034</v>
      </c>
      <c r="B647" s="24" t="inlineStr">
        <is>
          <t>آرتيدين   محلول موضعي 10 % 1000 mL - داروئي ره آورد تامين</t>
        </is>
      </c>
      <c r="C647" s="25">
        <f>IF(COUNTIF('کدهای پیام‌داروساز'!$A$2:$A$2442,A647)&gt;0,"بله","خیر")</f>
        <v/>
      </c>
    </row>
    <row r="648" ht="15" customHeight="1" s="14">
      <c r="A648" s="24" t="n">
        <v>1035</v>
      </c>
      <c r="B648" s="24" t="inlineStr">
        <is>
          <t>آرتيدين   محلول موضعي 10 % 250 mL - داروئي ره آورد تامين</t>
        </is>
      </c>
      <c r="C648" s="25">
        <f>IF(COUNTIF('کدهای پیام‌داروساز'!$A$2:$A$2442,A648)&gt;0,"بله","خیر")</f>
        <v/>
      </c>
    </row>
    <row r="649" ht="15" customHeight="1" s="14">
      <c r="A649" s="24" t="n">
        <v>1036</v>
      </c>
      <c r="B649" s="24" t="inlineStr">
        <is>
          <t>باکترباي   محلول موضعي 7.5 % 1 mL - کيش مديفارم</t>
        </is>
      </c>
      <c r="C649" s="25">
        <f>IF(COUNTIF('کدهای پیام‌داروساز'!$A$2:$A$2442,A649)&gt;0,"بله","خیر")</f>
        <v/>
      </c>
    </row>
    <row r="650" ht="15" customHeight="1" s="14">
      <c r="A650" s="24" t="n">
        <v>1038</v>
      </c>
      <c r="B650" s="24" t="inlineStr">
        <is>
          <t>باکترباي   ژل واژينال 10 % 80 g - کيش مديفارم</t>
        </is>
      </c>
      <c r="C650" s="25">
        <f>IF(COUNTIF('کدهای پیام‌داروساز'!$A$2:$A$2442,A650)&gt;0,"بله","خیر")</f>
        <v/>
      </c>
    </row>
    <row r="651" ht="15" customHeight="1" s="14">
      <c r="A651" s="24" t="n">
        <v>1040</v>
      </c>
      <c r="B651" s="24" t="inlineStr">
        <is>
          <t>آرتيدين   محلول موضعي 10 % 60 mL - داروئي ره آورد تامين</t>
        </is>
      </c>
      <c r="C651" s="25">
        <f>IF(COUNTIF('کدهای پیام‌داروساز'!$A$2:$A$2442,A651)&gt;0,"بله","خیر")</f>
        <v/>
      </c>
    </row>
    <row r="652" ht="15" customHeight="1" s="14">
      <c r="A652" s="24" t="n">
        <v>1041</v>
      </c>
      <c r="B652" s="24" t="inlineStr">
        <is>
          <t>پرازيکوانتل   قرص خوراکي 600 mg - ماه داروي حکيم</t>
        </is>
      </c>
      <c r="C652" s="25">
        <f>IF(COUNTIF('کدهای پیام‌داروساز'!$A$2:$A$2442,A652)&gt;0,"بله","خیر")</f>
        <v/>
      </c>
    </row>
    <row r="653" ht="15" customHeight="1" s="14">
      <c r="A653" s="24" t="n">
        <v>1042</v>
      </c>
      <c r="B653" s="24" t="inlineStr">
        <is>
          <t>پرازوسين   قرص خوراکي 1 mg - رايان دارو ايرانيان</t>
        </is>
      </c>
      <c r="C653" s="25">
        <f>IF(COUNTIF('کدهای پیام‌داروساز'!$A$2:$A$2442,A653)&gt;0,"بله","خیر")</f>
        <v/>
      </c>
    </row>
    <row r="654" ht="15" customHeight="1" s="14">
      <c r="A654" s="24" t="n">
        <v>1043</v>
      </c>
      <c r="B654" s="24" t="inlineStr">
        <is>
          <t>پرازوسين   قرص خوراکي 5 mg - رايان دارو ايرانيان</t>
        </is>
      </c>
      <c r="C654" s="25">
        <f>IF(COUNTIF('کدهای پیام‌داروساز'!$A$2:$A$2442,A654)&gt;0,"بله","خیر")</f>
        <v/>
      </c>
    </row>
    <row r="655" ht="15" customHeight="1" s="14">
      <c r="A655" s="24" t="n">
        <v>1044</v>
      </c>
      <c r="B655" s="24" t="inlineStr">
        <is>
          <t>پردنيزولون   قرص خوراکي 50 mg - پويش دارو گستر برتر فارس</t>
        </is>
      </c>
      <c r="C655" s="25">
        <f>IF(COUNTIF('کدهای پیام‌داروساز'!$A$2:$A$2442,A655)&gt;0,"بله","خیر")</f>
        <v/>
      </c>
    </row>
    <row r="656" ht="15" customHeight="1" s="14">
      <c r="A656" s="24" t="n">
        <v>1045</v>
      </c>
      <c r="B656" s="24" t="inlineStr">
        <is>
          <t>آمپرد   قرص خوراکي 5 mg - دارويي پرسون بام بين الملل</t>
        </is>
      </c>
      <c r="C656" s="25">
        <f>IF(COUNTIF('کدهای پیام‌داروساز'!$A$2:$A$2442,A656)&gt;0,"بله","خیر")</f>
        <v/>
      </c>
    </row>
    <row r="657" ht="15" customHeight="1" s="14">
      <c r="A657" s="24" t="n">
        <v>1046</v>
      </c>
      <c r="B657" s="24" t="inlineStr">
        <is>
          <t>اپتيکوپرد-پي بي اي   سوسپانسيون، قطره چشمي 1 % 10 mL - سلامت سازان پارس بوعلي</t>
        </is>
      </c>
      <c r="C657" s="25">
        <f>IF(COUNTIF('کدهای پیام‌داروساز'!$A$2:$A$2442,A657)&gt;0,"بله","خیر")</f>
        <v/>
      </c>
    </row>
    <row r="658" ht="15" customHeight="1" s="14">
      <c r="A658" s="24" t="n">
        <v>1049</v>
      </c>
      <c r="B658" s="24" t="inlineStr">
        <is>
          <t>پريلودنت   تزريقي پرنترال 30 mg/0.54 ug/1mL 1.8 mL - داروسازي اکسير</t>
        </is>
      </c>
      <c r="C658" s="25">
        <f>IF(COUNTIF('کدهای پیام‌داروساز'!$A$2:$A$2442,A658)&gt;0,"بله","خیر")</f>
        <v/>
      </c>
    </row>
    <row r="659" ht="15" customHeight="1" s="14">
      <c r="A659" s="24" t="n">
        <v>1050</v>
      </c>
      <c r="B659" s="24" t="inlineStr">
        <is>
          <t>پريماکين   قرص خوراکي 15 mg  mg - تامين آوا سلامت</t>
        </is>
      </c>
      <c r="C659" s="25">
        <f>IF(COUNTIF('کدهای پیام‌داروساز'!$A$2:$A$2442,A659)&gt;0,"بله","خیر")</f>
        <v/>
      </c>
    </row>
    <row r="660" ht="15" customHeight="1" s="14">
      <c r="A660" s="24" t="n">
        <v>1051</v>
      </c>
      <c r="B660" s="24" t="inlineStr">
        <is>
          <t>پري لپس   قرص خوراکي 250 mg - اشبال شيمي</t>
        </is>
      </c>
      <c r="C660" s="25">
        <f>IF(COUNTIF('کدهای پیام‌داروساز'!$A$2:$A$2442,A660)&gt;0,"بله","خیر")</f>
        <v/>
      </c>
    </row>
    <row r="661" ht="15" customHeight="1" s="14">
      <c r="A661" s="24" t="n">
        <v>1054</v>
      </c>
      <c r="B661" s="24" t="inlineStr">
        <is>
          <t>بايوکوريل   تزريقي پرنترال 100 mg/1mL 10 mL - تچرا دارو</t>
        </is>
      </c>
      <c r="C661" s="25">
        <f>IF(COUNTIF('کدهای پیام‌داروساز'!$A$2:$A$2442,A661)&gt;0,"بله","خیر")</f>
        <v/>
      </c>
    </row>
    <row r="662" ht="15" customHeight="1" s="14">
      <c r="A662" s="24" t="n">
        <v>1055</v>
      </c>
      <c r="B662" s="24" t="inlineStr">
        <is>
          <t>پروکاربازين   کپسول خوراکي 50 mg  [Amb'a'1'U] - هيراد فارمد</t>
        </is>
      </c>
      <c r="C662" s="25">
        <f>IF(COUNTIF('کدهای پیام‌داروساز'!$A$2:$A$2442,A662)&gt;0,"بله","خیر")</f>
        <v/>
      </c>
    </row>
    <row r="663" ht="15" customHeight="1" s="14">
      <c r="A663" s="24" t="n">
        <v>1057</v>
      </c>
      <c r="B663" s="24" t="inlineStr">
        <is>
          <t>آمپول پروژسترون  25 ميلي گرم</t>
        </is>
      </c>
      <c r="C663" s="25">
        <f>IF(COUNTIF('کدهای پیام‌داروساز'!$A$2:$A$2442,A663)&gt;0,"بله","خیر")</f>
        <v/>
      </c>
    </row>
    <row r="664" ht="15" customHeight="1" s="14">
      <c r="A664" s="24" t="n">
        <v>1058</v>
      </c>
      <c r="B664" s="24" t="inlineStr">
        <is>
          <t>پروژسترون 50 م گ / 1 م ل آمپول - ابوريحان</t>
        </is>
      </c>
      <c r="C664" s="25">
        <f>IF(COUNTIF('کدهای پیام‌داروساز'!$A$2:$A$2442,A664)&gt;0,"بله","خیر")</f>
        <v/>
      </c>
    </row>
    <row r="665" ht="15" customHeight="1" s="14">
      <c r="A665" s="24" t="n">
        <v>1060</v>
      </c>
      <c r="B665" s="24" t="inlineStr">
        <is>
          <t>پرومتازين   شربت خوراکي 5 mg/5mL 60 mL - آسا دارو طوس</t>
        </is>
      </c>
      <c r="C665" s="25">
        <f>IF(COUNTIF('کدهای پیام‌داروساز'!$A$2:$A$2442,A665)&gt;0,"بله","خیر")</f>
        <v/>
      </c>
    </row>
    <row r="666" ht="15" customHeight="1" s="14">
      <c r="A666" s="24" t="n">
        <v>1061</v>
      </c>
      <c r="B666" s="24" t="inlineStr">
        <is>
          <t>پرومتازين 50 ميلي گرم آمپول - کاسپين</t>
        </is>
      </c>
      <c r="C666" s="25">
        <f>IF(COUNTIF('کدهای پیام‌داروساز'!$A$2:$A$2442,A666)&gt;0,"بله","خیر")</f>
        <v/>
      </c>
    </row>
    <row r="667" ht="15" customHeight="1" s="14">
      <c r="A667" s="24" t="n">
        <v>1062</v>
      </c>
      <c r="B667" s="24" t="inlineStr">
        <is>
          <t>ويامتازين   قرص خوراکي 25 mg - دارو صنعت ويانا</t>
        </is>
      </c>
      <c r="C667" s="25">
        <f>IF(COUNTIF('کدهای پیام‌داروساز'!$A$2:$A$2442,A667)&gt;0,"بله","خیر")</f>
        <v/>
      </c>
    </row>
    <row r="668" ht="15" customHeight="1" s="14">
      <c r="A668" s="24" t="n">
        <v>1067</v>
      </c>
      <c r="B668" s="24" t="inlineStr">
        <is>
          <t>اينپرال   قرص خوراکي 10 mg - داروسازي آني درمان</t>
        </is>
      </c>
      <c r="C668" s="25">
        <f>IF(COUNTIF('کدهای پیام‌داروساز'!$A$2:$A$2442,A668)&gt;0,"بله","خیر")</f>
        <v/>
      </c>
    </row>
    <row r="669" ht="15" customHeight="1" s="14">
      <c r="A669" s="24" t="n">
        <v>1068</v>
      </c>
      <c r="B669" s="24" t="inlineStr">
        <is>
          <t>اينپرال   قرص خوراکي 40 mg - داروسازي آني درمان</t>
        </is>
      </c>
      <c r="C669" s="25">
        <f>IF(COUNTIF('کدهای پیام‌داروساز'!$A$2:$A$2442,A669)&gt;0,"بله","خیر")</f>
        <v/>
      </c>
    </row>
    <row r="670" ht="15" customHeight="1" s="14">
      <c r="A670" s="24" t="n">
        <v>1072</v>
      </c>
      <c r="B670" s="24" t="inlineStr">
        <is>
          <t>پرواوراسيل   قرص خوراکي 50 mg - اوتانا فارمد گستر</t>
        </is>
      </c>
      <c r="C670" s="25">
        <f>IF(COUNTIF('کدهای پیام‌داروساز'!$A$2:$A$2442,A670)&gt;0,"بله","خیر")</f>
        <v/>
      </c>
    </row>
    <row r="671" ht="15" customHeight="1" s="14">
      <c r="A671" s="24" t="n">
        <v>1076</v>
      </c>
      <c r="B671" s="24" t="inlineStr">
        <is>
          <t>پزوتد   شربت خوراکي 30 mg/5mL 60</t>
        </is>
      </c>
      <c r="C671" s="25">
        <f>IF(COUNTIF('کدهای پیام‌داروساز'!$A$2:$A$2442,A671)&gt;0,"بله","خیر")</f>
        <v/>
      </c>
    </row>
    <row r="672" ht="15" customHeight="1" s="14">
      <c r="A672" s="24" t="n">
        <v>1078</v>
      </c>
      <c r="B672" s="24" t="inlineStr">
        <is>
          <t>پيرازيناميد   قرص خوراکي 500 mg - بازرگاني سها کيش</t>
        </is>
      </c>
      <c r="C672" s="25">
        <f>IF(COUNTIF('کدهای پیام‌داروساز'!$A$2:$A$2442,A672)&gt;0,"بله","خیر")</f>
        <v/>
      </c>
    </row>
    <row r="673" ht="15" customHeight="1" s="14">
      <c r="A673" s="24" t="n">
        <v>1080</v>
      </c>
      <c r="B673" s="24" t="inlineStr">
        <is>
          <t>پيراميست   قرص خوراکي 60 mg - البرز دارو</t>
        </is>
      </c>
      <c r="C673" s="25">
        <f>IF(COUNTIF('کدهای پیام‌داروساز'!$A$2:$A$2442,A673)&gt;0,"بله","خیر")</f>
        <v/>
      </c>
    </row>
    <row r="674" ht="15" customHeight="1" s="14">
      <c r="A674" s="24" t="n">
        <v>1083</v>
      </c>
      <c r="B674" s="24" t="inlineStr">
        <is>
          <t>پيريمتامين   قرص خوراکي 25 mg - تامين آوا سلامت</t>
        </is>
      </c>
      <c r="C674" s="25">
        <f>IF(COUNTIF('کدهای پیام‌داروساز'!$A$2:$A$2442,A674)&gt;0,"بله","خیر")</f>
        <v/>
      </c>
    </row>
    <row r="675" ht="15" customHeight="1" s="14">
      <c r="A675" s="24" t="n">
        <v>1084</v>
      </c>
      <c r="B675" s="24" t="inlineStr">
        <is>
          <t>پيريتيون زينک-شفا   شامپو موضعي 2 % 140 mL - لابراتوار داروسازي و بهداشتي شفا</t>
        </is>
      </c>
      <c r="C675" s="25">
        <f>IF(COUNTIF('کدهای پیام‌داروساز'!$A$2:$A$2442,A675)&gt;0,"بله","خیر")</f>
        <v/>
      </c>
    </row>
    <row r="676" ht="15" customHeight="1" s="14">
      <c r="A676" s="24" t="n">
        <v>1085</v>
      </c>
      <c r="B676" s="24" t="inlineStr">
        <is>
          <t>پيروي سايد (پيروينيوم) 50 م گ / 5 م ل 50 م ل سوسپانسيون  - دارو پخش</t>
        </is>
      </c>
      <c r="C676" s="25">
        <f>IF(COUNTIF('کدهای پیام‌داروساز'!$A$2:$A$2442,A676)&gt;0,"بله","خیر")</f>
        <v/>
      </c>
    </row>
    <row r="677" ht="15" customHeight="1" s="14">
      <c r="A677" s="24" t="n">
        <v>1088</v>
      </c>
      <c r="B677" s="24" t="inlineStr">
        <is>
          <t>کنيدين سولفات 200 م گ قرص - اسنوفارما</t>
        </is>
      </c>
      <c r="C677" s="25">
        <f>IF(COUNTIF('کدهای پیام‌داروساز'!$A$2:$A$2442,A677)&gt;0,"بله","خیر")</f>
        <v/>
      </c>
    </row>
    <row r="678" ht="15" customHeight="1" s="14">
      <c r="A678" s="24" t="n">
        <v>1091</v>
      </c>
      <c r="B678" s="24" t="inlineStr">
        <is>
          <t>کينين دي هيدرو کلرايد   تزريقي پرنترال 250 mg/1mL 2 mg - ماه داروي حکيم</t>
        </is>
      </c>
      <c r="C678" s="25">
        <f>IF(COUNTIF('کدهای پیام‌داروساز'!$A$2:$A$2442,A678)&gt;0,"بله","خیر")</f>
        <v/>
      </c>
    </row>
    <row r="679" ht="15" customHeight="1" s="14">
      <c r="A679" s="24" t="n">
        <v>1092</v>
      </c>
      <c r="B679" s="24" t="inlineStr">
        <is>
          <t>ايمونوگلوبولين هاري انساني   تزريقي پرنترال 150 [iU]/1mL 2 [iU] - نوژين زيست فارمد</t>
        </is>
      </c>
      <c r="C679" s="25">
        <f>IF(COUNTIF('کدهای پیام‌داروساز'!$A$2:$A$2442,A679)&gt;0,"بله","خیر")</f>
        <v/>
      </c>
    </row>
    <row r="680" ht="15" customHeight="1" s="14">
      <c r="A680" s="24" t="n">
        <v>1093</v>
      </c>
      <c r="B680" s="24" t="inlineStr">
        <is>
          <t>آري-تک   قرص خوراکي 150 mg</t>
        </is>
      </c>
      <c r="C680" s="25">
        <f>IF(COUNTIF('کدهای پیام‌داروساز'!$A$2:$A$2442,A680)&gt;0,"بله","خیر")</f>
        <v/>
      </c>
    </row>
    <row r="681" ht="15" customHeight="1" s="14">
      <c r="A681" s="24" t="n">
        <v>1094</v>
      </c>
      <c r="B681" s="24" t="inlineStr">
        <is>
          <t>راني جکتين   تزريقي پرنترال 25 mg/1mL 2 mL</t>
        </is>
      </c>
      <c r="C681" s="25">
        <f>IF(COUNTIF('کدهای پیام‌داروساز'!$A$2:$A$2442,A681)&gt;0,"بله","خیر")</f>
        <v/>
      </c>
    </row>
    <row r="682" ht="15" customHeight="1" s="14">
      <c r="A682" s="24" t="n">
        <v>1098</v>
      </c>
      <c r="B682" s="24" t="inlineStr">
        <is>
          <t>رزوناتيو   تزريقي عضلاني 250 ug  [iU] - تجهيزات پزشکي و دارويي پورا طب</t>
        </is>
      </c>
      <c r="C682" s="25">
        <f>IF(COUNTIF('کدهای پیام‌داروساز'!$A$2:$A$2442,A682)&gt;0,"بله","خیر")</f>
        <v/>
      </c>
    </row>
    <row r="683" ht="15" customHeight="1" s="14">
      <c r="A683" s="24" t="n">
        <v>1099</v>
      </c>
      <c r="B683" s="24" t="inlineStr">
        <is>
          <t>آنتي دي   پودر لئوفيليزه براي تهيه سوسپانسيون تزريقي عضلاني 300 ug  ug - ان بي اس کيش</t>
        </is>
      </c>
      <c r="C683" s="25">
        <f>IF(COUNTIF('کدهای پیام‌داروساز'!$A$2:$A$2442,A683)&gt;0,"بله","خیر")</f>
        <v/>
      </c>
    </row>
    <row r="684" ht="15" customHeight="1" s="14">
      <c r="A684" s="24" t="n">
        <v>1100</v>
      </c>
      <c r="B684" s="24" t="inlineStr">
        <is>
          <t>ريفادين   پودر براي تهيه محلول تزريقي پرنترال 600 mg  mg - سينا پيشگام دارو نوين</t>
        </is>
      </c>
      <c r="C684" s="25">
        <f>IF(COUNTIF('کدهای پیام‌داروساز'!$A$2:$A$2442,A684)&gt;0,"بله","خیر")</f>
        <v/>
      </c>
    </row>
    <row r="685" ht="15" customHeight="1" s="14">
      <c r="A685" s="24" t="n">
        <v>1101</v>
      </c>
      <c r="B685" s="24" t="inlineStr">
        <is>
          <t>ريف کپ   کپسول خوراکي 150 mg - هيات امناي صرفه جويي ارزي در معالجه بيماران</t>
        </is>
      </c>
      <c r="C685" s="25">
        <f>IF(COUNTIF('کدهای پیام‌داروساز'!$A$2:$A$2442,A685)&gt;0,"بله","خیر")</f>
        <v/>
      </c>
    </row>
    <row r="686" ht="15" customHeight="1" s="14">
      <c r="A686" s="24" t="n">
        <v>1103</v>
      </c>
      <c r="B686" s="24" t="inlineStr">
        <is>
          <t>آرسين   کپسول خوراکي 300 mg</t>
        </is>
      </c>
      <c r="C686" s="25">
        <f>IF(COUNTIF('کدهای پیام‌داروساز'!$A$2:$A$2442,A686)&gt;0,"بله","خیر")</f>
        <v/>
      </c>
    </row>
    <row r="687" ht="15" customHeight="1" s="14">
      <c r="A687" s="24" t="n">
        <v>1104</v>
      </c>
      <c r="B687" s="24" t="inlineStr">
        <is>
          <t>بيوفلکس   محلول تزريقي داخل وريدي 1000 mL - اريکه تجارت ويستا</t>
        </is>
      </c>
      <c r="C687" s="25">
        <f>IF(COUNTIF('کدهای پیام‌داروساز'!$A$2:$A$2442,A687)&gt;0,"بله","خیر")</f>
        <v/>
      </c>
    </row>
    <row r="688" ht="15" customHeight="1" s="14">
      <c r="A688" s="24" t="n">
        <v>1105</v>
      </c>
      <c r="B688" s="24" t="inlineStr">
        <is>
          <t>رينگر    محلول تزريقي داخل وريدي 500 mL</t>
        </is>
      </c>
      <c r="C688" s="25">
        <f>IF(COUNTIF('کدهای پیام‌داروساز'!$A$2:$A$2442,A688)&gt;0,"بله","خیر")</f>
        <v/>
      </c>
    </row>
    <row r="689" ht="15" customHeight="1" s="14">
      <c r="A689" s="24" t="n">
        <v>1106</v>
      </c>
      <c r="B689" s="24" t="inlineStr">
        <is>
          <t>رينگر لاکتات   محلول تزريقي داخل وريدي 1000 L - داروسازي ثامن</t>
        </is>
      </c>
      <c r="C689" s="25">
        <f>IF(COUNTIF('کدهای پیام‌داروساز'!$A$2:$A$2442,A689)&gt;0,"بله","خیر")</f>
        <v/>
      </c>
    </row>
    <row r="690" ht="15" customHeight="1" s="14">
      <c r="A690" s="24" t="n">
        <v>1107</v>
      </c>
      <c r="B690" s="24" t="inlineStr">
        <is>
          <t>پوليفلکس   محلول تزريقي داخل وريدي 500 mL - پيک دارو توسعه</t>
        </is>
      </c>
      <c r="C690" s="25">
        <f>IF(COUNTIF('کدهای پیام‌داروساز'!$A$2:$A$2442,A690)&gt;0,"بله","خیر")</f>
        <v/>
      </c>
    </row>
    <row r="691" ht="15" customHeight="1" s="14">
      <c r="A691" s="24" t="n">
        <v>1108</v>
      </c>
      <c r="B691" s="24" t="inlineStr">
        <is>
          <t>توکوپار   قرص خوراکي 10 mg - پويش دارو گستر برتر فارس</t>
        </is>
      </c>
      <c r="C691" s="25">
        <f>IF(COUNTIF('کدهای پیام‌داروساز'!$A$2:$A$2442,A691)&gt;0,"بله","خیر")</f>
        <v/>
      </c>
    </row>
    <row r="692" ht="15" customHeight="1" s="14">
      <c r="A692" s="24" t="n">
        <v>1109</v>
      </c>
      <c r="B692" s="24" t="inlineStr">
        <is>
          <t>ريتودرين   تزريقي پرنترال 10 mg/1mL  mg - گسترش بازرگاني دارو پخش</t>
        </is>
      </c>
      <c r="C692" s="25">
        <f>IF(COUNTIF('کدهای پیام‌داروساز'!$A$2:$A$2442,A692)&gt;0,"بله","خیر")</f>
        <v/>
      </c>
    </row>
    <row r="693" ht="15" customHeight="1" s="14">
      <c r="A693" s="24" t="n">
        <v>1110</v>
      </c>
      <c r="B693" s="24" t="inlineStr">
        <is>
          <t>ناتريسالت 5 درصد 5 گرم (سديم کلرايد) پماد چشمي - سينا دارو</t>
        </is>
      </c>
      <c r="C693" s="25">
        <f>IF(COUNTIF('کدهای پیام‌داروساز'!$A$2:$A$2442,A693)&gt;0,"بله","خیر")</f>
        <v/>
      </c>
    </row>
    <row r="694" ht="15" customHeight="1" s="14">
      <c r="A694" s="24" t="n">
        <v>1112</v>
      </c>
      <c r="B694" s="24" t="inlineStr">
        <is>
          <t>سالبوتامول   شربت خوراکي 2 mg/5mL 120 mL - آسا دارو طوس</t>
        </is>
      </c>
      <c r="C694" s="25">
        <f>IF(COUNTIF('کدهای پیام‌داروساز'!$A$2:$A$2442,A694)&gt;0,"بله","خیر")</f>
        <v/>
      </c>
    </row>
    <row r="695" ht="15" customHeight="1" s="14">
      <c r="A695" s="24" t="n">
        <v>1113</v>
      </c>
      <c r="B695" s="24" t="inlineStr">
        <is>
          <t>سالبوتامول   تزريقي پرنترال 0.5 mg/1mL  mg - رايان دارو ايرانيان</t>
        </is>
      </c>
      <c r="C695" s="25">
        <f>IF(COUNTIF('کدهای پیام‌داروساز'!$A$2:$A$2442,A695)&gt;0,"بله","خیر")</f>
        <v/>
      </c>
    </row>
    <row r="696" ht="15" customHeight="1" s="14">
      <c r="A696" s="24" t="n">
        <v>1114</v>
      </c>
      <c r="B696" s="24" t="inlineStr">
        <is>
          <t>سالبوتامول 2 قرص - دارو پخش</t>
        </is>
      </c>
      <c r="C696" s="25">
        <f>IF(COUNTIF('کدهای پیام‌داروساز'!$A$2:$A$2442,A696)&gt;0,"بله","خیر")</f>
        <v/>
      </c>
    </row>
    <row r="697" ht="15" customHeight="1" s="14">
      <c r="A697" s="24" t="n">
        <v>1115</v>
      </c>
      <c r="B697" s="24" t="inlineStr">
        <is>
          <t>آزماسول (سالبوتامول) 100 م ک گ 200 پاف اسپري دهاني - سيپلا</t>
        </is>
      </c>
      <c r="C697" s="25">
        <f>IF(COUNTIF('کدهای پیام‌داروساز'!$A$2:$A$2442,A697)&gt;0,"بله","خیر")</f>
        <v/>
      </c>
    </row>
    <row r="698" ht="15" customHeight="1" s="14">
      <c r="A698" s="24" t="n">
        <v>1117</v>
      </c>
      <c r="B698" s="24" t="inlineStr">
        <is>
          <t>سالوزيکس   آئروسل با دوز اندازه گيري شده استنشاقي 25 ug/1{dose} 120 {dose} - داروسازي جابرابن حيان</t>
        </is>
      </c>
      <c r="C698" s="25">
        <f>IF(COUNTIF('کدهای پیام‌داروساز'!$A$2:$A$2442,A698)&gt;0,"بله","خیر")</f>
        <v/>
      </c>
    </row>
    <row r="699" ht="15" customHeight="1" s="14">
      <c r="A699" s="24" t="n">
        <v>1121</v>
      </c>
      <c r="B699" s="24" t="inlineStr">
        <is>
          <t>پي آر سلژيلين   قرص خوراکي 5 mg - دارو سازي اسوه</t>
        </is>
      </c>
      <c r="C699" s="25">
        <f>IF(COUNTIF('کدهای پیام‌داروساز'!$A$2:$A$2442,A699)&gt;0,"بله","خیر")</f>
        <v/>
      </c>
    </row>
    <row r="700" ht="15" customHeight="1" s="14">
      <c r="A700" s="24" t="n">
        <v>1122</v>
      </c>
      <c r="B700" s="24" t="inlineStr">
        <is>
          <t>سلسيوم   شامپو موضعي 2.5 % 150 mL - لابراتوار هاي دنياي بهداشت</t>
        </is>
      </c>
      <c r="C700" s="25">
        <f>IF(COUNTIF('کدهای پیام‌داروساز'!$A$2:$A$2442,A700)&gt;0,"بله","خیر")</f>
        <v/>
      </c>
    </row>
    <row r="701" ht="15" customHeight="1" s="14">
      <c r="A701" s="24" t="n">
        <v>1123</v>
      </c>
      <c r="B701" s="24" t="inlineStr">
        <is>
          <t>سلنيوم سولفايد 1 درصد 150 م ل شامپو - شهردارو</t>
        </is>
      </c>
      <c r="C701" s="25">
        <f>IF(COUNTIF('کدهای پیام‌داروساز'!$A$2:$A$2442,A701)&gt;0,"بله","خیر")</f>
        <v/>
      </c>
    </row>
    <row r="702" ht="15" customHeight="1" s="14">
      <c r="A702" s="24" t="n">
        <v>1130</v>
      </c>
      <c r="B702" s="24" t="inlineStr">
        <is>
          <t>سيلبرن   کرم موضعي 1 % 50 g - ايران آوند فر</t>
        </is>
      </c>
      <c r="C702" s="25">
        <f>IF(COUNTIF('کدهای پیام‌داروساز'!$A$2:$A$2442,A702)&gt;0,"بله","خیر")</f>
        <v/>
      </c>
    </row>
    <row r="703" ht="15" customHeight="1" s="14">
      <c r="A703" s="24" t="n">
        <v>1131</v>
      </c>
      <c r="B703" s="24" t="inlineStr">
        <is>
          <t>تگزالينت   قرص جويدني خوراکي 40 mg - تچرا فارمد</t>
        </is>
      </c>
      <c r="C703" s="25">
        <f>IF(COUNTIF('کدهای پیام‌داروساز'!$A$2:$A$2442,A703)&gt;0,"بله","خیر")</f>
        <v/>
      </c>
    </row>
    <row r="704" ht="15" customHeight="1" s="14">
      <c r="A704" s="24" t="n">
        <v>1132</v>
      </c>
      <c r="B704" s="24" t="inlineStr">
        <is>
          <t>داي کوليک گات(دايمتيکون فعال شده)قطره سوسپانسيون 30 ميلي ليتر - خوارزمي</t>
        </is>
      </c>
      <c r="C704" s="25">
        <f>IF(COUNTIF('کدهای پیام‌داروساز'!$A$2:$A$2442,A704)&gt;0,"بله","خیر")</f>
        <v/>
      </c>
    </row>
    <row r="705" ht="15" customHeight="1" s="14">
      <c r="A705" s="24" t="n">
        <v>1134</v>
      </c>
      <c r="B705" s="24" t="inlineStr">
        <is>
          <t>ساده چشمي   پماد چشمي  3 g</t>
        </is>
      </c>
      <c r="C705" s="25">
        <f>IF(COUNTIF('کدهای پیام‌داروساز'!$A$2:$A$2442,A705)&gt;0,"بله","خیر")</f>
        <v/>
      </c>
    </row>
    <row r="706" ht="15" customHeight="1" s="14">
      <c r="A706" s="24" t="n">
        <v>1136</v>
      </c>
      <c r="B706" s="24" t="inlineStr">
        <is>
          <t>فيبرووين   تزريقي پرنترال 1 % 2 mg - سينا پيشگام دارو نوين</t>
        </is>
      </c>
      <c r="C706" s="25">
        <f>IF(COUNTIF('کدهای پیام‌داروساز'!$A$2:$A$2442,A706)&gt;0,"بله","خیر")</f>
        <v/>
      </c>
    </row>
    <row r="707" ht="15" customHeight="1" s="14">
      <c r="A707" s="24" t="n">
        <v>1137</v>
      </c>
      <c r="B707" s="24" t="inlineStr">
        <is>
          <t>سترول   تزريقي پرنترال 3 % 2 mg - اريکه تجارت ويستا</t>
        </is>
      </c>
      <c r="C707" s="25">
        <f>IF(COUNTIF('کدهای پیام‌داروساز'!$A$2:$A$2442,A707)&gt;0,"بله","خیر")</f>
        <v/>
      </c>
    </row>
    <row r="708" ht="15" customHeight="1" s="14">
      <c r="A708" s="24" t="n">
        <v>1139</v>
      </c>
      <c r="B708" s="24" t="inlineStr">
        <is>
          <t>رنا بگ   پودر غير قابل مصرف 650 g  g - صنايع پزشکي فارمد</t>
        </is>
      </c>
      <c r="C708" s="25">
        <f>IF(COUNTIF('کدهای پیام‌داروساز'!$A$2:$A$2442,A708)&gt;0,"بله","خیر")</f>
        <v/>
      </c>
    </row>
    <row r="709" ht="15" customHeight="1" s="14">
      <c r="A709" s="24" t="n">
        <v>1141</v>
      </c>
      <c r="B709" s="24" t="inlineStr">
        <is>
          <t>سديم کلرايد   محلول تزريقي پرنترال 0.9 % 1000</t>
        </is>
      </c>
      <c r="C709" s="25">
        <f>IF(COUNTIF('کدهای پیام‌داروساز'!$A$2:$A$2442,A709)&gt;0,"بله","خیر")</f>
        <v/>
      </c>
    </row>
    <row r="710" ht="15" customHeight="1" s="14">
      <c r="A710" s="24" t="n">
        <v>1142</v>
      </c>
      <c r="B710" s="24" t="inlineStr">
        <is>
          <t>سالين واش   محلول جهت شستشو 0.9 % 1000 mL - فرآورده هاي تزريقي و دارويي ايران</t>
        </is>
      </c>
      <c r="C710" s="25">
        <f>IF(COUNTIF('کدهای پیام‌داروساز'!$A$2:$A$2442,A710)&gt;0,"بله","خیر")</f>
        <v/>
      </c>
    </row>
    <row r="711" ht="15" customHeight="1" s="14">
      <c r="A711" s="24" t="n">
        <v>1143</v>
      </c>
      <c r="B711" s="24" t="inlineStr">
        <is>
          <t>سديم کلرايد(بگ)   محلول جهت شستشو 0.9 % 3 L - داروسازي ثامن</t>
        </is>
      </c>
      <c r="C711" s="25">
        <f>IF(COUNTIF('کدهای پیام‌داروساز'!$A$2:$A$2442,A711)&gt;0,"بله","خیر")</f>
        <v/>
      </c>
    </row>
    <row r="712" ht="15" customHeight="1" s="14">
      <c r="A712" s="24" t="n">
        <v>1144</v>
      </c>
      <c r="B712" s="24" t="inlineStr">
        <is>
          <t>ان اس   محلول تزريقي پرنترال 0.9 % 500 mL</t>
        </is>
      </c>
      <c r="C712" s="25">
        <f>IF(COUNTIF('کدهای پیام‌داروساز'!$A$2:$A$2442,A712)&gt;0,"بله","خیر")</f>
        <v/>
      </c>
    </row>
    <row r="713" ht="15" customHeight="1" s="14">
      <c r="A713" s="24" t="n">
        <v>1145</v>
      </c>
      <c r="B713" s="24" t="inlineStr">
        <is>
          <t>سالين واش   محلول جهت شستشو 0.9 % 500 mL - فرآورده هاي تزريقي و دارويي ايران</t>
        </is>
      </c>
      <c r="C713" s="25">
        <f>IF(COUNTIF('کدهای پیام‌داروساز'!$A$2:$A$2442,A713)&gt;0,"بله","خیر")</f>
        <v/>
      </c>
    </row>
    <row r="714" ht="15" customHeight="1" s="14">
      <c r="A714" s="24" t="n">
        <v>1146</v>
      </c>
      <c r="B714" s="24" t="inlineStr">
        <is>
          <t>راينوپ   محلول، قطره از راه بيني 0.65 % 20 mL - ايران آوند فر</t>
        </is>
      </c>
      <c r="C714" s="25">
        <f>IF(COUNTIF('کدهای پیام‌داروساز'!$A$2:$A$2442,A714)&gt;0,"بله","خیر")</f>
        <v/>
      </c>
    </row>
    <row r="715" ht="15" customHeight="1" s="14">
      <c r="A715" s="24" t="n">
        <v>1147</v>
      </c>
      <c r="B715" s="24" t="inlineStr">
        <is>
          <t>ناتريسالت 5 درصد 10 ميلي ليتر (سديم کلرايد) قطره چشمي - سينا دارو</t>
        </is>
      </c>
      <c r="C715" s="25">
        <f>IF(COUNTIF('کدهای پیام‌داروساز'!$A$2:$A$2442,A715)&gt;0,"بله","خیر")</f>
        <v/>
      </c>
    </row>
    <row r="716" ht="15" customHeight="1" s="14">
      <c r="A716" s="24" t="n">
        <v>1148</v>
      </c>
      <c r="B716" s="24" t="inlineStr">
        <is>
          <t>سديم کلرايد   محلول تزريقي داخل وريدي 5 % 50 mL</t>
        </is>
      </c>
      <c r="C716" s="25">
        <f>IF(COUNTIF('کدهای پیام‌داروساز'!$A$2:$A$2442,A716)&gt;0,"بله","خیر")</f>
        <v/>
      </c>
    </row>
    <row r="717" ht="15" customHeight="1" s="14">
      <c r="A717" s="24" t="n">
        <v>1149</v>
      </c>
      <c r="B717" s="24" t="inlineStr">
        <is>
          <t>سديم کلرايد 0.45% درصد سرم تزريقي 1000 م ل - شهيد قاضي</t>
        </is>
      </c>
      <c r="C717" s="25">
        <f>IF(COUNTIF('کدهای پیام‌داروساز'!$A$2:$A$2442,A717)&gt;0,"بله","خیر")</f>
        <v/>
      </c>
    </row>
    <row r="718" ht="15" customHeight="1" s="14">
      <c r="A718" s="24" t="n">
        <v>1154</v>
      </c>
      <c r="B718" s="24" t="inlineStr">
        <is>
          <t>اتوفلور   قرص خوراکي 20 mg - رايان دارو ايرانيان</t>
        </is>
      </c>
      <c r="C718" s="25">
        <f>IF(COUNTIF('کدهای پیام‌داروساز'!$A$2:$A$2442,A718)&gt;0,"بله","خیر")</f>
        <v/>
      </c>
    </row>
    <row r="719" ht="15" customHeight="1" s="14">
      <c r="A719" s="24" t="n">
        <v>1155</v>
      </c>
      <c r="B719" s="24" t="inlineStr">
        <is>
          <t>فلورايد 0.2% دهانشويه 250 ميلي ليتر - بهسا</t>
        </is>
      </c>
      <c r="C719" s="25">
        <f>IF(COUNTIF('کدهای پیام‌داروساز'!$A$2:$A$2442,A719)&gt;0,"بله","خیر")</f>
        <v/>
      </c>
    </row>
    <row r="720" ht="15" customHeight="1" s="14">
      <c r="A720" s="24" t="n">
        <v>1156</v>
      </c>
      <c r="B720" s="24" t="inlineStr">
        <is>
          <t>آيونکس   پودر براي تهيه سوسپانسيون   خوراکي 454 g  g - دارو سازي طب مفيد نيکان</t>
        </is>
      </c>
      <c r="C720" s="25">
        <f>IF(COUNTIF('کدهای پیام‌داروساز'!$A$2:$A$2442,A720)&gt;0,"بله","خیر")</f>
        <v/>
      </c>
    </row>
    <row r="721" ht="15" customHeight="1" s="14">
      <c r="A721" s="24" t="n">
        <v>1158</v>
      </c>
      <c r="B721" s="24" t="inlineStr">
        <is>
          <t>سديم تيوسولفات   تزريقي پرنترال 250 mg/1mL 50 g - فرا درمان آذربايجان</t>
        </is>
      </c>
      <c r="C721" s="25">
        <f>IF(COUNTIF('کدهای پیام‌داروساز'!$A$2:$A$2442,A721)&gt;0,"بله","خیر")</f>
        <v/>
      </c>
    </row>
    <row r="722" ht="15" customHeight="1" s="14">
      <c r="A722" s="24" t="n">
        <v>1161</v>
      </c>
      <c r="B722" s="24" t="inlineStr">
        <is>
          <t>سوماتروپين 4 واحد پودر براي محلول تزريقي</t>
        </is>
      </c>
      <c r="C722" s="25">
        <f>IF(COUNTIF('کدهای پیام‌داروساز'!$A$2:$A$2442,A722)&gt;0,"بله","خیر")</f>
        <v/>
      </c>
    </row>
    <row r="723" ht="15" customHeight="1" s="14">
      <c r="A723" s="24" t="n">
        <v>1162</v>
      </c>
      <c r="B723" s="24" t="inlineStr">
        <is>
          <t>سورال   پودر خوراکي 5 g  g - تامين آوا سلامت</t>
        </is>
      </c>
      <c r="C723" s="25">
        <f>IF(COUNTIF('کدهای پیام‌داروساز'!$A$2:$A$2442,A723)&gt;0,"بله","خیر")</f>
        <v/>
      </c>
    </row>
    <row r="724" ht="15" customHeight="1" s="14">
      <c r="A724" s="24" t="n">
        <v>1163</v>
      </c>
      <c r="B724" s="24" t="inlineStr">
        <is>
          <t>سوتالول   قرص خوراکي 40 mg - مهردارو</t>
        </is>
      </c>
      <c r="C724" s="25">
        <f>IF(COUNTIF('کدهای پیام‌داروساز'!$A$2:$A$2442,A724)&gt;0,"بله","خیر")</f>
        <v/>
      </c>
    </row>
    <row r="725" ht="15" customHeight="1" s="14">
      <c r="A725" s="24" t="n">
        <v>1164</v>
      </c>
      <c r="B725" s="24" t="inlineStr">
        <is>
          <t>بايوسوتال   قرص خوراکي 80 mg - کيان رخسار قشم</t>
        </is>
      </c>
      <c r="C725" s="25">
        <f>IF(COUNTIF('کدهای پیام‌داروساز'!$A$2:$A$2442,A725)&gt;0,"بله","خیر")</f>
        <v/>
      </c>
    </row>
    <row r="726" ht="15" customHeight="1" s="14">
      <c r="A726" s="24" t="n">
        <v>1165</v>
      </c>
      <c r="B726" s="24" t="inlineStr">
        <is>
          <t>ليپوفوندين  ام سي تي/ال سي تي 10 %   محلول تزريقي داخل وريدي 500 mL - نيکان فارمد</t>
        </is>
      </c>
      <c r="C726" s="25">
        <f>IF(COUNTIF('کدهای پیام‌داروساز'!$A$2:$A$2442,A726)&gt;0,"بله","خیر")</f>
        <v/>
      </c>
    </row>
    <row r="727" ht="15" customHeight="1" s="14">
      <c r="A727" s="24" t="n">
        <v>1166</v>
      </c>
      <c r="B727" s="24" t="inlineStr">
        <is>
          <t>اسپکتينومايسين   پودر براي تهيه محلول تزريقي پرنترال 2 g  g</t>
        </is>
      </c>
      <c r="C727" s="25">
        <f>IF(COUNTIF('کدهای پیام‌داروساز'!$A$2:$A$2442,A727)&gt;0,"بله","خیر")</f>
        <v/>
      </c>
    </row>
    <row r="728" ht="15" customHeight="1" s="14">
      <c r="A728" s="24" t="n">
        <v>1168</v>
      </c>
      <c r="B728" s="24" t="inlineStr">
        <is>
          <t>روامايسين   قرص خوراکي 500 mg - پويش دارو گستر برتر فارس</t>
        </is>
      </c>
      <c r="C728" s="25">
        <f>IF(COUNTIF('کدهای پیام‌داروساز'!$A$2:$A$2442,A728)&gt;0,"بله","خیر")</f>
        <v/>
      </c>
    </row>
    <row r="729" ht="15" customHeight="1" s="14">
      <c r="A729" s="24" t="n">
        <v>1169</v>
      </c>
      <c r="B729" s="24" t="inlineStr">
        <is>
          <t>اسپيداکتون (اسپيرونولاکتون) 25 م گ قرص - تهران شيمي</t>
        </is>
      </c>
      <c r="C729" s="25">
        <f>IF(COUNTIF('کدهای پیام‌داروساز'!$A$2:$A$2442,A729)&gt;0,"بله","خیر")</f>
        <v/>
      </c>
    </row>
    <row r="730" ht="15" customHeight="1" s="14">
      <c r="A730" s="24" t="n">
        <v>1173</v>
      </c>
      <c r="B730" s="24" t="inlineStr">
        <is>
          <t>ويال استرپتوسين 1 گرم</t>
        </is>
      </c>
      <c r="C730" s="25">
        <f>IF(COUNTIF('کدهای پیام‌داروساز'!$A$2:$A$2442,A730)&gt;0,"بله","خیر")</f>
        <v/>
      </c>
    </row>
    <row r="731" ht="15" customHeight="1" s="14">
      <c r="A731" s="24" t="n">
        <v>1174</v>
      </c>
      <c r="B731" s="24" t="inlineStr">
        <is>
          <t>استرپتوزوسين کيوسيت   پودر براي تهيه محلول تزريقي پرنترال 1 g  g - سينا پيشگام دارو نوين</t>
        </is>
      </c>
      <c r="C731" s="25">
        <f>IF(COUNTIF('کدهای پیام‌داروساز'!$A$2:$A$2442,A731)&gt;0,"بله","خیر")</f>
        <v/>
      </c>
    </row>
    <row r="732" ht="15" customHeight="1" s="14">
      <c r="A732" s="24" t="n">
        <v>1179</v>
      </c>
      <c r="B732" s="24" t="inlineStr">
        <is>
          <t>سوکرالفيت   قرص خوراکي 500 mg</t>
        </is>
      </c>
      <c r="C732" s="25">
        <f>IF(COUNTIF('کدهای پیام‌داروساز'!$A$2:$A$2442,A732)&gt;0,"بله","خیر")</f>
        <v/>
      </c>
    </row>
    <row r="733" ht="15" customHeight="1" s="14">
      <c r="A733" s="24" t="n">
        <v>1180</v>
      </c>
      <c r="B733" s="24" t="inlineStr">
        <is>
          <t>آکوا-درين   محلول، قطره چشمي 10 % 10 mL - داروسازي توليد دارو</t>
        </is>
      </c>
      <c r="C733" s="25">
        <f>IF(COUNTIF('کدهای پیام‌داروساز'!$A$2:$A$2442,A733)&gt;0,"بله","خیر")</f>
        <v/>
      </c>
    </row>
    <row r="734" ht="15" customHeight="1" s="14">
      <c r="A734" s="24" t="n">
        <v>1181</v>
      </c>
      <c r="B734" s="24" t="inlineStr">
        <is>
          <t>آکوا-درين   محلول، قطره چشمي 20 % 10 mL - داروسازي توليد دارو</t>
        </is>
      </c>
      <c r="C734" s="25">
        <f>IF(COUNTIF('کدهای پیام‌داروساز'!$A$2:$A$2442,A734)&gt;0,"بله","خیر")</f>
        <v/>
      </c>
    </row>
    <row r="735" ht="15" customHeight="1" s="14">
      <c r="A735" s="24" t="n">
        <v>1182</v>
      </c>
      <c r="B735" s="24" t="inlineStr">
        <is>
          <t>آزوکوليت   قرص خوراکي 500 mg - مهردارو</t>
        </is>
      </c>
      <c r="C735" s="25">
        <f>IF(COUNTIF('کدهای پیام‌داروساز'!$A$2:$A$2442,A735)&gt;0,"بله","خیر")</f>
        <v/>
      </c>
    </row>
    <row r="736" ht="15" customHeight="1" s="14">
      <c r="A736" s="24" t="n">
        <v>1183</v>
      </c>
      <c r="B736" s="24" t="inlineStr">
        <is>
          <t>زوپيرين (سولفاسالازين) 500 م گ قرص - هانليم</t>
        </is>
      </c>
      <c r="C736" s="25">
        <f>IF(COUNTIF('کدهای پیام‌داروساز'!$A$2:$A$2442,A736)&gt;0,"بله","خیر")</f>
        <v/>
      </c>
    </row>
    <row r="737" ht="15" customHeight="1" s="14">
      <c r="A737" s="24" t="n">
        <v>1187</v>
      </c>
      <c r="B737" s="24" t="inlineStr">
        <is>
          <t>دوگماتيل   قرص خوراکي 200 mg  mg - شفا گستر آرنگ</t>
        </is>
      </c>
      <c r="C737" s="25">
        <f>IF(COUNTIF('کدهای پیام‌داروساز'!$A$2:$A$2442,A737)&gt;0,"بله","خیر")</f>
        <v/>
      </c>
    </row>
    <row r="738" ht="15" customHeight="1" s="14">
      <c r="A738" s="24" t="n">
        <v>1193</v>
      </c>
      <c r="B738" s="24" t="inlineStr">
        <is>
          <t>بي فوتر   قرص خوراکي 10 mg - کي بي سي</t>
        </is>
      </c>
      <c r="C738" s="25">
        <f>IF(COUNTIF('کدهای پیام‌داروساز'!$A$2:$A$2442,A738)&gt;0,"بله","خیر")</f>
        <v/>
      </c>
    </row>
    <row r="739" ht="15" customHeight="1" s="14">
      <c r="A739" s="24" t="n">
        <v>1196</v>
      </c>
      <c r="B739" s="24" t="inlineStr">
        <is>
          <t>بينافين (تربينافين) 1 درصد 15 گرم کرم موضعي - تهران شيمي</t>
        </is>
      </c>
      <c r="C739" s="25">
        <f>IF(COUNTIF('کدهای پیام‌داروساز'!$A$2:$A$2442,A739)&gt;0,"بله","خیر")</f>
        <v/>
      </c>
    </row>
    <row r="740" ht="15" customHeight="1" s="14">
      <c r="A740" s="24" t="n">
        <v>1197</v>
      </c>
      <c r="B740" s="24" t="inlineStr">
        <is>
          <t>آپو-تربينافين   قرص خوراکي 250 mg - رستا ايمن دارو</t>
        </is>
      </c>
      <c r="C740" s="25">
        <f>IF(COUNTIF('کدهای پیام‌داروساز'!$A$2:$A$2442,A740)&gt;0,"بله","خیر")</f>
        <v/>
      </c>
    </row>
    <row r="741" ht="15" customHeight="1" s="14">
      <c r="A741" s="24" t="n">
        <v>1198</v>
      </c>
      <c r="B741" s="24" t="inlineStr">
        <is>
          <t>بريکانيل   قرص خوراکي 5 mg - بازرگاني سها کيش</t>
        </is>
      </c>
      <c r="C741" s="25">
        <f>IF(COUNTIF('کدهای پیام‌داروساز'!$A$2:$A$2442,A741)&gt;0,"بله","خیر")</f>
        <v/>
      </c>
    </row>
    <row r="742" ht="15" customHeight="1" s="14">
      <c r="A742" s="24" t="n">
        <v>1201</v>
      </c>
      <c r="B742" s="24" t="inlineStr">
        <is>
          <t>تستوسترون انانتات 100 م گ / 1 م ل  آمپول - ايران هورمون</t>
        </is>
      </c>
      <c r="C742" s="25">
        <f>IF(COUNTIF('کدهای پیام‌داروساز'!$A$2:$A$2442,A742)&gt;0,"بله","خیر")</f>
        <v/>
      </c>
    </row>
    <row r="743" ht="15" customHeight="1" s="14">
      <c r="A743" s="24" t="n">
        <v>1202</v>
      </c>
      <c r="B743" s="24" t="inlineStr">
        <is>
          <t>تتاگام پي   تزريقي پرنترال 250 [iU]/1mL</t>
        </is>
      </c>
      <c r="C743" s="25">
        <f>IF(COUNTIF('کدهای پیام‌داروساز'!$A$2:$A$2442,A743)&gt;0,"بله","خیر")</f>
        <v/>
      </c>
    </row>
    <row r="744" ht="15" customHeight="1" s="14">
      <c r="A744" s="24" t="n">
        <v>1203</v>
      </c>
      <c r="B744" s="24" t="inlineStr">
        <is>
          <t>آکورا   قرص خوراکي 25 mg - داروسازي تهران شيمي</t>
        </is>
      </c>
      <c r="C744" s="25">
        <f>IF(COUNTIF('کدهای پیام‌داروساز'!$A$2:$A$2442,A744)&gt;0,"بله","خیر")</f>
        <v/>
      </c>
    </row>
    <row r="745" ht="15" customHeight="1" s="14">
      <c r="A745" s="24" t="n">
        <v>1204</v>
      </c>
      <c r="B745" s="24" t="inlineStr">
        <is>
          <t>آنستوکائين   محلول، قطره چشمي 0.5 % 10 mL - لابراتوارهاي سينا دارو</t>
        </is>
      </c>
      <c r="C745" s="25">
        <f>IF(COUNTIF('کدهای پیام‌داروساز'!$A$2:$A$2442,A745)&gt;0,"بله","خیر")</f>
        <v/>
      </c>
    </row>
    <row r="746" ht="15" customHeight="1" s="14">
      <c r="A746" s="24" t="n">
        <v>1205</v>
      </c>
      <c r="B746" s="24" t="inlineStr">
        <is>
          <t>آلکسان   سوسپانسيون تزريقي پرنترال 1 mg/1mL</t>
        </is>
      </c>
      <c r="C746" s="25">
        <f>IF(COUNTIF('کدهای پیام‌داروساز'!$A$2:$A$2442,A746)&gt;0,"بله","خیر")</f>
        <v/>
      </c>
    </row>
    <row r="747" ht="15" customHeight="1" s="14">
      <c r="A747" s="24" t="n">
        <v>1206</v>
      </c>
      <c r="B747" s="24" t="inlineStr">
        <is>
          <t>آئروتکس   پماد چشمي 1 % 3 g - لابراتوارهاي سينا دارو</t>
        </is>
      </c>
      <c r="C747" s="25">
        <f>IF(COUNTIF('کدهای پیام‌داروساز'!$A$2:$A$2442,A747)&gt;0,"بله","خیر")</f>
        <v/>
      </c>
    </row>
    <row r="748" ht="15" customHeight="1" s="14">
      <c r="A748" s="24" t="n">
        <v>1207</v>
      </c>
      <c r="B748" s="24" t="inlineStr">
        <is>
          <t>تتراسايکلين 250 م گ کپسول - رازک</t>
        </is>
      </c>
      <c r="C748" s="25">
        <f>IF(COUNTIF('کدهای پیام‌داروساز'!$A$2:$A$2442,A748)&gt;0,"بله","خیر")</f>
        <v/>
      </c>
    </row>
    <row r="749" ht="15" customHeight="1" s="14">
      <c r="A749" s="24" t="n">
        <v>1208</v>
      </c>
      <c r="B749" s="24" t="inlineStr">
        <is>
          <t>آئروتکس   پماد موضعي 3 % 15 g</t>
        </is>
      </c>
      <c r="C749" s="25">
        <f>IF(COUNTIF('کدهای پیام‌داروساز'!$A$2:$A$2442,A749)&gt;0,"بله","خیر")</f>
        <v/>
      </c>
    </row>
    <row r="750" ht="15" customHeight="1" s="14">
      <c r="A750" s="24" t="n">
        <v>1209</v>
      </c>
      <c r="B750" s="24" t="inlineStr">
        <is>
          <t>برنکورتارد   قرص پيوسته رهش خوراکي 200 mg</t>
        </is>
      </c>
      <c r="C750" s="25">
        <f>IF(COUNTIF('کدهای پیام‌داروساز'!$A$2:$A$2442,A750)&gt;0,"بله","خیر")</f>
        <v/>
      </c>
    </row>
    <row r="751" ht="15" customHeight="1" s="14">
      <c r="A751" s="24" t="n">
        <v>1210</v>
      </c>
      <c r="B751" s="24" t="inlineStr">
        <is>
          <t>زانتيوم   قرص خوراکي 200 mg - پويش دارو گستر برتر فارس</t>
        </is>
      </c>
      <c r="C751" s="25">
        <f>IF(COUNTIF('کدهای پیام‌داروساز'!$A$2:$A$2442,A751)&gt;0,"بله","خیر")</f>
        <v/>
      </c>
    </row>
    <row r="752" ht="15" customHeight="1" s="14">
      <c r="A752" s="24" t="n">
        <v>1211</v>
      </c>
      <c r="B752" s="24" t="inlineStr">
        <is>
          <t>تئوزين(تئوفيلين جي) شربت 120م ل - خوارزمي</t>
        </is>
      </c>
      <c r="C752" s="25">
        <f>IF(COUNTIF('کدهای پیام‌داروساز'!$A$2:$A$2442,A752)&gt;0,"بله","خیر")</f>
        <v/>
      </c>
    </row>
    <row r="753" ht="15" customHeight="1" s="14">
      <c r="A753" s="24" t="n">
        <v>1217</v>
      </c>
      <c r="B753" s="24" t="inlineStr">
        <is>
          <t>تيوگوانين اسپن   قرص خوراکي 40 mg - کيان رخسار قشم</t>
        </is>
      </c>
      <c r="C753" s="25">
        <f>IF(COUNTIF('کدهای پیام‌داروساز'!$A$2:$A$2442,A753)&gt;0,"بله","خیر")</f>
        <v/>
      </c>
    </row>
    <row r="754" ht="15" customHeight="1" s="14">
      <c r="A754" s="24" t="n">
        <v>1218</v>
      </c>
      <c r="B754" s="24" t="inlineStr">
        <is>
          <t>تيو - سوئيس   پودر براي تهيه محلول تزريقي پرنترال 1 g  g - سينا پيشگام دارو نوين</t>
        </is>
      </c>
      <c r="C754" s="25">
        <f>IF(COUNTIF('کدهای پیام‌داروساز'!$A$2:$A$2442,A754)&gt;0,"بله","خیر")</f>
        <v/>
      </c>
    </row>
    <row r="755" ht="15" customHeight="1" s="14">
      <c r="A755" s="24" t="n">
        <v>1219</v>
      </c>
      <c r="B755" s="24" t="inlineStr">
        <is>
          <t>تيوپنتال    پودر براي تهيه محلول تزريقي پرنترال 500 mg  mg - دارو بهداشت درنا</t>
        </is>
      </c>
      <c r="C755" s="25">
        <f>IF(COUNTIF('کدهای پیام‌داروساز'!$A$2:$A$2442,A755)&gt;0,"بله","خیر")</f>
        <v/>
      </c>
    </row>
    <row r="756" ht="15" customHeight="1" s="14">
      <c r="A756" s="24" t="n">
        <v>1220</v>
      </c>
      <c r="B756" s="24" t="inlineStr">
        <is>
          <t>تايريکس   قرص خوراکي 10 mg - دارو درمان سلامت پارس</t>
        </is>
      </c>
      <c r="C756" s="25">
        <f>IF(COUNTIF('کدهای پیام‌داروساز'!$A$2:$A$2442,A756)&gt;0,"بله","خیر")</f>
        <v/>
      </c>
    </row>
    <row r="757" ht="15" customHeight="1" s="14">
      <c r="A757" s="24" t="n">
        <v>1221</v>
      </c>
      <c r="B757" s="24" t="inlineStr">
        <is>
          <t>تيوريبريکس   قرص خوراکي 100 mg</t>
        </is>
      </c>
      <c r="C757" s="25">
        <f>IF(COUNTIF('کدهای پیام‌داروساز'!$A$2:$A$2442,A757)&gt;0,"بله","خیر")</f>
        <v/>
      </c>
    </row>
    <row r="758" ht="15" customHeight="1" s="14">
      <c r="A758" s="24" t="n">
        <v>1222</v>
      </c>
      <c r="B758" s="24" t="inlineStr">
        <is>
          <t>تايريکس   قرص خوراکي 25 mg - دارو درمان سلامت پارس</t>
        </is>
      </c>
      <c r="C758" s="25">
        <f>IF(COUNTIF('کدهای پیام‌داروساز'!$A$2:$A$2442,A758)&gt;0,"بله","خیر")</f>
        <v/>
      </c>
    </row>
    <row r="759" ht="15" customHeight="1" s="14">
      <c r="A759" s="24" t="n">
        <v>1223</v>
      </c>
      <c r="B759" s="24" t="inlineStr">
        <is>
          <t>تيوتيکسن   کپسول خوراکي 5 mg</t>
        </is>
      </c>
      <c r="C759" s="25">
        <f>IF(COUNTIF('کدهای پیام‌داروساز'!$A$2:$A$2442,A759)&gt;0,"بله","خیر")</f>
        <v/>
      </c>
    </row>
    <row r="760" ht="15" customHeight="1" s="14">
      <c r="A760" s="24" t="n">
        <v>1225</v>
      </c>
      <c r="B760" s="24" t="inlineStr">
        <is>
          <t>تيکلامين   قرص خوراکي 250 mg</t>
        </is>
      </c>
      <c r="C760" s="25">
        <f>IF(COUNTIF('کدهای پیام‌داروساز'!$A$2:$A$2442,A760)&gt;0,"بله","خیر")</f>
        <v/>
      </c>
    </row>
    <row r="761" ht="15" customHeight="1" s="14">
      <c r="A761" s="24" t="n">
        <v>1226</v>
      </c>
      <c r="B761" s="24" t="inlineStr">
        <is>
          <t>اپتوتيم- پي بي اي   محلول، قطره چشمي 0.5 % 5 mL - سلامت سازان پارس بوعلي</t>
        </is>
      </c>
      <c r="C761" s="25">
        <f>IF(COUNTIF('کدهای پیام‌داروساز'!$A$2:$A$2442,A761)&gt;0,"بله","خیر")</f>
        <v/>
      </c>
    </row>
    <row r="762" ht="15" customHeight="1" s="14">
      <c r="A762" s="24" t="n">
        <v>1229</v>
      </c>
      <c r="B762" s="24" t="inlineStr">
        <is>
          <t>نبيسينا   تزريقي پرنترال 40 mg/1mL 2 mg - نوآوران فخر دارو</t>
        </is>
      </c>
      <c r="C762" s="25">
        <f>IF(COUNTIF('کدهای پیام‌داروساز'!$A$2:$A$2442,A762)&gt;0,"بله","خیر")</f>
        <v/>
      </c>
    </row>
    <row r="763" ht="15" customHeight="1" s="14">
      <c r="A763" s="24" t="n">
        <v>1234</v>
      </c>
      <c r="B763" s="24" t="inlineStr">
        <is>
          <t>تولمتين   قرص خوراکي 200 mg - ايران دارو</t>
        </is>
      </c>
      <c r="C763" s="25">
        <f>IF(COUNTIF('کدهای پیام‌داروساز'!$A$2:$A$2442,A763)&gt;0,"بله","خیر")</f>
        <v/>
      </c>
    </row>
    <row r="764" ht="15" customHeight="1" s="14">
      <c r="A764" s="24" t="n">
        <v>1236</v>
      </c>
      <c r="B764" s="24" t="inlineStr">
        <is>
          <t>ميکودرم    محلول موضعي 1 % 10 mL - درمان ياب آنا</t>
        </is>
      </c>
      <c r="C764" s="25">
        <f>IF(COUNTIF('کدهای پیام‌داروساز'!$A$2:$A$2442,A764)&gt;0,"بله","خیر")</f>
        <v/>
      </c>
    </row>
    <row r="765" ht="15" customHeight="1" s="14">
      <c r="A765" s="24" t="n">
        <v>1238</v>
      </c>
      <c r="B765" s="24" t="inlineStr">
        <is>
          <t>ترانگزيپ (ترانگزاميک اسيد) 500 م گ / 5 م ل آمپول - کاسپين</t>
        </is>
      </c>
      <c r="C765" s="25">
        <f>IF(COUNTIF('کدهای پیام‌داروساز'!$A$2:$A$2442,A765)&gt;0,"بله","خیر")</f>
        <v/>
      </c>
    </row>
    <row r="766" ht="15" customHeight="1" s="14">
      <c r="A766" s="24" t="n">
        <v>1239</v>
      </c>
      <c r="B766" s="24" t="inlineStr">
        <is>
          <t>آزپتيل 250 (ترانگزاميک اسيد) کپسول - MEDOCHEMIE</t>
        </is>
      </c>
      <c r="C766" s="25">
        <f>IF(COUNTIF('کدهای پیام‌داروساز'!$A$2:$A$2442,A766)&gt;0,"بله","خیر")</f>
        <v/>
      </c>
    </row>
    <row r="767" ht="15" customHeight="1" s="14">
      <c r="A767" s="24" t="n">
        <v>1241</v>
      </c>
      <c r="B767" s="24" t="inlineStr">
        <is>
          <t>پارنيت   قرص خوراکي 10 mg - يارا طب خاورميانه</t>
        </is>
      </c>
      <c r="C767" s="25">
        <f>IF(COUNTIF('کدهای پیام‌داروساز'!$A$2:$A$2442,A767)&gt;0,"بله","خیر")</f>
        <v/>
      </c>
    </row>
    <row r="768" ht="15" customHeight="1" s="14">
      <c r="A768" s="24" t="n">
        <v>1242</v>
      </c>
      <c r="B768" s="24" t="inlineStr">
        <is>
          <t>ترازودن 50قرص - رازک</t>
        </is>
      </c>
      <c r="C768" s="25">
        <f>IF(COUNTIF('کدهای پیام‌داروساز'!$A$2:$A$2442,A768)&gt;0,"بله","خیر")</f>
        <v/>
      </c>
    </row>
    <row r="769" ht="15" customHeight="1" s="14">
      <c r="A769" s="24" t="n">
        <v>1244</v>
      </c>
      <c r="B769" s="24" t="inlineStr">
        <is>
          <t>ترتينوئين    ژل موضعي 0.025 % 15 g - کارخانجات دارو پخش</t>
        </is>
      </c>
      <c r="C769" s="25">
        <f>IF(COUNTIF('کدهای پیام‌داروساز'!$A$2:$A$2442,A769)&gt;0,"بله","خیر")</f>
        <v/>
      </c>
    </row>
    <row r="770" ht="15" customHeight="1" s="14">
      <c r="A770" s="24" t="n">
        <v>1245</v>
      </c>
      <c r="B770" s="24" t="inlineStr">
        <is>
          <t>ترتينوئين    کرم موضعي 0.05 % 15 g - پارس دارو</t>
        </is>
      </c>
      <c r="C770" s="25">
        <f>IF(COUNTIF('کدهای پیام‌داروساز'!$A$2:$A$2442,A770)&gt;0,"بله","خیر")</f>
        <v/>
      </c>
    </row>
    <row r="771" ht="15" customHeight="1" s="14">
      <c r="A771" s="24" t="n">
        <v>1246</v>
      </c>
      <c r="B771" s="24" t="inlineStr">
        <is>
          <t>ترتينوئين    لوسيون موضعي 0.05 % 15 mL - ايران دارو</t>
        </is>
      </c>
      <c r="C771" s="25">
        <f>IF(COUNTIF('کدهای پیام‌داروساز'!$A$2:$A$2442,A771)&gt;0,"بله","خیر")</f>
        <v/>
      </c>
    </row>
    <row r="772" ht="15" customHeight="1" s="14">
      <c r="A772" s="24" t="n">
        <v>1247</v>
      </c>
      <c r="B772" s="24" t="inlineStr">
        <is>
          <t>تريام هگزال   تزريقي پرنترال 40 mg/1mL 1 mg</t>
        </is>
      </c>
      <c r="C772" s="25">
        <f>IF(COUNTIF('کدهای پیام‌داروساز'!$A$2:$A$2442,A772)&gt;0,"بله","خیر")</f>
        <v/>
      </c>
    </row>
    <row r="773" ht="15" customHeight="1" s="14">
      <c r="A773" s="24" t="n">
        <v>1248</v>
      </c>
      <c r="B773" s="24" t="inlineStr">
        <is>
          <t>تريامسينولون استونايد   کرم موضعي 0.1 % 15</t>
        </is>
      </c>
      <c r="C773" s="25">
        <f>IF(COUNTIF('کدهای پیام‌داروساز'!$A$2:$A$2442,A773)&gt;0,"بله","خیر")</f>
        <v/>
      </c>
    </row>
    <row r="774" ht="15" customHeight="1" s="14">
      <c r="A774" s="24" t="n">
        <v>1249</v>
      </c>
      <c r="B774" s="24" t="inlineStr">
        <is>
          <t>تريامسينولون   پماد موضعي 0.1 % 15 g - آسا دارو طوس</t>
        </is>
      </c>
      <c r="C774" s="25">
        <f>IF(COUNTIF('کدهای پیام‌داروساز'!$A$2:$A$2442,A774)&gt;0,"بله","خیر")</f>
        <v/>
      </c>
    </row>
    <row r="775" ht="15" customHeight="1" s="14">
      <c r="A775" s="24" t="n">
        <v>1251</v>
      </c>
      <c r="B775" s="24" t="inlineStr">
        <is>
          <t>تريا مسينولون ان ان بهسا   پماد موضعي 1 mg/2.5 mg/100000 [iU]/1g 15 g - دارو سازي بهسا</t>
        </is>
      </c>
      <c r="C775" s="25">
        <f>IF(COUNTIF('کدهای پیام‌داروساز'!$A$2:$A$2442,A775)&gt;0,"بله","خیر")</f>
        <v/>
      </c>
    </row>
    <row r="776" ht="15" customHeight="1" s="14">
      <c r="A776" s="24" t="n">
        <v>1252</v>
      </c>
      <c r="B776" s="24" t="inlineStr">
        <is>
          <t>تريامترن 5025 م گ قرص   قرص خوراکي 50 mg/25 mg</t>
        </is>
      </c>
      <c r="C776" s="25">
        <f>IF(COUNTIF('کدهای پیام‌داروساز'!$A$2:$A$2442,A776)&gt;0,"بله","خیر")</f>
        <v/>
      </c>
    </row>
    <row r="777" ht="15" customHeight="1" s="14">
      <c r="A777" s="24" t="n">
        <v>1253</v>
      </c>
      <c r="B777" s="24" t="inlineStr">
        <is>
          <t>پسينيزا   قرص خوراکي 1 mg - دارويي پرسون بام بين الملل</t>
        </is>
      </c>
      <c r="C777" s="25">
        <f>IF(COUNTIF('کدهای پیام‌داروساز'!$A$2:$A$2442,A777)&gt;0,"بله","خیر")</f>
        <v/>
      </c>
    </row>
    <row r="778" ht="15" customHeight="1" s="14">
      <c r="A778" s="24" t="n">
        <v>1254</v>
      </c>
      <c r="B778" s="24" t="inlineStr">
        <is>
          <t>تري فلوئوپرازين    تزريقي عضلاني 1 mg/1mL 1 mg</t>
        </is>
      </c>
      <c r="C778" s="25">
        <f>IF(COUNTIF('کدهای پیام‌داروساز'!$A$2:$A$2442,A778)&gt;0,"بله","خیر")</f>
        <v/>
      </c>
    </row>
    <row r="779" ht="15" customHeight="1" s="14">
      <c r="A779" s="24" t="n">
        <v>1255</v>
      </c>
      <c r="B779" s="24" t="inlineStr">
        <is>
          <t>پسينيزا   قرص خوراکي 2 mg - دارويي پرسون بام بين الملل</t>
        </is>
      </c>
      <c r="C779" s="25">
        <f>IF(COUNTIF('کدهای پیام‌داروساز'!$A$2:$A$2442,A779)&gt;0,"بله","خیر")</f>
        <v/>
      </c>
    </row>
    <row r="780" ht="15" customHeight="1" s="14">
      <c r="A780" s="24" t="n">
        <v>1256</v>
      </c>
      <c r="B780" s="24" t="inlineStr">
        <is>
          <t>پسينيزا   قرص خوراکي 5 mg - دارويي پرسون بام بين الملل</t>
        </is>
      </c>
      <c r="C780" s="25">
        <f>IF(COUNTIF('کدهای پیام‌داروساز'!$A$2:$A$2442,A780)&gt;0,"بله","خیر")</f>
        <v/>
      </c>
    </row>
    <row r="781" ht="15" customHeight="1" s="14">
      <c r="A781" s="24" t="n">
        <v>1257</v>
      </c>
      <c r="B781" s="24" t="inlineStr">
        <is>
          <t>ويروسيد 1درصد(تري فلوريدين)قطره - سينا دارو</t>
        </is>
      </c>
      <c r="C781" s="25">
        <f>IF(COUNTIF('کدهای پیام‌داروساز'!$A$2:$A$2442,A781)&gt;0,"بله","خیر")</f>
        <v/>
      </c>
    </row>
    <row r="782" ht="15" customHeight="1" s="14">
      <c r="A782" s="24" t="n">
        <v>1258</v>
      </c>
      <c r="B782" s="24" t="inlineStr">
        <is>
          <t>پاسيتان   قرص خوراکي 2 mg - بازرگاني سها کيش</t>
        </is>
      </c>
      <c r="C782" s="25">
        <f>IF(COUNTIF('کدهای پیام‌داروساز'!$A$2:$A$2442,A782)&gt;0,"بله","خیر")</f>
        <v/>
      </c>
    </row>
    <row r="783" ht="15" customHeight="1" s="14">
      <c r="A783" s="24" t="n">
        <v>1259</v>
      </c>
      <c r="B783" s="24" t="inlineStr">
        <is>
          <t>تريمونتيل100(تريميپرامين)قرص-تهران شيمي</t>
        </is>
      </c>
      <c r="C783" s="25">
        <f>IF(COUNTIF('کدهای پیام‌داروساز'!$A$2:$A$2442,A783)&gt;0,"بله","خیر")</f>
        <v/>
      </c>
    </row>
    <row r="784" ht="15" customHeight="1" s="14">
      <c r="A784" s="24" t="n">
        <v>1260</v>
      </c>
      <c r="B784" s="24" t="inlineStr">
        <is>
          <t>تريمونتيل25(تريميپرامين)قرص-تهران شيمي</t>
        </is>
      </c>
      <c r="C784" s="25">
        <f>IF(COUNTIF('کدهای پیام‌داروساز'!$A$2:$A$2442,A784)&gt;0,"بله","خیر")</f>
        <v/>
      </c>
    </row>
    <row r="785" ht="15" customHeight="1" s="14">
      <c r="A785" s="24" t="n">
        <v>1261</v>
      </c>
      <c r="B785" s="24" t="inlineStr">
        <is>
          <t>تريميپرامين قطره خوراکي 30 م ل - شهردارو</t>
        </is>
      </c>
      <c r="C785" s="25">
        <f>IF(COUNTIF('کدهای پیام‌داروساز'!$A$2:$A$2442,A785)&gt;0,"بله","خیر")</f>
        <v/>
      </c>
    </row>
    <row r="786" ht="15" customHeight="1" s="14">
      <c r="A786" s="24" t="n">
        <v>1264</v>
      </c>
      <c r="B786" s="24" t="inlineStr">
        <is>
          <t>تري سولفا   کرم واژينال 3.42 %/2.86 %/3.7 % 78 g - لابراتوارهاي سينا دارو</t>
        </is>
      </c>
      <c r="C786" s="25">
        <f>IF(COUNTIF('کدهای پیام‌داروساز'!$A$2:$A$2442,A786)&gt;0,"بله","خیر")</f>
        <v/>
      </c>
    </row>
    <row r="787" ht="15" customHeight="1" s="14">
      <c r="A787" s="24" t="n">
        <v>1265</v>
      </c>
      <c r="B787" s="24" t="inlineStr">
        <is>
          <t>تريپل سولفا قرص واژينال - پارس دارو</t>
        </is>
      </c>
      <c r="C787" s="25">
        <f>IF(COUNTIF('کدهای پیام‌داروساز'!$A$2:$A$2442,A787)&gt;0,"بله","خیر")</f>
        <v/>
      </c>
    </row>
    <row r="788" ht="15" customHeight="1" s="14">
      <c r="A788" s="24" t="n">
        <v>1266</v>
      </c>
      <c r="B788" s="24" t="inlineStr">
        <is>
          <t>واريوپپتيل (تريپتورلين استات) 3.75 ميلي گرم تزريقى واريان فارمد</t>
        </is>
      </c>
      <c r="C788" s="25">
        <f>IF(COUNTIF('کدهای پیام‌داروساز'!$A$2:$A$2442,A788)&gt;0,"بله","خیر")</f>
        <v/>
      </c>
    </row>
    <row r="789" ht="15" customHeight="1" s="14">
      <c r="A789" s="24" t="n">
        <v>1267</v>
      </c>
      <c r="B789" s="24" t="inlineStr">
        <is>
          <t>ميدراکس (تروپيکاميد)0.5 درصد 10 م ل قطره چشمي - سينا دارو</t>
        </is>
      </c>
      <c r="C789" s="25">
        <f>IF(COUNTIF('کدهای پیام‌داروساز'!$A$2:$A$2442,A789)&gt;0,"بله","خیر")</f>
        <v/>
      </c>
    </row>
    <row r="790" ht="15" customHeight="1" s="14">
      <c r="A790" s="24" t="n">
        <v>1270</v>
      </c>
      <c r="B790" s="24" t="inlineStr">
        <is>
          <t>براول   پودر لئوفيليزه براي تهيه محلول تزريقي عضلاني 75 [iU]  [iU] - درمان ياب دارو</t>
        </is>
      </c>
      <c r="C790" s="25">
        <f>IF(COUNTIF('کدهای پیام‌داروساز'!$A$2:$A$2442,A790)&gt;0,"بله","خیر")</f>
        <v/>
      </c>
    </row>
    <row r="791" ht="15" customHeight="1" s="14">
      <c r="A791" s="24" t="n">
        <v>1273</v>
      </c>
      <c r="B791" s="24" t="inlineStr">
        <is>
          <t>اورسو داکسي کوليک اسيد   قرص خوراکي 250 mg - داروسازي ابوريحان</t>
        </is>
      </c>
      <c r="C791" s="25">
        <f>IF(COUNTIF('کدهای پیام‌داروساز'!$A$2:$A$2442,A791)&gt;0,"بله","خیر")</f>
        <v/>
      </c>
    </row>
    <row r="792" ht="15" customHeight="1" s="14">
      <c r="A792" s="24" t="n">
        <v>1275</v>
      </c>
      <c r="B792" s="24" t="inlineStr">
        <is>
          <t>دپاکين 200 قرص - سانوفي</t>
        </is>
      </c>
      <c r="C792" s="25">
        <f>IF(COUNTIF('کدهای پیام‌داروساز'!$A$2:$A$2442,A792)&gt;0,"بله","خیر")</f>
        <v/>
      </c>
    </row>
    <row r="793" ht="15" customHeight="1" s="14">
      <c r="A793" s="24" t="n">
        <v>1276</v>
      </c>
      <c r="B793" s="24" t="inlineStr">
        <is>
          <t>ونکو   پودر براي تهيه محلول تزريقي پرنترال 500 mg  mg</t>
        </is>
      </c>
      <c r="C793" s="25">
        <f>IF(COUNTIF('کدهای پیام‌داروساز'!$A$2:$A$2442,A793)&gt;0,"بله","خیر")</f>
        <v/>
      </c>
    </row>
    <row r="794" ht="15" customHeight="1" s="14">
      <c r="A794" s="24" t="n">
        <v>1277</v>
      </c>
      <c r="B794" s="24" t="inlineStr">
        <is>
          <t>هاي پرس   تزريقي پرنترال 20 [iU]/1mL 1 [iU] - داروسازي اکسير</t>
        </is>
      </c>
      <c r="C794" s="25">
        <f>IF(COUNTIF('کدهای پیام‌داروساز'!$A$2:$A$2442,A794)&gt;0,"بله","خیر")</f>
        <v/>
      </c>
    </row>
    <row r="795" ht="15" customHeight="1" s="14">
      <c r="A795" s="24" t="n">
        <v>1278</v>
      </c>
      <c r="B795" s="24" t="inlineStr">
        <is>
          <t>وراپاميل   قرص پيوسته رهش خوراکي 240 mg - بازرگاني سها کيش</t>
        </is>
      </c>
      <c r="C795" s="25">
        <f>IF(COUNTIF('کدهای پیام‌داروساز'!$A$2:$A$2442,A795)&gt;0,"بله","خیر")</f>
        <v/>
      </c>
    </row>
    <row r="796" ht="15" customHeight="1" s="14">
      <c r="A796" s="24" t="n">
        <v>1279</v>
      </c>
      <c r="B796" s="24" t="inlineStr">
        <is>
          <t>وانا وراپاميل   قرص خوراکي 40 mg - وانا دارو گستر</t>
        </is>
      </c>
      <c r="C796" s="25">
        <f>IF(COUNTIF('کدهای پیام‌داروساز'!$A$2:$A$2442,A796)&gt;0,"بله","خیر")</f>
        <v/>
      </c>
    </row>
    <row r="797" ht="15" customHeight="1" s="14">
      <c r="A797" s="24" t="n">
        <v>1280</v>
      </c>
      <c r="B797" s="24" t="inlineStr">
        <is>
          <t>ايزوپتين   تزريقي پرنترال 2.5 mg/1mL 2 mg - بهستان دارو</t>
        </is>
      </c>
      <c r="C797" s="25">
        <f>IF(COUNTIF('کدهای پیام‌داروساز'!$A$2:$A$2442,A797)&gt;0,"بله","خیر")</f>
        <v/>
      </c>
    </row>
    <row r="798" ht="15" customHeight="1" s="14">
      <c r="A798" s="24" t="n">
        <v>1282</v>
      </c>
      <c r="B798" s="24" t="inlineStr">
        <is>
          <t>Sabril 500 mg   قرص خوراکي 500 mg</t>
        </is>
      </c>
      <c r="C798" s="25">
        <f>IF(COUNTIF('کدهای پیام‌داروساز'!$A$2:$A$2442,A798)&gt;0,"بله","خیر")</f>
        <v/>
      </c>
    </row>
    <row r="799" ht="15" customHeight="1" s="14">
      <c r="A799" s="24" t="n">
        <v>1283</v>
      </c>
      <c r="B799" s="24" t="inlineStr">
        <is>
          <t>سيتوبلاستين   پودر براي تهيه محلول تزريقي پرنترال 10 mg  mg - کي بي سي</t>
        </is>
      </c>
      <c r="C799" s="25">
        <f>IF(COUNTIF('کدهای پیام‌داروساز'!$A$2:$A$2442,A799)&gt;0,"بله","خیر")</f>
        <v/>
      </c>
    </row>
    <row r="800" ht="15" customHeight="1" s="14">
      <c r="A800" s="24" t="n">
        <v>1284</v>
      </c>
      <c r="B800" s="24" t="inlineStr">
        <is>
          <t>وينکريستين   پودر براي تهيه محلول تزريقي پرنترال 1 mg  mg - بازرگاني سها کيش</t>
        </is>
      </c>
      <c r="C800" s="25">
        <f>IF(COUNTIF('کدهای پیام‌داروساز'!$A$2:$A$2442,A800)&gt;0,"بله","خیر")</f>
        <v/>
      </c>
    </row>
    <row r="801" ht="15" customHeight="1" s="14">
      <c r="A801" s="24" t="n">
        <v>1286</v>
      </c>
      <c r="B801" s="24" t="inlineStr">
        <is>
          <t>زيروويت 5 گرم (ويتامين آ) پماد چشمي - سينا دارو</t>
        </is>
      </c>
      <c r="C801" s="25">
        <f>IF(COUNTIF('کدهای پیام‌داروساز'!$A$2:$A$2442,A801)&gt;0,"بله","خیر")</f>
        <v/>
      </c>
    </row>
    <row r="802" ht="15" customHeight="1" s="14">
      <c r="A802" s="24" t="n">
        <v>1287</v>
      </c>
      <c r="B802" s="24" t="inlineStr">
        <is>
          <t>ويتامين آ   قرص جويدني خوراکي 25000 [iU] - لابراتوارهاي شهردارو</t>
        </is>
      </c>
      <c r="C802" s="25">
        <f>IF(COUNTIF('کدهای پیام‌داروساز'!$A$2:$A$2442,A802)&gt;0,"بله","خیر")</f>
        <v/>
      </c>
    </row>
    <row r="803" ht="15" customHeight="1" s="14">
      <c r="A803" s="24" t="n">
        <v>1288</v>
      </c>
      <c r="B803" s="24" t="inlineStr">
        <is>
          <t>ويتامين آ 50000 واحد آمپول - اسوه</t>
        </is>
      </c>
      <c r="C803" s="25">
        <f>IF(COUNTIF('کدهای پیام‌داروساز'!$A$2:$A$2442,A803)&gt;0,"بله","خیر")</f>
        <v/>
      </c>
    </row>
    <row r="804" ht="15" customHeight="1" s="14">
      <c r="A804" s="24" t="n">
        <v>1289</v>
      </c>
      <c r="B804" s="24" t="inlineStr">
        <is>
          <t>ويتامين آ آريا   قرص خوراکي 50000 [iU] - داروسازي آريا</t>
        </is>
      </c>
      <c r="C804" s="25">
        <f>IF(COUNTIF('کدهای پیام‌داروساز'!$A$2:$A$2442,A804)&gt;0,"بله","خیر")</f>
        <v/>
      </c>
    </row>
    <row r="805" ht="15" customHeight="1" s="14">
      <c r="A805" s="24" t="n">
        <v>1290</v>
      </c>
      <c r="B805" s="24" t="inlineStr">
        <is>
          <t>آدسول (ويتامين آ+د) قطره 15 م ل - خوارزمي</t>
        </is>
      </c>
      <c r="C805" s="25">
        <f>IF(COUNTIF('کدهای پیام‌داروساز'!$A$2:$A$2442,A805)&gt;0,"بله","خیر")</f>
        <v/>
      </c>
    </row>
    <row r="806" ht="15" customHeight="1" s="14">
      <c r="A806" s="24" t="n">
        <v>1291</v>
      </c>
      <c r="B806" s="24" t="inlineStr">
        <is>
          <t>ويتامين آ د   پماد موضعي 850 [iU]/85 [iU]/1g 30 g - دارويي آرايشي بهداشتي آريان کيميا تک</t>
        </is>
      </c>
      <c r="C806" s="25">
        <f>IF(COUNTIF('کدهای پیام‌داروساز'!$A$2:$A$2442,A806)&gt;0,"بله","خیر")</f>
        <v/>
      </c>
    </row>
    <row r="807" ht="15" customHeight="1" s="14">
      <c r="A807" s="24" t="n">
        <v>1292</v>
      </c>
      <c r="B807" s="24" t="inlineStr">
        <is>
          <t>بتاوين   قرص خوراکي 100 mg</t>
        </is>
      </c>
      <c r="C807" s="25">
        <f>IF(COUNTIF('کدهای پیام‌داروساز'!$A$2:$A$2442,A807)&gt;0,"بله","خیر")</f>
        <v/>
      </c>
    </row>
    <row r="808" ht="15" customHeight="1" s="14">
      <c r="A808" s="24" t="n">
        <v>1293</v>
      </c>
      <c r="B808" s="24" t="inlineStr">
        <is>
          <t>تيام ويت   قرص خوراکي 300 mg</t>
        </is>
      </c>
      <c r="C808" s="25">
        <f>IF(COUNTIF('کدهای پیام‌داروساز'!$A$2:$A$2442,A808)&gt;0,"بله","خیر")</f>
        <v/>
      </c>
    </row>
    <row r="809" ht="15" customHeight="1" s="14">
      <c r="A809" s="24" t="n">
        <v>1294</v>
      </c>
      <c r="B809" s="24" t="inlineStr">
        <is>
          <t>بيتاويون   تزريقي پرنترال 1000 ug/1mL  mL - ايران هورمون</t>
        </is>
      </c>
      <c r="C809" s="25">
        <f>IF(COUNTIF('کدهای پیام‌داروساز'!$A$2:$A$2442,A809)&gt;0,"بله","خیر")</f>
        <v/>
      </c>
    </row>
    <row r="810" ht="15" customHeight="1" s="14">
      <c r="A810" s="24" t="n">
        <v>1295</v>
      </c>
      <c r="B810" s="24" t="inlineStr">
        <is>
          <t>ويبسيکس   تزريقي پرنترال 50 mg/1mL 2 mL</t>
        </is>
      </c>
      <c r="C810" s="25">
        <f>IF(COUNTIF('کدهای پیام‌داروساز'!$A$2:$A$2442,A810)&gt;0,"بله","خیر")</f>
        <v/>
      </c>
    </row>
    <row r="811" ht="15" customHeight="1" s="14">
      <c r="A811" s="24" t="n">
        <v>1297</v>
      </c>
      <c r="B811" s="24" t="inlineStr">
        <is>
          <t>ويتامين ب6 / 40 م گ قرص - ايران هورمون</t>
        </is>
      </c>
      <c r="C811" s="25">
        <f>IF(COUNTIF('کدهای پیام‌داروساز'!$A$2:$A$2442,A811)&gt;0,"بله","خیر")</f>
        <v/>
      </c>
    </row>
    <row r="812" ht="15" customHeight="1" s="14">
      <c r="A812" s="24" t="n">
        <v>1301</v>
      </c>
      <c r="B812" s="24" t="inlineStr">
        <is>
          <t>ليم کيور   تزريقي پرنترال 100 mg/1mL 5 mg - درمان ياب آنا</t>
        </is>
      </c>
      <c r="C812" s="25">
        <f>IF(COUNTIF('کدهای پیام‌داروساز'!$A$2:$A$2442,A812)&gt;0,"بله","خیر")</f>
        <v/>
      </c>
    </row>
    <row r="813" ht="15" customHeight="1" s="14">
      <c r="A813" s="24" t="n">
        <v>1303</v>
      </c>
      <c r="B813" s="24" t="inlineStr">
        <is>
          <t>د-ويتين (ويتامين د3) 50000 واحد کپسول - زهراوي</t>
        </is>
      </c>
      <c r="C813" s="25">
        <f>IF(COUNTIF('کدهای پیام‌داروساز'!$A$2:$A$2442,A813)&gt;0,"بله","خیر")</f>
        <v/>
      </c>
    </row>
    <row r="814" ht="15" customHeight="1" s="14">
      <c r="A814" s="24" t="n">
        <v>1305</v>
      </c>
      <c r="B814" s="24" t="inlineStr">
        <is>
          <t>ويتامين اي 100 قرص جويدني - اسوه</t>
        </is>
      </c>
      <c r="C814" s="25">
        <f>IF(COUNTIF('کدهای پیام‌داروساز'!$A$2:$A$2442,A814)&gt;0,"بله","خیر")</f>
        <v/>
      </c>
    </row>
    <row r="815" ht="15" customHeight="1" s="14">
      <c r="A815" s="24" t="n">
        <v>1306</v>
      </c>
      <c r="B815" s="24" t="inlineStr">
        <is>
          <t>اسوه-ويتامين اي   تزريقي پرنترال 100 [iU]/1mL  mL - دارو سازي اسوه</t>
        </is>
      </c>
      <c r="C815" s="25">
        <f>IF(COUNTIF('کدهای پیام‌داروساز'!$A$2:$A$2442,A815)&gt;0,"بله","خیر")</f>
        <v/>
      </c>
    </row>
    <row r="816" ht="15" customHeight="1" s="14">
      <c r="A816" s="24" t="n">
        <v>1309</v>
      </c>
      <c r="B816" s="24" t="inlineStr">
        <is>
          <t>آپو - وارفارين   قرص خوراکي 5 mg</t>
        </is>
      </c>
      <c r="C816" s="25">
        <f>IF(COUNTIF('کدهای پیام‌داروساز'!$A$2:$A$2442,A816)&gt;0,"بله","خیر")</f>
        <v/>
      </c>
    </row>
    <row r="817" ht="15" customHeight="1" s="14">
      <c r="A817" s="24" t="n">
        <v>1310</v>
      </c>
      <c r="B817" s="24" t="inlineStr">
        <is>
          <t>آب سترون قابل تزريق   تزريقي پرنترال 2 mL  mm - آفا شيمي</t>
        </is>
      </c>
      <c r="C817" s="25">
        <f>IF(COUNTIF('کدهای پیام‌داروساز'!$A$2:$A$2442,A817)&gt;0,"بله","خیر")</f>
        <v/>
      </c>
    </row>
    <row r="818" ht="15" customHeight="1" s="14">
      <c r="A818" s="24" t="n">
        <v>1311</v>
      </c>
      <c r="B818" s="24" t="inlineStr">
        <is>
          <t>آب سترون براي تزريق   تزريقي پرنترال 5 mL  mL</t>
        </is>
      </c>
      <c r="C818" s="25">
        <f>IF(COUNTIF('کدهای پیام‌داروساز'!$A$2:$A$2442,A818)&gt;0,"بله","خیر")</f>
        <v/>
      </c>
    </row>
    <row r="819" ht="15" customHeight="1" s="14">
      <c r="A819" s="24" t="n">
        <v>1313</v>
      </c>
      <c r="B819" s="24" t="inlineStr">
        <is>
          <t>استاماريل   تزريقي پرنترال 1 {dose}  {dose} - روژين دارو</t>
        </is>
      </c>
      <c r="C819" s="25">
        <f>IF(COUNTIF('کدهای پیام‌داروساز'!$A$2:$A$2442,A819)&gt;0,"بله","خیر")</f>
        <v/>
      </c>
    </row>
    <row r="820" ht="15" customHeight="1" s="14">
      <c r="A820" s="24" t="n">
        <v>1314</v>
      </c>
      <c r="B820" s="24" t="inlineStr">
        <is>
          <t>رتروبايووير   کپسول خوراکي 100 mg - باختر بيو شيمي</t>
        </is>
      </c>
      <c r="C820" s="25">
        <f>IF(COUNTIF('کدهای پیام‌داروساز'!$A$2:$A$2442,A820)&gt;0,"بله","خیر")</f>
        <v/>
      </c>
    </row>
    <row r="821" ht="15" customHeight="1" s="14">
      <c r="A821" s="24" t="n">
        <v>1316</v>
      </c>
      <c r="B821" s="24" t="inlineStr">
        <is>
          <t>ايپوزينک (زينک اکسايد) 25درصد 30 گرمي پماد موضعي - کاسپين</t>
        </is>
      </c>
      <c r="C821" s="25">
        <f>IF(COUNTIF('کدهای پیام‌داروساز'!$A$2:$A$2442,A821)&gt;0,"بله","خیر")</f>
        <v/>
      </c>
    </row>
    <row r="822" ht="15" customHeight="1" s="14">
      <c r="A822" s="24" t="n">
        <v>1318</v>
      </c>
      <c r="B822" s="24" t="inlineStr">
        <is>
          <t>سوزين 25 ميلي گرم 30 عدد کپسول الحاوي</t>
        </is>
      </c>
      <c r="C822" s="25">
        <f>IF(COUNTIF('کدهای پیام‌داروساز'!$A$2:$A$2442,A822)&gt;0,"بله","خیر")</f>
        <v/>
      </c>
    </row>
    <row r="823" ht="15" customHeight="1" s="14">
      <c r="A823" s="24" t="n">
        <v>1320</v>
      </c>
      <c r="B823" s="24" t="inlineStr">
        <is>
          <t>کارمينت 30 م ل قطره - پورسينا</t>
        </is>
      </c>
      <c r="C823" s="25">
        <f>IF(COUNTIF('کدهای پیام‌داروساز'!$A$2:$A$2442,A823)&gt;0,"بله","خیر")</f>
        <v/>
      </c>
    </row>
    <row r="824" ht="15" customHeight="1" s="14">
      <c r="A824" s="24" t="n">
        <v>1322</v>
      </c>
      <c r="B824" s="24" t="inlineStr">
        <is>
          <t>هايپيران قطره 30 م ل - پورسينا</t>
        </is>
      </c>
      <c r="C824" s="25">
        <f>IF(COUNTIF('کدهای پیام‌داروساز'!$A$2:$A$2442,A824)&gt;0,"بله","خیر")</f>
        <v/>
      </c>
    </row>
    <row r="825" ht="15" customHeight="1" s="14">
      <c r="A825" s="24" t="n">
        <v>1328</v>
      </c>
      <c r="B825" s="24" t="inlineStr">
        <is>
          <t>متيل فنيدات اچ سي ال 10 ميلي گرم قرص</t>
        </is>
      </c>
      <c r="C825" s="25">
        <f>IF(COUNTIF('کدهای پیام‌داروساز'!$A$2:$A$2442,A825)&gt;0,"بله","خیر")</f>
        <v/>
      </c>
    </row>
    <row r="826" ht="15" customHeight="1" s="14">
      <c r="A826" s="24" t="n">
        <v>1329</v>
      </c>
      <c r="B826" s="24" t="inlineStr">
        <is>
          <t>دوپرام   تزريقي پرنترال 20 mg/1mL 5 mg - وليان دارو</t>
        </is>
      </c>
      <c r="C826" s="25">
        <f>IF(COUNTIF('کدهای پیام‌داروساز'!$A$2:$A$2442,A826)&gt;0,"بله","خیر")</f>
        <v/>
      </c>
    </row>
    <row r="827" ht="15" customHeight="1" s="14">
      <c r="A827" s="24" t="n">
        <v>1334</v>
      </c>
      <c r="B827" s="24" t="inlineStr">
        <is>
          <t>باريم سولفات   پودر براي تهيه سوسپانسيون   خوراکي 135 g  g - داروسازي اکسير</t>
        </is>
      </c>
      <c r="C827" s="25">
        <f>IF(COUNTIF('کدهای پیام‌داروساز'!$A$2:$A$2442,A827)&gt;0,"بله","خیر")</f>
        <v/>
      </c>
    </row>
    <row r="828" ht="15" customHeight="1" s="14">
      <c r="A828" s="24" t="n">
        <v>1336</v>
      </c>
      <c r="B828" s="24" t="inlineStr">
        <is>
          <t>ويال سفوتاکسيم 1 گرم</t>
        </is>
      </c>
      <c r="C828" s="25">
        <f>IF(COUNTIF('کدهای پیام‌داروساز'!$A$2:$A$2442,A828)&gt;0,"بله","خیر")</f>
        <v/>
      </c>
    </row>
    <row r="829" ht="15" customHeight="1" s="14">
      <c r="A829" s="24" t="n">
        <v>1338</v>
      </c>
      <c r="B829" s="24" t="inlineStr">
        <is>
          <t>دسموپرسين   تزريقي پرنترال 4 ug/1mL  ug - بين المللي ياقوت دارو درمان</t>
        </is>
      </c>
      <c r="C829" s="25">
        <f>IF(COUNTIF('کدهای پیام‌داروساز'!$A$2:$A$2442,A829)&gt;0,"بله","خیر")</f>
        <v/>
      </c>
    </row>
    <row r="830" ht="15" customHeight="1" s="14">
      <c r="A830" s="24" t="n">
        <v>1339</v>
      </c>
      <c r="B830" s="24" t="inlineStr">
        <is>
          <t>دروپريدول پن فارما   تزريقي پرنترال 2.5 mg/1mL 1 mg - درمان ياب دارو</t>
        </is>
      </c>
      <c r="C830" s="25">
        <f>IF(COUNTIF('کدهای پیام‌داروساز'!$A$2:$A$2442,A830)&gt;0,"بله","خیر")</f>
        <v/>
      </c>
    </row>
    <row r="831" ht="15" customHeight="1" s="14">
      <c r="A831" s="24" t="n">
        <v>1341</v>
      </c>
      <c r="B831" s="24" t="inlineStr">
        <is>
          <t>NALOXONE 0.4 mg   تزريقي پرنترال 0.4 mg/1mL</t>
        </is>
      </c>
      <c r="C831" s="25">
        <f>IF(COUNTIF('کدهای پیام‌داروساز'!$A$2:$A$2442,A831)&gt;0,"بله","خیر")</f>
        <v/>
      </c>
    </row>
    <row r="832" ht="15" customHeight="1" s="14">
      <c r="A832" s="24" t="n">
        <v>1342</v>
      </c>
      <c r="B832" s="24" t="inlineStr">
        <is>
          <t>آنتي ميگرن 30 ميل قطره  - گل دارو</t>
        </is>
      </c>
      <c r="C832" s="25">
        <f>IF(COUNTIF('کدهای پیام‌داروساز'!$A$2:$A$2442,A832)&gt;0,"بله","خیر")</f>
        <v/>
      </c>
    </row>
    <row r="833" ht="15" customHeight="1" s="14">
      <c r="A833" s="24" t="n">
        <v>1343</v>
      </c>
      <c r="B833" s="24" t="inlineStr">
        <is>
          <t>پروستاتان 30 م ل  قطره - گل دارو</t>
        </is>
      </c>
      <c r="C833" s="25">
        <f>IF(COUNTIF('کدهای پیام‌داروساز'!$A$2:$A$2442,A833)&gt;0,"بله","خیر")</f>
        <v/>
      </c>
    </row>
    <row r="834" ht="15" customHeight="1" s="14">
      <c r="A834" s="24" t="n">
        <v>1345</v>
      </c>
      <c r="B834" s="24" t="inlineStr">
        <is>
          <t>سنکل  30 م ل قطره - گل دارو</t>
        </is>
      </c>
      <c r="C834" s="25">
        <f>IF(COUNTIF('کدهای پیام‌داروساز'!$A$2:$A$2442,A834)&gt;0,"بله","خیر")</f>
        <v/>
      </c>
    </row>
    <row r="835" ht="15" customHeight="1" s="14">
      <c r="A835" s="24" t="n">
        <v>1354</v>
      </c>
      <c r="B835" s="24" t="inlineStr">
        <is>
          <t>آلودان   تزريقي پرنترال 50 mg/1mL 1 mg - برسيان دارو</t>
        </is>
      </c>
      <c r="C835" s="25">
        <f>IF(COUNTIF('کدهای پیام‌داروساز'!$A$2:$A$2442,A835)&gt;0,"بله","خیر")</f>
        <v/>
      </c>
    </row>
    <row r="836" ht="15" customHeight="1" s="14">
      <c r="A836" s="24" t="n">
        <v>1355</v>
      </c>
      <c r="B836" s="24" t="inlineStr">
        <is>
          <t>آلودان   تزريقي پرنترال 50 mg/1mL 2 mg - برسيان دارو</t>
        </is>
      </c>
      <c r="C836" s="25">
        <f>IF(COUNTIF('کدهای پیام‌داروساز'!$A$2:$A$2442,A836)&gt;0,"بله","خیر")</f>
        <v/>
      </c>
    </row>
    <row r="837" ht="15" customHeight="1" s="14">
      <c r="A837" s="24" t="n">
        <v>1357</v>
      </c>
      <c r="B837" s="24" t="inlineStr">
        <is>
          <t>پنتازوسين   تزريقي پرنترال 30 mg/1mL  mL - داروسازي توليد دارو</t>
        </is>
      </c>
      <c r="C837" s="25">
        <f>IF(COUNTIF('کدهای پیام‌داروساز'!$A$2:$A$2442,A837)&gt;0,"بله","خیر")</f>
        <v/>
      </c>
    </row>
    <row r="838" ht="15" customHeight="1" s="14">
      <c r="A838" s="24" t="n">
        <v>1359</v>
      </c>
      <c r="B838" s="24" t="inlineStr">
        <is>
          <t>تالينات   تزريقي پرنترال 50 ug/1mL 10 - سينا پيشگام دارو نوين</t>
        </is>
      </c>
      <c r="C838" s="25">
        <f>IF(COUNTIF('کدهای پیام‌داروساز'!$A$2:$A$2442,A838)&gt;0,"بله","خیر")</f>
        <v/>
      </c>
    </row>
    <row r="839" ht="15" customHeight="1" s="14">
      <c r="A839" s="24" t="n">
        <v>1365</v>
      </c>
      <c r="B839" s="24" t="inlineStr">
        <is>
          <t>راپيفن   تزريقي پرنترال 0.5 mg/1mL 10 mL - بهستان دارو</t>
        </is>
      </c>
      <c r="C839" s="25">
        <f>IF(COUNTIF('کدهای پیام‌داروساز'!$A$2:$A$2442,A839)&gt;0,"بله","خیر")</f>
        <v/>
      </c>
    </row>
    <row r="840" ht="15" customHeight="1" s="14">
      <c r="A840" s="24" t="n">
        <v>1366</v>
      </c>
      <c r="B840" s="24" t="inlineStr">
        <is>
          <t>سوفنتا   تزريقي پرنترال 5 ug/1mL 10 ug - بهستان دارو</t>
        </is>
      </c>
      <c r="C840" s="25">
        <f>IF(COUNTIF('کدهای پیام‌داروساز'!$A$2:$A$2442,A840)&gt;0,"بله","خیر")</f>
        <v/>
      </c>
    </row>
    <row r="841" ht="15" customHeight="1" s="14">
      <c r="A841" s="24" t="n">
        <v>1369</v>
      </c>
      <c r="B841" s="24" t="inlineStr">
        <is>
          <t>گوگرد   صابون موضعي 10 % 75 g - ساپونين ايران</t>
        </is>
      </c>
      <c r="C841" s="25">
        <f>IF(COUNTIF('کدهای پیام‌داروساز'!$A$2:$A$2442,A841)&gt;0,"بله","خیر")</f>
        <v/>
      </c>
    </row>
    <row r="842" ht="15" customHeight="1" s="14">
      <c r="A842" s="24" t="n">
        <v>1371</v>
      </c>
      <c r="B842" s="24" t="inlineStr">
        <is>
          <t>آ- ويژل   کپسول حاوي مايع خوراکي 50000 [iU] - داروسازي دانا</t>
        </is>
      </c>
      <c r="C842" s="25">
        <f>IF(COUNTIF('کدهای پیام‌داروساز'!$A$2:$A$2442,A842)&gt;0,"بله","خیر")</f>
        <v/>
      </c>
    </row>
    <row r="843" ht="15" customHeight="1" s="14">
      <c r="A843" s="24" t="n">
        <v>1372</v>
      </c>
      <c r="B843" s="24" t="inlineStr">
        <is>
          <t>آ- ويژل   کپسول حاوي مايع خوراکي 25000 [iU] - داروسازي دانا</t>
        </is>
      </c>
      <c r="C843" s="25">
        <f>IF(COUNTIF('کدهای پیام‌داروساز'!$A$2:$A$2442,A843)&gt;0,"بله","خیر")</f>
        <v/>
      </c>
    </row>
    <row r="844" ht="15" customHeight="1" s="14">
      <c r="A844" s="24" t="n">
        <v>1373</v>
      </c>
      <c r="B844" s="24" t="inlineStr">
        <is>
          <t>يوهمبين   قرص خوراکي 2 mg</t>
        </is>
      </c>
      <c r="C844" s="25">
        <f>IF(COUNTIF('کدهای پیام‌داروساز'!$A$2:$A$2442,A844)&gt;0,"بله","خیر")</f>
        <v/>
      </c>
    </row>
    <row r="845" ht="15" customHeight="1" s="14">
      <c r="A845" s="24" t="n">
        <v>1374</v>
      </c>
      <c r="B845" s="24" t="inlineStr">
        <is>
          <t>آفيندامايسين   محلول موضعي 10 mg/1mL 60 mL - ايران آوند فر</t>
        </is>
      </c>
      <c r="C845" s="25">
        <f>IF(COUNTIF('کدهای پیام‌داروساز'!$A$2:$A$2442,A845)&gt;0,"بله","خیر")</f>
        <v/>
      </c>
    </row>
    <row r="846" ht="15" customHeight="1" s="14">
      <c r="A846" s="24" t="n">
        <v>1378</v>
      </c>
      <c r="B846" s="24" t="inlineStr">
        <is>
          <t>آلفنتانيل   تزريقي پرنترال 0.5 mg/1mL 2 mL - کارخانجات دارو پخش</t>
        </is>
      </c>
      <c r="C846" s="25">
        <f>IF(COUNTIF('کدهای پیام‌داروساز'!$A$2:$A$2442,A846)&gt;0,"بله","خیر")</f>
        <v/>
      </c>
    </row>
    <row r="847" ht="15" customHeight="1" s="14">
      <c r="A847" s="24" t="n">
        <v>1381</v>
      </c>
      <c r="B847" s="24" t="inlineStr">
        <is>
          <t>آلفا 30 گرم پماد موضعي - توسعه آلفا</t>
        </is>
      </c>
      <c r="C847" s="25">
        <f>IF(COUNTIF('کدهای پیام‌داروساز'!$A$2:$A$2442,A847)&gt;0,"بله","خیر")</f>
        <v/>
      </c>
    </row>
    <row r="848" ht="15" customHeight="1" s="14">
      <c r="A848" s="24" t="n">
        <v>1382</v>
      </c>
      <c r="B848" s="24" t="inlineStr">
        <is>
          <t>آلپرازولام   قرص خوراکي 1 mg</t>
        </is>
      </c>
      <c r="C848" s="25">
        <f>IF(COUNTIF('کدهای پیام‌داروساز'!$A$2:$A$2442,A848)&gt;0,"بله","خیر")</f>
        <v/>
      </c>
    </row>
    <row r="849" ht="15" customHeight="1" s="14">
      <c r="A849" s="24" t="n">
        <v>1388</v>
      </c>
      <c r="B849" s="24" t="inlineStr">
        <is>
          <t>آميل نيتريت   اينهالر استنشاقي 0.3 mL 0.3 [Amb'a'1'U] - فوريتهاي سينا آرات گستر</t>
        </is>
      </c>
      <c r="C849" s="25">
        <f>IF(COUNTIF('کدهای پیام‌داروساز'!$A$2:$A$2442,A849)&gt;0,"بله","خیر")</f>
        <v/>
      </c>
    </row>
    <row r="850" ht="15" customHeight="1" s="14">
      <c r="A850" s="24" t="n">
        <v>1389</v>
      </c>
      <c r="B850" s="24" t="inlineStr">
        <is>
          <t>آنتوم قرص -  ايران داروک</t>
        </is>
      </c>
      <c r="C850" s="25">
        <f>IF(COUNTIF('کدهای پیام‌داروساز'!$A$2:$A$2442,A850)&gt;0,"بله","خیر")</f>
        <v/>
      </c>
    </row>
    <row r="851" ht="15" customHeight="1" s="14">
      <c r="A851" s="24" t="n">
        <v>1392</v>
      </c>
      <c r="B851" s="24" t="inlineStr">
        <is>
          <t>اسکوفب   تزريقي پرنترال  5 mL - پادرا سرم البرز</t>
        </is>
      </c>
      <c r="C851" s="25">
        <f>IF(COUNTIF('کدهای پیام‌داروساز'!$A$2:$A$2442,A851)&gt;0,"بله","خیر")</f>
        <v/>
      </c>
    </row>
    <row r="852" ht="15" customHeight="1" s="14">
      <c r="A852" s="24" t="n">
        <v>1393</v>
      </c>
      <c r="B852" s="24" t="inlineStr">
        <is>
          <t>اسنافب 5   تزريقي پرنترال  10 mL - پادرا سرم البرز</t>
        </is>
      </c>
      <c r="C852" s="25">
        <f>IF(COUNTIF('کدهای پیام‌داروساز'!$A$2:$A$2442,A852)&gt;0,"بله","خیر")</f>
        <v/>
      </c>
    </row>
    <row r="853" ht="15" customHeight="1" s="14">
      <c r="A853" s="24" t="n">
        <v>1395</v>
      </c>
      <c r="B853" s="24" t="inlineStr">
        <is>
          <t>آ اس آ   قرص انتريک کوتد خوراکي 80 mg</t>
        </is>
      </c>
      <c r="C853" s="25">
        <f>IF(COUNTIF('کدهای پیام‌داروساز'!$A$2:$A$2442,A853)&gt;0,"بله","خیر")</f>
        <v/>
      </c>
    </row>
    <row r="854" ht="15" customHeight="1" s="14">
      <c r="A854" s="24" t="n">
        <v>1400</v>
      </c>
      <c r="B854" s="24" t="inlineStr">
        <is>
          <t>زيتروماکس 300 ( آزيترومايسين ) سوسپانسيون - فايزر</t>
        </is>
      </c>
      <c r="C854" s="25">
        <f>IF(COUNTIF('کدهای پیام‌داروساز'!$A$2:$A$2442,A854)&gt;0,"بله","خیر")</f>
        <v/>
      </c>
    </row>
    <row r="855" ht="15" customHeight="1" s="14">
      <c r="A855" s="24" t="n">
        <v>1402</v>
      </c>
      <c r="B855" s="24" t="inlineStr">
        <is>
          <t>ب ث ژ   سوسپانسيون تزريقي داخل مثانه اي  3 mL - انستيتو پاستور ايران</t>
        </is>
      </c>
      <c r="C855" s="25">
        <f>IF(COUNTIF('کدهای پیام‌داروساز'!$A$2:$A$2442,A855)&gt;0,"بله","خیر")</f>
        <v/>
      </c>
    </row>
    <row r="856" ht="15" customHeight="1" s="14">
      <c r="A856" s="24" t="n">
        <v>1403</v>
      </c>
      <c r="B856" s="24" t="inlineStr">
        <is>
          <t>واکسن  ب ث ژ   پودر لئوفيليزه براي تهيه سوسپانسيون تزريقي پرکوتانئوس 1.5 mg  mg - انستيتو پاستور ايران</t>
        </is>
      </c>
      <c r="C856" s="25">
        <f>IF(COUNTIF('کدهای پیام‌داروساز'!$A$2:$A$2442,A856)&gt;0,"بله","خیر")</f>
        <v/>
      </c>
    </row>
    <row r="857" ht="15" customHeight="1" s="14">
      <c r="A857" s="24" t="n">
        <v>1405</v>
      </c>
      <c r="B857" s="24" t="inlineStr">
        <is>
          <t>دي بي نازال کورت (بکلومتازون) 0.05 درصد 200 پاف 20 م ل اسپري بيني - دنياي بهداشت</t>
        </is>
      </c>
      <c r="C857" s="25">
        <f>IF(COUNTIF('کدهای پیام‌داروساز'!$A$2:$A$2442,A857)&gt;0,"بله","خیر")</f>
        <v/>
      </c>
    </row>
    <row r="858" ht="15" customHeight="1" s="14">
      <c r="A858" s="24" t="n">
        <v>1406</v>
      </c>
      <c r="B858" s="24" t="inlineStr">
        <is>
          <t>بنزيدآمين   دهانشويه جهت شستشو 0.15 % 120 mL - زاگرس بهداشت درمان دارو آفرند</t>
        </is>
      </c>
      <c r="C858" s="25">
        <f>IF(COUNTIF('کدهای پیام‌داروساز'!$A$2:$A$2442,A858)&gt;0,"بله","خیر")</f>
        <v/>
      </c>
    </row>
    <row r="859" ht="15" customHeight="1" s="14">
      <c r="A859" s="24" t="n">
        <v>1410</v>
      </c>
      <c r="B859" s="24" t="inlineStr">
        <is>
          <t>بي پريدن   قرص پيوسته رهش خوراکي 4 mg - لابراتوارهاي شهردارو</t>
        </is>
      </c>
      <c r="C859" s="25">
        <f>IF(COUNTIF('کدهای پیام‌داروساز'!$A$2:$A$2442,A859)&gt;0,"بله","خیر")</f>
        <v/>
      </c>
    </row>
    <row r="860" ht="15" customHeight="1" s="14">
      <c r="A860" s="24" t="n">
        <v>1413</v>
      </c>
      <c r="B860" s="24" t="inlineStr">
        <is>
          <t>بوپيواکائين   تزريقي داخل نخاعي 0.5 % 4 mL - نوآوران فخر دارو</t>
        </is>
      </c>
      <c r="C860" s="25">
        <f>IF(COUNTIF('کدهای پیام‌داروساز'!$A$2:$A$2442,A860)&gt;0,"بله","خیر")</f>
        <v/>
      </c>
    </row>
    <row r="861" ht="15" customHeight="1" s="14">
      <c r="A861" s="24" t="n">
        <v>1414</v>
      </c>
      <c r="B861" s="24" t="inlineStr">
        <is>
          <t>بوپرنورفين داروپخش   تزريقي پرنترال 0.3 mg/1mL  mL - کارخانجات دارو پخش</t>
        </is>
      </c>
      <c r="C861" s="25">
        <f>IF(COUNTIF('کدهای پیام‌داروساز'!$A$2:$A$2442,A861)&gt;0,"بله","خیر")</f>
        <v/>
      </c>
    </row>
    <row r="862" ht="15" customHeight="1" s="14">
      <c r="A862" s="24" t="n">
        <v>1415</v>
      </c>
      <c r="B862" s="24" t="inlineStr">
        <is>
          <t>نازوکلسين 100 (کلسي تونين) اسپري-سينادارو</t>
        </is>
      </c>
      <c r="C862" s="25">
        <f>IF(COUNTIF('کدهای پیام‌داروساز'!$A$2:$A$2442,A862)&gt;0,"بله","خیر")</f>
        <v/>
      </c>
    </row>
    <row r="863" ht="15" customHeight="1" s="14">
      <c r="A863" s="24" t="n">
        <v>1420</v>
      </c>
      <c r="B863" s="24" t="inlineStr">
        <is>
          <t>تگاتارد   قرص پيوسته رهش خوراکي 400 mg</t>
        </is>
      </c>
      <c r="C863" s="25">
        <f>IF(COUNTIF('کدهای پیام‌داروساز'!$A$2:$A$2442,A863)&gt;0,"بله","خیر")</f>
        <v/>
      </c>
    </row>
    <row r="864" ht="15" customHeight="1" s="14">
      <c r="A864" s="24" t="n">
        <v>1424</v>
      </c>
      <c r="B864" s="24" t="inlineStr">
        <is>
          <t>آپو-ستيريزين   قرص خوراکي 10 mg - رستا ايمن دارو</t>
        </is>
      </c>
      <c r="C864" s="25">
        <f>IF(COUNTIF('کدهای پیام‌داروساز'!$A$2:$A$2442,A864)&gt;0,"بله","خیر")</f>
        <v/>
      </c>
    </row>
    <row r="865" ht="15" customHeight="1" s="14">
      <c r="A865" s="24" t="n">
        <v>1425</v>
      </c>
      <c r="B865" s="24" t="inlineStr">
        <is>
          <t>بيوکربن   قرص خوراکي 250 mg - کيميا گستر صبا</t>
        </is>
      </c>
      <c r="C865" s="25">
        <f>IF(COUNTIF('کدهای پیام‌داروساز'!$A$2:$A$2442,A865)&gt;0,"بله","خیر")</f>
        <v/>
      </c>
    </row>
    <row r="866" ht="15" customHeight="1" s="14">
      <c r="A866" s="24" t="n">
        <v>1427</v>
      </c>
      <c r="B866" s="24" t="inlineStr">
        <is>
          <t>نوريت کربوميکس   پودر براي تهيه سوسپانسيون   خوراکي 50 g  g - بهار نگين توسعه</t>
        </is>
      </c>
      <c r="C866" s="25">
        <f>IF(COUNTIF('کدهای پیام‌داروساز'!$A$2:$A$2442,A866)&gt;0,"بله","خیر")</f>
        <v/>
      </c>
    </row>
    <row r="867" ht="15" customHeight="1" s="14">
      <c r="A867" s="24" t="n">
        <v>1435</v>
      </c>
      <c r="B867" s="24" t="inlineStr">
        <is>
          <t>داتيسين (کليندامايسين) شربت 80ML- تهران شيمي</t>
        </is>
      </c>
      <c r="C867" s="25">
        <f>IF(COUNTIF('کدهای پیام‌داروساز'!$A$2:$A$2442,A867)&gt;0,"بله","خیر")</f>
        <v/>
      </c>
    </row>
    <row r="868" ht="15" customHeight="1" s="14">
      <c r="A868" s="24" t="n">
        <v>1436</v>
      </c>
      <c r="B868" s="24" t="inlineStr">
        <is>
          <t>کلوفازمين   کپسول خوراکي 100 mg - ماه داروي حکيم</t>
        </is>
      </c>
      <c r="C868" s="25">
        <f>IF(COUNTIF('کدهای پیام‌داروساز'!$A$2:$A$2442,A868)&gt;0,"بله","خیر")</f>
        <v/>
      </c>
    </row>
    <row r="869" ht="15" customHeight="1" s="14">
      <c r="A869" s="24" t="n">
        <v>1437</v>
      </c>
      <c r="B869" s="24" t="inlineStr">
        <is>
          <t>کلبريکس   کپسول خوراکي 50 mg - دارو اثرت گستر</t>
        </is>
      </c>
      <c r="C869" s="25">
        <f>IF(COUNTIF('کدهای پیام‌داروساز'!$A$2:$A$2442,A869)&gt;0,"بله","خیر")</f>
        <v/>
      </c>
    </row>
    <row r="870" ht="15" customHeight="1" s="14">
      <c r="A870" s="24" t="n">
        <v>1438</v>
      </c>
      <c r="B870" s="24" t="inlineStr">
        <is>
          <t>آبنيل 50 (کلوميپرامين ) قرص - امين</t>
        </is>
      </c>
      <c r="C870" s="25">
        <f>IF(COUNTIF('کدهای پیام‌داروساز'!$A$2:$A$2442,A870)&gt;0,"بله","خیر")</f>
        <v/>
      </c>
    </row>
    <row r="871" ht="15" customHeight="1" s="14">
      <c r="A871" s="24" t="n">
        <v>1439</v>
      </c>
      <c r="B871" s="24" t="inlineStr">
        <is>
          <t>آبنيل75(کلوميپرامين)قرص - امين</t>
        </is>
      </c>
      <c r="C871" s="25">
        <f>IF(COUNTIF('کدهای پیام‌داروساز'!$A$2:$A$2442,A871)&gt;0,"بله","خیر")</f>
        <v/>
      </c>
    </row>
    <row r="872" ht="15" customHeight="1" s="14">
      <c r="A872" s="24" t="n">
        <v>1440</v>
      </c>
      <c r="B872" s="24" t="inlineStr">
        <is>
          <t>آمبي کلاو   پودر براي تهيه سوسپانسيون   خوراکي 250 mg/62.5 mg/5mL 100 mL</t>
        </is>
      </c>
      <c r="C872" s="25">
        <f>IF(COUNTIF('کدهای پیام‌داروساز'!$A$2:$A$2442,A872)&gt;0,"بله","خیر")</f>
        <v/>
      </c>
    </row>
    <row r="873" ht="15" customHeight="1" s="14">
      <c r="A873" s="24" t="n">
        <v>1442</v>
      </c>
      <c r="B873" s="24" t="inlineStr">
        <is>
          <t>دايسينل   قرص خوراکي 0.15 mg/20 ug</t>
        </is>
      </c>
      <c r="C873" s="25">
        <f>IF(COUNTIF('کدهای پیام‌داروساز'!$A$2:$A$2442,A873)&gt;0,"بله","خیر")</f>
        <v/>
      </c>
    </row>
    <row r="874" ht="15" customHeight="1" s="14">
      <c r="A874" s="24" t="n">
        <v>1449</v>
      </c>
      <c r="B874" s="24" t="inlineStr">
        <is>
          <t>لومودال   اينهالر استنشاقي 1 mg/1{dose} 120 {dose} - گسترش بازرگاني دارو پخش</t>
        </is>
      </c>
      <c r="C874" s="25">
        <f>IF(COUNTIF('کدهای پیام‌داروساز'!$A$2:$A$2442,A874)&gt;0,"بله","خیر")</f>
        <v/>
      </c>
    </row>
    <row r="875" ht="15" customHeight="1" s="14">
      <c r="A875" s="24" t="n">
        <v>1452</v>
      </c>
      <c r="B875" s="24" t="inlineStr">
        <is>
          <t>سانديمون   محلول تزريقي داخل وريدي 50 mg/1mL 1 mg - رايان دارو ايرانيان</t>
        </is>
      </c>
      <c r="C875" s="25">
        <f>IF(COUNTIF('کدهای پیام‌داروساز'!$A$2:$A$2442,A875)&gt;0,"بله","خیر")</f>
        <v/>
      </c>
    </row>
    <row r="876" ht="15" customHeight="1" s="14">
      <c r="A876" s="24" t="n">
        <v>1453</v>
      </c>
      <c r="B876" s="24" t="inlineStr">
        <is>
          <t>سيستئامد   کپسول خوراکي 150 mg - داروسازي مداوا</t>
        </is>
      </c>
      <c r="C876" s="25">
        <f>IF(COUNTIF('کدهای پیام‌داروساز'!$A$2:$A$2442,A876)&gt;0,"بله","خیر")</f>
        <v/>
      </c>
    </row>
    <row r="877" ht="15" customHeight="1" s="14">
      <c r="A877" s="24" t="n">
        <v>1454</v>
      </c>
      <c r="B877" s="24" t="inlineStr">
        <is>
          <t>سيتارين   پودر براي تهيه محلول تزريقي پرنترال 1 g  g - آريا طب آذر</t>
        </is>
      </c>
      <c r="C877" s="25">
        <f>IF(COUNTIF('کدهای پیام‌داروساز'!$A$2:$A$2442,A877)&gt;0,"بله","خیر")</f>
        <v/>
      </c>
    </row>
    <row r="878" ht="15" customHeight="1" s="14">
      <c r="A878" s="24" t="n">
        <v>1456</v>
      </c>
      <c r="B878" s="24" t="inlineStr">
        <is>
          <t>داپسون اسکن فارم   قرص خوراکي 50 mg - نسيم دارو سلامت</t>
        </is>
      </c>
      <c r="C878" s="25">
        <f>IF(COUNTIF('کدهای پیام‌داروساز'!$A$2:$A$2442,A878)&gt;0,"بله","خیر")</f>
        <v/>
      </c>
    </row>
    <row r="879" ht="15" customHeight="1" s="14">
      <c r="A879" s="24" t="n">
        <v>1460</v>
      </c>
      <c r="B879" s="24" t="inlineStr">
        <is>
          <t>ديازپام 5   انما مقعدي 5 mg</t>
        </is>
      </c>
      <c r="C879" s="25">
        <f>IF(COUNTIF('کدهای پیام‌داروساز'!$A$2:$A$2442,A879)&gt;0,"بله","خیر")</f>
        <v/>
      </c>
    </row>
    <row r="880" ht="15" customHeight="1" s="14">
      <c r="A880" s="24" t="n">
        <v>1461</v>
      </c>
      <c r="B880" s="24" t="inlineStr">
        <is>
          <t>ديازپام دستين   شياف مقعدي 10 mg  mg - مهبان دارو گستر پارس</t>
        </is>
      </c>
      <c r="C880" s="25">
        <f>IF(COUNTIF('کدهای پیام‌داروساز'!$A$2:$A$2442,A880)&gt;0,"بله","خیر")</f>
        <v/>
      </c>
    </row>
    <row r="881" ht="15" customHeight="1" s="14">
      <c r="A881" s="24" t="n">
        <v>1462</v>
      </c>
      <c r="B881" s="24" t="inlineStr">
        <is>
          <t>ديازپام-عبيدي   محلول خوراکي 2 mg/5 mL 60 mL - داروسازي دکتر عبيدي</t>
        </is>
      </c>
      <c r="C881" s="25">
        <f>IF(COUNTIF('کدهای پیام‌داروساز'!$A$2:$A$2442,A881)&gt;0,"بله","خیر")</f>
        <v/>
      </c>
    </row>
    <row r="882" ht="15" customHeight="1" s="14">
      <c r="A882" s="24" t="n">
        <v>1463</v>
      </c>
      <c r="B882" s="24" t="inlineStr">
        <is>
          <t>اودمين   کپسول خوراکي 50 mg  mg - شفا گستر تسنيم</t>
        </is>
      </c>
      <c r="C882" s="25">
        <f>IF(COUNTIF('کدهای پیام‌داروساز'!$A$2:$A$2442,A882)&gt;0,"بله","خیر")</f>
        <v/>
      </c>
    </row>
    <row r="883" ht="15" customHeight="1" s="14">
      <c r="A883" s="24" t="n">
        <v>1464</v>
      </c>
      <c r="B883" s="24" t="inlineStr">
        <is>
          <t>آلفن-ايکس ال 100 قرص - البرز دارو</t>
        </is>
      </c>
      <c r="C883" s="25">
        <f>IF(COUNTIF('کدهای پیام‌داروساز'!$A$2:$A$2442,A883)&gt;0,"بله","خیر")</f>
        <v/>
      </c>
    </row>
    <row r="884" ht="15" customHeight="1" s="14">
      <c r="A884" s="24" t="n">
        <v>1472</v>
      </c>
      <c r="B884" s="24" t="inlineStr">
        <is>
          <t>ديلتيازم   قرص پيوسته رهش خوراکي 120 mg - پويش دارو گستر برتر فارس</t>
        </is>
      </c>
      <c r="C884" s="25">
        <f>IF(COUNTIF('کدهای پیام‌داروساز'!$A$2:$A$2442,A884)&gt;0,"بله","خیر")</f>
        <v/>
      </c>
    </row>
    <row r="885" ht="15" customHeight="1" s="14">
      <c r="A885" s="24" t="n">
        <v>1474</v>
      </c>
      <c r="B885" s="24" t="inlineStr">
        <is>
          <t>دي تي پي   سوسپانسيون تزريقي پرنترال 10 {dose} 5 {dose} - دارو درمان آرنگ</t>
        </is>
      </c>
      <c r="C885" s="25">
        <f>IF(COUNTIF('کدهای پیام‌داروساز'!$A$2:$A$2442,A885)&gt;0,"بله","خیر")</f>
        <v/>
      </c>
    </row>
    <row r="886" ht="15" customHeight="1" s="14">
      <c r="A886" s="24" t="n">
        <v>1485</v>
      </c>
      <c r="B886" s="24" t="inlineStr">
        <is>
          <t>ادتات کلسيم دي سديم   تزريقي پرنترال 50 mg/1mL 10 mL - دارويي پرسون بام بين الملل</t>
        </is>
      </c>
      <c r="C886" s="25">
        <f>IF(COUNTIF('کدهای پیام‌داروساز'!$A$2:$A$2442,A886)&gt;0,"بله","خیر")</f>
        <v/>
      </c>
    </row>
    <row r="887" ht="15" customHeight="1" s="14">
      <c r="A887" s="24" t="n">
        <v>1489</v>
      </c>
      <c r="B887" s="24" t="inlineStr">
        <is>
          <t>اپي نفرين 1 م گ / 1 م ل  آمپول - داروپخش</t>
        </is>
      </c>
      <c r="C887" s="25">
        <f>IF(COUNTIF('کدهای پیام‌داروساز'!$A$2:$A$2442,A887)&gt;0,"بله","خیر")</f>
        <v/>
      </c>
    </row>
    <row r="888" ht="15" customHeight="1" s="14">
      <c r="A888" s="24" t="n">
        <v>1491</v>
      </c>
      <c r="B888" s="24" t="inlineStr">
        <is>
          <t>اريترومايسين 2% ژل موضعي 30 گرم - کيش مديفارم</t>
        </is>
      </c>
      <c r="C888" s="25">
        <f>IF(COUNTIF('کدهای پیام‌داروساز'!$A$2:$A$2442,A888)&gt;0,"بله","خیر")</f>
        <v/>
      </c>
    </row>
    <row r="889" ht="15" customHeight="1" s="14">
      <c r="A889" s="24" t="n">
        <v>1492</v>
      </c>
      <c r="B889" s="24" t="inlineStr">
        <is>
          <t>اريترومايسين   محلول موضعي 2 % 60 mL - کيمياکالاي رازي</t>
        </is>
      </c>
      <c r="C889" s="25">
        <f>IF(COUNTIF('کدهای پیام‌داروساز'!$A$2:$A$2442,A889)&gt;0,"بله","خیر")</f>
        <v/>
      </c>
    </row>
    <row r="890" ht="15" customHeight="1" s="14">
      <c r="A890" s="24" t="n">
        <v>1494</v>
      </c>
      <c r="B890" s="24" t="inlineStr">
        <is>
          <t>اسمولول   محلول غليظ تزريقي پرنترال 250 mg/1mL 10 g - عرفان طب پارس</t>
        </is>
      </c>
      <c r="C890" s="25">
        <f>IF(COUNTIF('کدهای پیام‌داروساز'!$A$2:$A$2442,A890)&gt;0,"بله","خیر")</f>
        <v/>
      </c>
    </row>
    <row r="891" ht="15" customHeight="1" s="14">
      <c r="A891" s="24" t="n">
        <v>1499</v>
      </c>
      <c r="B891" s="24" t="inlineStr">
        <is>
          <t>ليپيودول   تزريقي پرنترال 480 mg/1mL 10 mg - پويش دارو گستر برتر فارس</t>
        </is>
      </c>
      <c r="C891" s="25">
        <f>IF(COUNTIF('کدهای پیام‌داروساز'!$A$2:$A$2442,A891)&gt;0,"بله","خیر")</f>
        <v/>
      </c>
    </row>
    <row r="892" ht="15" customHeight="1" s="14">
      <c r="A892" s="24" t="n">
        <v>1501</v>
      </c>
      <c r="B892" s="24" t="inlineStr">
        <is>
          <t>اتوميداتو   تزريقي پرنترال 2 mg/1mL 10 mL - پويش دارو گستر برتر فارس</t>
        </is>
      </c>
      <c r="C892" s="25">
        <f>IF(COUNTIF('کدهای پیام‌داروساز'!$A$2:$A$2442,A892)&gt;0,"بله","خیر")</f>
        <v/>
      </c>
    </row>
    <row r="893" ht="15" customHeight="1" s="14">
      <c r="A893" s="24" t="n">
        <v>1506</v>
      </c>
      <c r="B893" s="24" t="inlineStr">
        <is>
          <t>فربولين شربت (فروس سولفات) 60 م ل - شهردارو</t>
        </is>
      </c>
      <c r="C893" s="25">
        <f>IF(COUNTIF('کدهای پیام‌داروساز'!$A$2:$A$2442,A893)&gt;0,"بله","خیر")</f>
        <v/>
      </c>
    </row>
    <row r="894" ht="15" customHeight="1" s="14">
      <c r="A894" s="24" t="n">
        <v>1512</v>
      </c>
      <c r="B894" s="24" t="inlineStr">
        <is>
          <t>فلوزيرن   کپسول خوراکي 10 mg - داروسازي و مکملهاي غذايي حياتي کارن</t>
        </is>
      </c>
      <c r="C894" s="25">
        <f>IF(COUNTIF('کدهای پیام‌داروساز'!$A$2:$A$2442,A894)&gt;0,"بله","خیر")</f>
        <v/>
      </c>
    </row>
    <row r="895" ht="15" customHeight="1" s="14">
      <c r="A895" s="24" t="n">
        <v>1520</v>
      </c>
      <c r="B895" s="24" t="inlineStr">
        <is>
          <t>جم فيبروزيل    قرص خوراکي 450 mg</t>
        </is>
      </c>
      <c r="C895" s="25">
        <f>IF(COUNTIF('کدهای پیام‌داروساز'!$A$2:$A$2442,A895)&gt;0,"بله","خیر")</f>
        <v/>
      </c>
    </row>
    <row r="896" ht="15" customHeight="1" s="14">
      <c r="A896" s="24" t="n">
        <v>1523</v>
      </c>
      <c r="B896" s="24" t="inlineStr">
        <is>
          <t>آني کلاز   قرص خوراکي 80 mg - داروسازي آني درمان</t>
        </is>
      </c>
      <c r="C896" s="25">
        <f>IF(COUNTIF('کدهای پیام‌داروساز'!$A$2:$A$2442,A896)&gt;0,"بله","خیر")</f>
        <v/>
      </c>
    </row>
    <row r="897" ht="15" customHeight="1" s="14">
      <c r="A897" s="24" t="n">
        <v>1530</v>
      </c>
      <c r="B897" s="24" t="inlineStr">
        <is>
          <t>هپاتيت بي ايمونوگلوبولين   تزريقي پرنترال 200 [iU]/1mL 1 [iU] - بازرگاني سها کيش</t>
        </is>
      </c>
      <c r="C897" s="25">
        <f>IF(COUNTIF('کدهای پیام‌داروساز'!$A$2:$A$2442,A897)&gt;0,"بله","خیر")</f>
        <v/>
      </c>
    </row>
    <row r="898" ht="15" customHeight="1" s="14">
      <c r="A898" s="24" t="n">
        <v>1537</v>
      </c>
      <c r="B898" s="24" t="inlineStr">
        <is>
          <t>زاودوز   پودر لئوفيليزه براي تهيه محلول تزريقي پرنترال 5 mg  mg - بهستان دارو</t>
        </is>
      </c>
      <c r="C898" s="25">
        <f>IF(COUNTIF('کدهای پیام‌داروساز'!$A$2:$A$2442,A898)&gt;0,"بله","خیر")</f>
        <v/>
      </c>
    </row>
    <row r="899" ht="15" customHeight="1" s="14">
      <c r="A899" s="24" t="n">
        <v>1538</v>
      </c>
      <c r="B899" s="24" t="inlineStr">
        <is>
          <t>ايداروب   پودر لئوفيليزه براي تهيه محلول تزريقي پرنترال 10 mg  mg - رايان دارو ايرانيان</t>
        </is>
      </c>
      <c r="C899" s="25">
        <f>IF(COUNTIF('کدهای پیام‌داروساز'!$A$2:$A$2442,A899)&gt;0,"بله","خیر")</f>
        <v/>
      </c>
    </row>
    <row r="900" ht="15" customHeight="1" s="14">
      <c r="A900" s="24" t="n">
        <v>1544</v>
      </c>
      <c r="B900" s="24" t="inlineStr">
        <is>
          <t>انسولايف 70/30   تزريقي پرنترال 70 %/30 % 10 [iU]</t>
        </is>
      </c>
      <c r="C900" s="25">
        <f>IF(COUNTIF('کدهای پیام‌داروساز'!$A$2:$A$2442,A900)&gt;0,"بله","خیر")</f>
        <v/>
      </c>
    </row>
    <row r="901" ht="15" customHeight="1" s="14">
      <c r="A901" s="24" t="n">
        <v>1545</v>
      </c>
      <c r="B901" s="24" t="inlineStr">
        <is>
          <t>پي دي فرون   تزريقي پرنترال 3000000 U 1 [iU] - فرآورده هاي پويش دارو</t>
        </is>
      </c>
      <c r="C901" s="25">
        <f>IF(COUNTIF('کدهای پیام‌داروساز'!$A$2:$A$2442,A901)&gt;0,"بله","خیر")</f>
        <v/>
      </c>
    </row>
    <row r="902" ht="15" customHeight="1" s="14">
      <c r="A902" s="24" t="n">
        <v>1550</v>
      </c>
      <c r="B902" s="24" t="inlineStr">
        <is>
          <t>آيوپک   تزريقي پرنترال 350 mg/1mL 20 mL - کارخانجات دارو پخش</t>
        </is>
      </c>
      <c r="C902" s="25">
        <f>IF(COUNTIF('کدهای پیام‌داروساز'!$A$2:$A$2442,A902)&gt;0,"بله","خیر")</f>
        <v/>
      </c>
    </row>
    <row r="903" ht="15" customHeight="1" s="14">
      <c r="A903" s="24" t="n">
        <v>1558</v>
      </c>
      <c r="B903" s="24" t="inlineStr">
        <is>
          <t>آلودرينا   تزريقي پرنترال 0.2 mg/1mL  mg - تامين آوا سلامت</t>
        </is>
      </c>
      <c r="C903" s="25">
        <f>IF(COUNTIF('کدهای پیام‌داروساز'!$A$2:$A$2442,A903)&gt;0,"بله","خیر")</f>
        <v/>
      </c>
    </row>
    <row r="904" ht="15" customHeight="1" s="14">
      <c r="A904" s="24" t="n">
        <v>1563</v>
      </c>
      <c r="B904" s="24" t="inlineStr">
        <is>
          <t>ساپو-کتوکونازول 2درصد 100 م ل شامپو-ساپونين</t>
        </is>
      </c>
      <c r="C904" s="25">
        <f>IF(COUNTIF('کدهای پیام‌داروساز'!$A$2:$A$2442,A904)&gt;0,"بله","خیر")</f>
        <v/>
      </c>
    </row>
    <row r="905" ht="15" customHeight="1" s="14">
      <c r="A905" s="24" t="n">
        <v>1565</v>
      </c>
      <c r="B905" s="24" t="inlineStr">
        <is>
          <t>لاکتولوز   پودر براي تهيه محلول خوراکي 10 g  g - کارخانجات دارو پخش</t>
        </is>
      </c>
      <c r="C905" s="25">
        <f>IF(COUNTIF('کدهای پیام‌داروساز'!$A$2:$A$2442,A905)&gt;0,"بله","خیر")</f>
        <v/>
      </c>
    </row>
    <row r="906" ht="15" customHeight="1" s="14">
      <c r="A906" s="24" t="n">
        <v>1573</v>
      </c>
      <c r="B906" s="24" t="inlineStr">
        <is>
          <t>ليدوکائين   تزريقي پرنترال 1 % 5 mL - داروسازي اکسير</t>
        </is>
      </c>
      <c r="C906" s="25">
        <f>IF(COUNTIF('کدهای پیام‌داروساز'!$A$2:$A$2442,A906)&gt;0,"بله","خیر")</f>
        <v/>
      </c>
    </row>
    <row r="907" ht="15" customHeight="1" s="14">
      <c r="A907" s="24" t="n">
        <v>1574</v>
      </c>
      <c r="B907" s="24" t="inlineStr">
        <is>
          <t>لوديمين   قرص خوراکي 10 mg - داروسازي تهران شيمي</t>
        </is>
      </c>
      <c r="C907" s="25">
        <f>IF(COUNTIF('کدهای پیام‌داروساز'!$A$2:$A$2442,A907)&gt;0,"بله","خیر")</f>
        <v/>
      </c>
    </row>
    <row r="908" ht="15" customHeight="1" s="14">
      <c r="A908" s="24" t="n">
        <v>1575</v>
      </c>
      <c r="B908" s="24" t="inlineStr">
        <is>
          <t>لورازپام 2 ميلي گرم / 1 ميلي ليتر</t>
        </is>
      </c>
      <c r="C908" s="25">
        <f>IF(COUNTIF('کدهای پیام‌داروساز'!$A$2:$A$2442,A908)&gt;0,"بله","خیر")</f>
        <v/>
      </c>
    </row>
    <row r="909" ht="15" customHeight="1" s="14">
      <c r="A909" s="24" t="n">
        <v>1576</v>
      </c>
      <c r="B909" s="24" t="inlineStr">
        <is>
          <t>لورازپام 4 ميلي گرم / 1 ميلي ليتر</t>
        </is>
      </c>
      <c r="C909" s="25">
        <f>IF(COUNTIF('کدهای پیام‌داروساز'!$A$2:$A$2442,A909)&gt;0,"بله","خیر")</f>
        <v/>
      </c>
    </row>
    <row r="910" ht="15" customHeight="1" s="14">
      <c r="A910" s="24" t="n">
        <v>1578</v>
      </c>
      <c r="B910" s="24" t="inlineStr">
        <is>
          <t>واکسن سرخک/اوريون/سرخجه   پودر لئوفيليزه براي تهيه محلول تزريقي پرنترال 10 {dose}  {dose} - اوين دارو</t>
        </is>
      </c>
      <c r="C910" s="25">
        <f>IF(COUNTIF('کدهای پیام‌داروساز'!$A$2:$A$2442,A910)&gt;0,"بله","خیر")</f>
        <v/>
      </c>
    </row>
    <row r="911" ht="15" customHeight="1" s="14">
      <c r="A911" s="24" t="n">
        <v>1582</v>
      </c>
      <c r="B911" s="24" t="inlineStr">
        <is>
          <t>برندوکر   قرص خوراکي 20 mg - داروسازي ابوريحان</t>
        </is>
      </c>
      <c r="C911" s="25">
        <f>IF(COUNTIF('کدهای پیام‌داروساز'!$A$2:$A$2442,A911)&gt;0,"بله","خیر")</f>
        <v/>
      </c>
    </row>
    <row r="912" ht="15" customHeight="1" s="14">
      <c r="A912" s="24" t="n">
        <v>1589</v>
      </c>
      <c r="B912" s="24" t="inlineStr">
        <is>
          <t>متيبلو   تزريقي پرنترال 10 mg/1mL 10 mg - سينا پيشگام دارو نوين</t>
        </is>
      </c>
      <c r="C912" s="25">
        <f>IF(COUNTIF('کدهای پیام‌داروساز'!$A$2:$A$2442,A912)&gt;0,"بله","خیر")</f>
        <v/>
      </c>
    </row>
    <row r="913" ht="15" customHeight="1" s="14">
      <c r="A913" s="24" t="n">
        <v>1590</v>
      </c>
      <c r="B913" s="24" t="inlineStr">
        <is>
          <t>مترونيدازول   ژل موضعي 0.75 % 30 g - پارس دارو</t>
        </is>
      </c>
      <c r="C913" s="25">
        <f>IF(COUNTIF('کدهای پیام‌داروساز'!$A$2:$A$2442,A913)&gt;0,"بله","خیر")</f>
        <v/>
      </c>
    </row>
    <row r="914" ht="15" customHeight="1" s="14">
      <c r="A914" s="24" t="n">
        <v>1591</v>
      </c>
      <c r="B914" s="24" t="inlineStr">
        <is>
          <t>زودالم   تزريقي پرنترال 5 mg/1mL 3 mL - داروسازي کاسپين تأمين</t>
        </is>
      </c>
      <c r="C914" s="25">
        <f>IF(COUNTIF('کدهای پیام‌داروساز'!$A$2:$A$2442,A914)&gt;0,"بله","خیر")</f>
        <v/>
      </c>
    </row>
    <row r="915" ht="15" customHeight="1" s="14">
      <c r="A915" s="24" t="n">
        <v>1595</v>
      </c>
      <c r="B915" s="24" t="inlineStr">
        <is>
          <t>اوروريکس   قرص خوراکي 150 mg - تامين آوا سلامت</t>
        </is>
      </c>
      <c r="C915" s="25">
        <f>IF(COUNTIF('کدهای پیام‌داروساز'!$A$2:$A$2442,A915)&gt;0,"بله","خیر")</f>
        <v/>
      </c>
    </row>
    <row r="916" ht="15" customHeight="1" s="14">
      <c r="A916" s="24" t="n">
        <v>1600</v>
      </c>
      <c r="B916" s="24" t="inlineStr">
        <is>
          <t>مرفين   تزريقي پرنترال 10 mg/1mL  mL - کارخانجات دارو پخش</t>
        </is>
      </c>
      <c r="C916" s="25">
        <f>IF(COUNTIF('کدهای پیام‌داروساز'!$A$2:$A$2442,A916)&gt;0,"بله","خیر")</f>
        <v/>
      </c>
    </row>
    <row r="917" ht="15" customHeight="1" s="14">
      <c r="A917" s="24" t="n">
        <v>1604</v>
      </c>
      <c r="B917" s="24" t="inlineStr">
        <is>
          <t>کورگارد   قرص خوراکي 80 mg - بازرگاني سها کيش</t>
        </is>
      </c>
      <c r="C917" s="25">
        <f>IF(COUNTIF('کدهای پیام‌داروساز'!$A$2:$A$2442,A917)&gt;0,"بله","خیر")</f>
        <v/>
      </c>
    </row>
    <row r="918" ht="15" customHeight="1" s="14">
      <c r="A918" s="24" t="n">
        <v>1606</v>
      </c>
      <c r="B918" s="24" t="inlineStr">
        <is>
          <t>پکست   قرص انتريک کوتد خوراکي 500 mg - روزدارو</t>
        </is>
      </c>
      <c r="C918" s="25">
        <f>IF(COUNTIF('کدهای پیام‌داروساز'!$A$2:$A$2442,A918)&gt;0,"بله","خیر")</f>
        <v/>
      </c>
    </row>
    <row r="919" ht="15" customHeight="1" s="14">
      <c r="A919" s="24" t="n">
        <v>1608</v>
      </c>
      <c r="B919" s="24" t="inlineStr">
        <is>
          <t>نيکلايف   آدامس خوراکي 2 mg - کيميا آفرينان البرز</t>
        </is>
      </c>
      <c r="C919" s="25">
        <f>IF(COUNTIF('کدهای پیام‌داروساز'!$A$2:$A$2442,A919)&gt;0,"بله","خیر")</f>
        <v/>
      </c>
    </row>
    <row r="920" ht="15" customHeight="1" s="14">
      <c r="A920" s="24" t="n">
        <v>1620</v>
      </c>
      <c r="B920" s="24" t="inlineStr">
        <is>
          <t>نورآدرنالين نورمون   محلول غليظ تزريقي پرنترال 1 mg/1mL 10 mg</t>
        </is>
      </c>
      <c r="C920" s="25">
        <f>IF(COUNTIF('کدهای پیام‌داروساز'!$A$2:$A$2442,A920)&gt;0,"بله","خیر")</f>
        <v/>
      </c>
    </row>
    <row r="921" ht="15" customHeight="1" s="14">
      <c r="A921" s="24" t="n">
        <v>1632</v>
      </c>
      <c r="B921" s="24" t="inlineStr">
        <is>
          <t>پرمترين - عماد   کرم موضعي 1 % 60 g - عماد درمان پارس</t>
        </is>
      </c>
      <c r="C921" s="25">
        <f>IF(COUNTIF('کدهای پیام‌داروساز'!$A$2:$A$2442,A921)&gt;0,"بله","خیر")</f>
        <v/>
      </c>
    </row>
    <row r="922" ht="15" customHeight="1" s="14">
      <c r="A922" s="24" t="n">
        <v>1635</v>
      </c>
      <c r="B922" s="24" t="inlineStr">
        <is>
          <t>فنيل افرين   تزريقي پرنترال 10 mg/1mL 1 [Amb'a'1'U] - ايمن درمان سحر</t>
        </is>
      </c>
      <c r="C922" s="25">
        <f>IF(COUNTIF('کدهای پیام‌داروساز'!$A$2:$A$2442,A922)&gt;0,"بله","خیر")</f>
        <v/>
      </c>
    </row>
    <row r="923" ht="15" customHeight="1" s="14">
      <c r="A923" s="24" t="n">
        <v>1637</v>
      </c>
      <c r="B923" s="24" t="inlineStr">
        <is>
          <t>فني توئين   کپسول خوراکي 50 mg - داروسازي آني درمان</t>
        </is>
      </c>
      <c r="C923" s="25">
        <f>IF(COUNTIF('کدهای پیام‌داروساز'!$A$2:$A$2442,A923)&gt;0,"بله","خیر")</f>
        <v/>
      </c>
    </row>
    <row r="924" ht="15" customHeight="1" s="14">
      <c r="A924" s="24" t="n">
        <v>1642</v>
      </c>
      <c r="B924" s="24" t="inlineStr">
        <is>
          <t>پوويدون آيداين 7.5 درصد 140 م ل شامپو - ساپونين</t>
        </is>
      </c>
      <c r="C924" s="25">
        <f>IF(COUNTIF('کدهای پیام‌داروساز'!$A$2:$A$2442,A924)&gt;0,"بله","خیر")</f>
        <v/>
      </c>
    </row>
    <row r="925" ht="15" customHeight="1" s="14">
      <c r="A925" s="24" t="n">
        <v>1650</v>
      </c>
      <c r="B925" s="24" t="inlineStr">
        <is>
          <t xml:space="preserve">پريميدون 125 م ل سوسپانسيون شهردارو </t>
        </is>
      </c>
      <c r="C925" s="25">
        <f>IF(COUNTIF('کدهای پیام‌داروساز'!$A$2:$A$2442,A925)&gt;0,"بله","خیر")</f>
        <v/>
      </c>
    </row>
    <row r="926" ht="15" customHeight="1" s="14">
      <c r="A926" s="24" t="n">
        <v>1653</v>
      </c>
      <c r="B926" s="24" t="inlineStr">
        <is>
          <t>آروفول   امولسيون تزريقي پرنترال 10 mg/1mL 20 mg - دارو درمان آرنگ</t>
        </is>
      </c>
      <c r="C926" s="25">
        <f>IF(COUNTIF('کدهای پیام‌داروساز'!$A$2:$A$2442,A926)&gt;0,"بله","خیر")</f>
        <v/>
      </c>
    </row>
    <row r="927" ht="15" customHeight="1" s="14">
      <c r="A927" s="24" t="n">
        <v>1655</v>
      </c>
      <c r="B927" s="24" t="inlineStr">
        <is>
          <t>پروتامين   تزريقي پرنترال 10 mg/1mL 5 [iU] - روناک</t>
        </is>
      </c>
      <c r="C927" s="25">
        <f>IF(COUNTIF('کدهای پیام‌داروساز'!$A$2:$A$2442,A927)&gt;0,"بله","خیر")</f>
        <v/>
      </c>
    </row>
    <row r="928" ht="15" customHeight="1" s="14">
      <c r="A928" s="24" t="n">
        <v>1667</v>
      </c>
      <c r="B928" s="24" t="inlineStr">
        <is>
          <t>آستالين 4*5*2.5 ميلي ليتر (سالبوتامول) محلول استنشاقي (رسپيول) - CIPLA(کوشان فارمد)</t>
        </is>
      </c>
      <c r="C928" s="25">
        <f>IF(COUNTIF('کدهای پیام‌داروساز'!$A$2:$A$2442,A928)&gt;0,"بله","خیر")</f>
        <v/>
      </c>
    </row>
    <row r="929" ht="15" customHeight="1" s="14">
      <c r="A929" s="24" t="n">
        <v>1673</v>
      </c>
      <c r="B929" s="24" t="inlineStr">
        <is>
          <t>اسوه-سيمواستاتين   قرص خوراکي 20 mg - دارو سازي اسوه</t>
        </is>
      </c>
      <c r="C929" s="25">
        <f>IF(COUNTIF('کدهای پیام‌داروساز'!$A$2:$A$2442,A929)&gt;0,"بله","خیر")</f>
        <v/>
      </c>
    </row>
    <row r="930" ht="15" customHeight="1" s="14">
      <c r="A930" s="24" t="n">
        <v>1679</v>
      </c>
      <c r="B930" s="24" t="inlineStr">
        <is>
          <t>سديم نيتريت   تزريقي پرنترال 30 mg/1mL  [Amb'a'1'U] - فوريتهاي سينا آرات گستر</t>
        </is>
      </c>
      <c r="C930" s="25">
        <f>IF(COUNTIF('کدهای پیام‌داروساز'!$A$2:$A$2442,A930)&gt;0,"بله","خیر")</f>
        <v/>
      </c>
    </row>
    <row r="931" ht="15" customHeight="1" s="14">
      <c r="A931" s="24" t="n">
        <v>1696</v>
      </c>
      <c r="B931" s="24" t="inlineStr">
        <is>
          <t>ترتينوئين    ژل موضعي 0.05 % 15 g - کارخانجات دارو پخش</t>
        </is>
      </c>
      <c r="C931" s="25">
        <f>IF(COUNTIF('کدهای پیام‌داروساز'!$A$2:$A$2442,A931)&gt;0,"بله","خیر")</f>
        <v/>
      </c>
    </row>
    <row r="932" ht="15" customHeight="1" s="14">
      <c r="A932" s="24" t="n">
        <v>1697</v>
      </c>
      <c r="B932" s="24" t="inlineStr">
        <is>
          <t>اگاتن   قرص خوراکي 250 mg - بازرگاني سها کيش</t>
        </is>
      </c>
      <c r="C932" s="25">
        <f>IF(COUNTIF('کدهای پیام‌داروساز'!$A$2:$A$2442,A932)&gt;0,"بله","خیر")</f>
        <v/>
      </c>
    </row>
    <row r="933" ht="15" customHeight="1" s="14">
      <c r="A933" s="24" t="n">
        <v>1698</v>
      </c>
      <c r="B933" s="24" t="inlineStr">
        <is>
          <t>تري هگزيفنيديل   قرص خوراکي 5 mg - داروسازي امين</t>
        </is>
      </c>
      <c r="C933" s="25">
        <f>IF(COUNTIF('کدهای پیام‌داروساز'!$A$2:$A$2442,A933)&gt;0,"بله","خیر")</f>
        <v/>
      </c>
    </row>
    <row r="934" ht="15" customHeight="1" s="14">
      <c r="A934" s="24" t="n">
        <v>1702</v>
      </c>
      <c r="B934" s="24" t="inlineStr">
        <is>
          <t>ونکومايسين   کپسول حاوي مايع خوراکي 250 mg - آريا ديبا دارو</t>
        </is>
      </c>
      <c r="C934" s="25">
        <f>IF(COUNTIF('کدهای پیام‌داروساز'!$A$2:$A$2442,A934)&gt;0,"بله","خیر")</f>
        <v/>
      </c>
    </row>
    <row r="935" ht="15" customHeight="1" s="14">
      <c r="A935" s="24" t="n">
        <v>1704</v>
      </c>
      <c r="B935" s="24" t="inlineStr">
        <is>
          <t>واکسن وريوکس 1350 پي اف يو/0.5 (واريسلا زوستر) واکسن آبله مرغان</t>
        </is>
      </c>
      <c r="C935" s="25">
        <f>IF(COUNTIF('کدهای پیام‌داروساز'!$A$2:$A$2442,A935)&gt;0,"بله","خیر")</f>
        <v/>
      </c>
    </row>
    <row r="936" ht="15" customHeight="1" s="14">
      <c r="A936" s="24" t="n">
        <v>1706</v>
      </c>
      <c r="B936" s="24" t="inlineStr">
        <is>
          <t>وراپاميل   قرص خوراکي 80 mg  [Amb'a'1'U] - فوريتهاي سينا آرات گستر</t>
        </is>
      </c>
      <c r="C936" s="25">
        <f>IF(COUNTIF('کدهای پیام‌داروساز'!$A$2:$A$2442,A936)&gt;0,"بله","خیر")</f>
        <v/>
      </c>
    </row>
    <row r="937" ht="15" customHeight="1" s="14">
      <c r="A937" s="24" t="n">
        <v>1712</v>
      </c>
      <c r="B937" s="24" t="inlineStr">
        <is>
          <t>زيدوودين   شربت خوراکي 50 mg/5mL 100 mL - بازرگاني سها کيش</t>
        </is>
      </c>
      <c r="C937" s="25">
        <f>IF(COUNTIF('کدهای پیام‌داروساز'!$A$2:$A$2442,A937)&gt;0,"بله","خیر")</f>
        <v/>
      </c>
    </row>
    <row r="938" ht="15" customHeight="1" s="14">
      <c r="A938" s="24" t="n">
        <v>1714</v>
      </c>
      <c r="B938" s="24" t="inlineStr">
        <is>
          <t>پنسيلارو   کپسول خوراکي 250 mg - دارو درمان آرنگ</t>
        </is>
      </c>
      <c r="C938" s="25">
        <f>IF(COUNTIF('کدهای پیام‌داروساز'!$A$2:$A$2442,A938)&gt;0,"بله","خیر")</f>
        <v/>
      </c>
    </row>
    <row r="939" ht="15" customHeight="1" s="14">
      <c r="A939" s="24" t="n">
        <v>1718</v>
      </c>
      <c r="B939" s="24" t="inlineStr">
        <is>
          <t>نالتروکسون   کپسول خوراکي 25 mg - سروش مانا فارمد</t>
        </is>
      </c>
      <c r="C939" s="25">
        <f>IF(COUNTIF('کدهای پیام‌داروساز'!$A$2:$A$2442,A939)&gt;0,"بله","خیر")</f>
        <v/>
      </c>
    </row>
    <row r="940" ht="15" customHeight="1" s="14">
      <c r="A940" s="24" t="n">
        <v>1719</v>
      </c>
      <c r="B940" s="24" t="inlineStr">
        <is>
          <t>نالتروکسون   کپسول خوراکي 50 mg</t>
        </is>
      </c>
      <c r="C940" s="25">
        <f>IF(COUNTIF('کدهای پیام‌داروساز'!$A$2:$A$2442,A940)&gt;0,"بله","خیر")</f>
        <v/>
      </c>
    </row>
    <row r="941" ht="15" customHeight="1" s="14">
      <c r="A941" s="24" t="n">
        <v>1724</v>
      </c>
      <c r="B941" s="24" t="inlineStr">
        <is>
          <t>رهاکين 200(سديم والپروات)شربت 250 ميلي ليتر - رها</t>
        </is>
      </c>
      <c r="C941" s="25">
        <f>IF(COUNTIF('کدهای پیام‌داروساز'!$A$2:$A$2442,A941)&gt;0,"بله","خیر")</f>
        <v/>
      </c>
    </row>
    <row r="942" ht="15" customHeight="1" s="14">
      <c r="A942" s="24" t="n">
        <v>1727</v>
      </c>
      <c r="B942" s="24" t="inlineStr">
        <is>
          <t>نيتروپرل 0.4 (نيتروگليسرين) پرل - زهراوي</t>
        </is>
      </c>
      <c r="C942" s="25">
        <f>IF(COUNTIF('کدهای پیام‌داروساز'!$A$2:$A$2442,A942)&gt;0,"بله","خیر")</f>
        <v/>
      </c>
    </row>
    <row r="943" ht="15" customHeight="1" s="14">
      <c r="A943" s="24" t="n">
        <v>1728</v>
      </c>
      <c r="B943" s="24" t="inlineStr">
        <is>
          <t>مزالازين   قرص انتريک کوتد خوراکي 250 mg - داروسازي کوثر</t>
        </is>
      </c>
      <c r="C943" s="25">
        <f>IF(COUNTIF('کدهای پیام‌داروساز'!$A$2:$A$2442,A943)&gt;0,"بله","خیر")</f>
        <v/>
      </c>
    </row>
    <row r="944" ht="15" customHeight="1" s="14">
      <c r="A944" s="24" t="n">
        <v>1736</v>
      </c>
      <c r="B944" s="24" t="inlineStr">
        <is>
          <t>اورسو داکسي کوليک اسيد   کپسول خوراکي 250 mg - البرز دارو</t>
        </is>
      </c>
      <c r="C944" s="25">
        <f>IF(COUNTIF('کدهای پیام‌داروساز'!$A$2:$A$2442,A944)&gt;0,"بله","خیر")</f>
        <v/>
      </c>
    </row>
    <row r="945" ht="15" customHeight="1" s="14">
      <c r="A945" s="24" t="n">
        <v>1737</v>
      </c>
      <c r="B945" s="24" t="inlineStr">
        <is>
          <t>فيبا   پودر لئوفيليزه براي تهيه محلول تزريقي پرنترال 1000 [iU]  [USP'U] - کار و انديشه</t>
        </is>
      </c>
      <c r="C945" s="25">
        <f>IF(COUNTIF('کدهای پیام‌داروساز'!$A$2:$A$2442,A945)&gt;0,"بله","خیر")</f>
        <v/>
      </c>
    </row>
    <row r="946" ht="15" customHeight="1" s="14">
      <c r="A946" s="24" t="n">
        <v>1738</v>
      </c>
      <c r="B946" s="24" t="inlineStr">
        <is>
          <t>توني کل   اسپري از راه بيني 200 [iU]/1{Puff} 14 mL - لابراتوار هاي دنياي بهداشت</t>
        </is>
      </c>
      <c r="C946" s="25">
        <f>IF(COUNTIF('کدهای پیام‌داروساز'!$A$2:$A$2442,A946)&gt;0,"بله","خیر")</f>
        <v/>
      </c>
    </row>
    <row r="947" ht="15" customHeight="1" s="14">
      <c r="A947" s="24" t="n">
        <v>1739</v>
      </c>
      <c r="B947" s="24" t="inlineStr">
        <is>
          <t xml:space="preserve">نازوکلسين200(کلسي تونين)اسپري - سينا دارو </t>
        </is>
      </c>
      <c r="C947" s="25">
        <f>IF(COUNTIF('کدهای پیام‌داروساز'!$A$2:$A$2442,A947)&gt;0,"بله","خیر")</f>
        <v/>
      </c>
    </row>
    <row r="948" ht="15" customHeight="1" s="14">
      <c r="A948" s="24" t="n">
        <v>1742</v>
      </c>
      <c r="B948" s="24" t="inlineStr">
        <is>
          <t>قطره چشمي ميدراکس (تروپيکاميد)1 درصد 10 ميلي ليتر</t>
        </is>
      </c>
      <c r="C948" s="25">
        <f>IF(COUNTIF('کدهای پیام‌داروساز'!$A$2:$A$2442,A948)&gt;0,"بله","خیر")</f>
        <v/>
      </c>
    </row>
    <row r="949" ht="15" customHeight="1" s="14">
      <c r="A949" s="24" t="n">
        <v>1743</v>
      </c>
      <c r="B949" s="24" t="inlineStr">
        <is>
          <t>کلوزاپين   قرص خوراکي 25 mg - هانيا پرسان دارو</t>
        </is>
      </c>
      <c r="C949" s="25">
        <f>IF(COUNTIF('کدهای پیام‌داروساز'!$A$2:$A$2442,A949)&gt;0,"بله","خیر")</f>
        <v/>
      </c>
    </row>
    <row r="950" ht="15" customHeight="1" s="14">
      <c r="A950" s="24" t="n">
        <v>1746</v>
      </c>
      <c r="B950" s="24" t="inlineStr">
        <is>
          <t>ويبالمين   تزريقي پرنترال 100 ug/1mL  mL - داروسازي کاسپين تأمين</t>
        </is>
      </c>
      <c r="C950" s="25">
        <f>IF(COUNTIF('کدهای پیام‌داروساز'!$A$2:$A$2442,A950)&gt;0,"بله","خیر")</f>
        <v/>
      </c>
    </row>
    <row r="951" ht="15" customHeight="1" s="14">
      <c r="A951" s="24" t="n">
        <v>1747</v>
      </c>
      <c r="B951" s="24" t="inlineStr">
        <is>
          <t>دزمونيکس (دسموپرسين استات) 1/. م گ 50 پاف اسپري بيني - جابرابن حيان</t>
        </is>
      </c>
      <c r="C951" s="25">
        <f>IF(COUNTIF('کدهای پیام‌داروساز'!$A$2:$A$2442,A951)&gt;0,"بله","خیر")</f>
        <v/>
      </c>
    </row>
    <row r="952" ht="15" customHeight="1" s="14">
      <c r="A952" s="24" t="n">
        <v>1748</v>
      </c>
      <c r="B952" s="24" t="inlineStr">
        <is>
          <t>ويزوکروم (کرومولين سديم) 2 درصد 5 م ل قطره چشمي - سينادارو</t>
        </is>
      </c>
      <c r="C952" s="25">
        <f>IF(COUNTIF('کدهای پیام‌داروساز'!$A$2:$A$2442,A952)&gt;0,"بله","خیر")</f>
        <v/>
      </c>
    </row>
    <row r="953" ht="15" customHeight="1" s="14">
      <c r="A953" s="24" t="n">
        <v>1749</v>
      </c>
      <c r="B953" s="24" t="inlineStr">
        <is>
          <t>رينومکسان (کرومولين) 2 درصد 13 م ل 100 پاف اسپري بيني - جابرابن حيان</t>
        </is>
      </c>
      <c r="C953" s="25">
        <f>IF(COUNTIF('کدهای پیام‌داروساز'!$A$2:$A$2442,A953)&gt;0,"بله","خیر")</f>
        <v/>
      </c>
    </row>
    <row r="954" ht="15" customHeight="1" s="14">
      <c r="A954" s="24" t="n">
        <v>1753</v>
      </c>
      <c r="B954" s="24" t="inlineStr">
        <is>
          <t>سايتوسپت   قرص خوراکي 500 mg - کارخانجات دارو پخش</t>
        </is>
      </c>
      <c r="C954" s="25">
        <f>IF(COUNTIF('کدهای پیام‌داروساز'!$A$2:$A$2442,A954)&gt;0,"بله","خیر")</f>
        <v/>
      </c>
    </row>
    <row r="955" ht="15" customHeight="1" s="14">
      <c r="A955" s="24" t="n">
        <v>1755</v>
      </c>
      <c r="B955" s="24" t="inlineStr">
        <is>
          <t>سپتمد   کپسول خوراکي 250 mg - دارويي پرسون بام بين الملل</t>
        </is>
      </c>
      <c r="C955" s="25">
        <f>IF(COUNTIF('کدهای پیام‌داروساز'!$A$2:$A$2442,A955)&gt;0,"بله","خیر")</f>
        <v/>
      </c>
    </row>
    <row r="956" ht="15" customHeight="1" s="14">
      <c r="A956" s="24" t="n">
        <v>1758</v>
      </c>
      <c r="B956" s="24" t="inlineStr">
        <is>
          <t>ايمينورال 50 (سيکلوسپورين) کپسول - زهراوي</t>
        </is>
      </c>
      <c r="C956" s="25">
        <f>IF(COUNTIF('کدهای پیام‌داروساز'!$A$2:$A$2442,A956)&gt;0,"بله","خیر")</f>
        <v/>
      </c>
    </row>
    <row r="957" ht="15" customHeight="1" s="14">
      <c r="A957" s="24" t="n">
        <v>1773</v>
      </c>
      <c r="B957" s="24" t="inlineStr">
        <is>
          <t>رسپيروز   قرص خوراکي 1 mg - روزدارو</t>
        </is>
      </c>
      <c r="C957" s="25">
        <f>IF(COUNTIF('کدهای پیام‌داروساز'!$A$2:$A$2442,A957)&gt;0,"بله","خیر")</f>
        <v/>
      </c>
    </row>
    <row r="958" ht="15" customHeight="1" s="14">
      <c r="A958" s="24" t="n">
        <v>1774</v>
      </c>
      <c r="B958" s="24" t="inlineStr">
        <is>
          <t>رسيماس   قرص خوراکي 2 mg - يارا طب خاورميانه</t>
        </is>
      </c>
      <c r="C958" s="25">
        <f>IF(COUNTIF('کدهای پیام‌داروساز'!$A$2:$A$2442,A958)&gt;0,"بله","خیر")</f>
        <v/>
      </c>
    </row>
    <row r="959" ht="15" customHeight="1" s="14">
      <c r="A959" s="24" t="n">
        <v>1775</v>
      </c>
      <c r="B959" s="24" t="inlineStr">
        <is>
          <t>رتروبايووير   قرص خوراکي 300 mg - باختر بيو شيمي</t>
        </is>
      </c>
      <c r="C959" s="25">
        <f>IF(COUNTIF('کدهای پیام‌داروساز'!$A$2:$A$2442,A959)&gt;0,"بله","خیر")</f>
        <v/>
      </c>
    </row>
    <row r="960" ht="15" customHeight="1" s="14">
      <c r="A960" s="24" t="n">
        <v>1777</v>
      </c>
      <c r="B960" s="24" t="inlineStr">
        <is>
          <t>پروپافنون   قرص خوراکي 150 mg</t>
        </is>
      </c>
      <c r="C960" s="25">
        <f>IF(COUNTIF('کدهای پیام‌داروساز'!$A$2:$A$2442,A960)&gt;0,"بله","خیر")</f>
        <v/>
      </c>
    </row>
    <row r="961" ht="15" customHeight="1" s="14">
      <c r="A961" s="24" t="n">
        <v>1778</v>
      </c>
      <c r="B961" s="24" t="inlineStr">
        <is>
          <t>پروپافنون   قرص خوراکي 300 mg</t>
        </is>
      </c>
      <c r="C961" s="25">
        <f>IF(COUNTIF('کدهای پیام‌داروساز'!$A$2:$A$2442,A961)&gt;0,"بله","خیر")</f>
        <v/>
      </c>
    </row>
    <row r="962" ht="15" customHeight="1" s="14">
      <c r="A962" s="24" t="n">
        <v>1779</v>
      </c>
      <c r="B962" s="24" t="inlineStr">
        <is>
          <t>پرمترا   شامپو موضعي 1 % 60 mL - کيمياکالاي رازي</t>
        </is>
      </c>
      <c r="C962" s="25">
        <f>IF(COUNTIF('کدهای پیام‌داروساز'!$A$2:$A$2442,A962)&gt;0,"بله","خیر")</f>
        <v/>
      </c>
    </row>
    <row r="963" ht="15" customHeight="1" s="14">
      <c r="A963" s="24" t="n">
        <v>1780</v>
      </c>
      <c r="B963" s="24" t="inlineStr">
        <is>
          <t>آفاگرا   قرص خوراکي 100 mg - آفا شيمي</t>
        </is>
      </c>
      <c r="C963" s="25">
        <f>IF(COUNTIF('کدهای پیام‌داروساز'!$A$2:$A$2442,A963)&gt;0,"بله","خیر")</f>
        <v/>
      </c>
    </row>
    <row r="964" ht="15" customHeight="1" s="14">
      <c r="A964" s="24" t="n">
        <v>1781</v>
      </c>
      <c r="B964" s="24" t="inlineStr">
        <is>
          <t>آفاگرا   قرص خوراکي 50 mg - آفا شيمي</t>
        </is>
      </c>
      <c r="C964" s="25">
        <f>IF(COUNTIF('کدهای پیام‌داروساز'!$A$2:$A$2442,A964)&gt;0,"بله","خیر")</f>
        <v/>
      </c>
    </row>
    <row r="965" ht="15" customHeight="1" s="14">
      <c r="A965" s="24" t="n">
        <v>1782</v>
      </c>
      <c r="B965" s="24" t="inlineStr">
        <is>
          <t>اسکاندونست پلين   تزريقي پرنترال 3 % 1.8 mL - آپادانا تک</t>
        </is>
      </c>
      <c r="C965" s="25">
        <f>IF(COUNTIF('کدهای پیام‌داروساز'!$A$2:$A$2442,A965)&gt;0,"بله","خیر")</f>
        <v/>
      </c>
    </row>
    <row r="966" ht="15" customHeight="1" s="14">
      <c r="A966" s="24" t="n">
        <v>1783</v>
      </c>
      <c r="B966" s="24" t="inlineStr">
        <is>
          <t>ليکوفار قرص - گل دارو</t>
        </is>
      </c>
      <c r="C966" s="25">
        <f>IF(COUNTIF('کدهای پیام‌داروساز'!$A$2:$A$2442,A966)&gt;0,"بله","خیر")</f>
        <v/>
      </c>
    </row>
    <row r="967" ht="15" customHeight="1" s="14">
      <c r="A967" s="24" t="n">
        <v>1788</v>
      </c>
      <c r="B967" s="24" t="inlineStr">
        <is>
          <t>اسويکس   قرص خوراکي 75 mg - دارو سازي اسوه</t>
        </is>
      </c>
      <c r="C967" s="25">
        <f>IF(COUNTIF('کدهای پیام‌داروساز'!$A$2:$A$2442,A967)&gt;0,"بله","خیر")</f>
        <v/>
      </c>
    </row>
    <row r="968" ht="15" customHeight="1" s="14">
      <c r="A968" s="24" t="n">
        <v>1812</v>
      </c>
      <c r="B968" s="24" t="inlineStr">
        <is>
          <t>نيترال   تزريقي پرنترال 1 mg/1mL 5 mL - داروسازي کاسپين تأمين</t>
        </is>
      </c>
      <c r="C968" s="25">
        <f>IF(COUNTIF('کدهای پیام‌داروساز'!$A$2:$A$2442,A968)&gt;0,"بله","خیر")</f>
        <v/>
      </c>
    </row>
    <row r="969" ht="15" customHeight="1" s="14">
      <c r="A969" s="24" t="n">
        <v>1814</v>
      </c>
      <c r="B969" s="24" t="inlineStr">
        <is>
          <t>دي تري کل   تزريقي پرنترال 300000 [iU]/1mL  mL</t>
        </is>
      </c>
      <c r="C969" s="25">
        <f>IF(COUNTIF('کدهای پیام‌داروساز'!$A$2:$A$2442,A969)&gt;0,"بله","خیر")</f>
        <v/>
      </c>
    </row>
    <row r="970" ht="15" customHeight="1" s="14">
      <c r="A970" s="24" t="n">
        <v>1815</v>
      </c>
      <c r="B970" s="24" t="inlineStr">
        <is>
          <t>بايوودين   قرص خوراکي 100 mg - باختر بيو شيمي</t>
        </is>
      </c>
      <c r="C970" s="25">
        <f>IF(COUNTIF('کدهای پیام‌داروساز'!$A$2:$A$2442,A970)&gt;0,"بله","خیر")</f>
        <v/>
      </c>
    </row>
    <row r="971" ht="15" customHeight="1" s="14">
      <c r="A971" s="24" t="n">
        <v>1819</v>
      </c>
      <c r="B971" s="24" t="inlineStr">
        <is>
          <t>بايوودين   قرص خوراکي 150 mg - باختر بيو شيمي</t>
        </is>
      </c>
      <c r="C971" s="25">
        <f>IF(COUNTIF('کدهای پیام‌داروساز'!$A$2:$A$2442,A971)&gt;0,"بله","خیر")</f>
        <v/>
      </c>
    </row>
    <row r="972" ht="15" customHeight="1" s="14">
      <c r="A972" s="24" t="n">
        <v>1822</v>
      </c>
      <c r="B972" s="24" t="inlineStr">
        <is>
          <t>پوزارکس   قرص خوراکي 25 mg</t>
        </is>
      </c>
      <c r="C972" s="25">
        <f>IF(COUNTIF('کدهای پیام‌داروساز'!$A$2:$A$2442,A972)&gt;0,"بله","خیر")</f>
        <v/>
      </c>
    </row>
    <row r="973" ht="15" customHeight="1" s="14">
      <c r="A973" s="24" t="n">
        <v>1823</v>
      </c>
      <c r="B973" s="24" t="inlineStr">
        <is>
          <t>پي کا-مرز   قرص خوراکي 100 mg - بازرگاني سها کيش</t>
        </is>
      </c>
      <c r="C973" s="25">
        <f>IF(COUNTIF('کدهای پیام‌داروساز'!$A$2:$A$2442,A973)&gt;0,"بله","خیر")</f>
        <v/>
      </c>
    </row>
    <row r="974" ht="15" customHeight="1" s="14">
      <c r="A974" s="24" t="n">
        <v>1825</v>
      </c>
      <c r="B974" s="24" t="inlineStr">
        <is>
          <t>اچ سي کيو اس 200   قرص خوراکي 200 mg</t>
        </is>
      </c>
      <c r="C974" s="25">
        <f>IF(COUNTIF('کدهای پیام‌داروساز'!$A$2:$A$2442,A974)&gt;0,"بله","خیر")</f>
        <v/>
      </c>
    </row>
    <row r="975" ht="15" customHeight="1" s="14">
      <c r="A975" s="24" t="n">
        <v>1827</v>
      </c>
      <c r="B975" s="24" t="inlineStr">
        <is>
          <t>بايووکسامين   قرص خوراکي 50 mg - باختر بيو شيمي</t>
        </is>
      </c>
      <c r="C975" s="25">
        <f>IF(COUNTIF('کدهای پیام‌داروساز'!$A$2:$A$2442,A975)&gt;0,"بله","خیر")</f>
        <v/>
      </c>
    </row>
    <row r="976" ht="15" customHeight="1" s="14">
      <c r="A976" s="24" t="n">
        <v>1829</v>
      </c>
      <c r="B976" s="24" t="inlineStr">
        <is>
          <t>آلوپکسين   محلول موضعي 50 mg/1mL 60 mL</t>
        </is>
      </c>
      <c r="C976" s="25">
        <f>IF(COUNTIF('کدهای پیام‌داروساز'!$A$2:$A$2442,A976)&gt;0,"بله","خیر")</f>
        <v/>
      </c>
    </row>
    <row r="977" ht="15" customHeight="1" s="14">
      <c r="A977" s="24" t="n">
        <v>1832</v>
      </c>
      <c r="B977" s="24" t="inlineStr">
        <is>
          <t>اسپري نيتروگليسيرين نيتروپاف</t>
        </is>
      </c>
      <c r="C977" s="25">
        <f>IF(COUNTIF('کدهای پیام‌داروساز'!$A$2:$A$2442,A977)&gt;0,"بله","خیر")</f>
        <v/>
      </c>
    </row>
    <row r="978" ht="15" customHeight="1" s="14">
      <c r="A978" s="24" t="n">
        <v>1835</v>
      </c>
      <c r="B978" s="24" t="inlineStr">
        <is>
          <t>نلفابايووير   قرص خوراکي 250 mg - باختر بيو شيمي</t>
        </is>
      </c>
      <c r="C978" s="25">
        <f>IF(COUNTIF('کدهای پیام‌داروساز'!$A$2:$A$2442,A978)&gt;0,"بله","خیر")</f>
        <v/>
      </c>
    </row>
    <row r="979" ht="15" customHeight="1" s="14">
      <c r="A979" s="24" t="n">
        <v>1836</v>
      </c>
      <c r="B979" s="24" t="inlineStr">
        <is>
          <t>آدنوريتم   تزريقي پرنترال 3 mg/1mL 2 mL - کيميا سلامت ايرانيان</t>
        </is>
      </c>
      <c r="C979" s="25">
        <f>IF(COUNTIF('کدهای پیام‌داروساز'!$A$2:$A$2442,A979)&gt;0,"بله","خیر")</f>
        <v/>
      </c>
    </row>
    <row r="980" ht="15" customHeight="1" s="14">
      <c r="A980" s="24" t="n">
        <v>1837</v>
      </c>
      <c r="B980" s="24" t="inlineStr">
        <is>
          <t>کلاريترومايسين   قرص خوراکي 250 mg - دارو سازي سها</t>
        </is>
      </c>
      <c r="C980" s="25">
        <f>IF(COUNTIF('کدهای پیام‌داروساز'!$A$2:$A$2442,A980)&gt;0,"بله","خیر")</f>
        <v/>
      </c>
    </row>
    <row r="981" ht="15" customHeight="1" s="14">
      <c r="A981" s="24" t="n">
        <v>1838</v>
      </c>
      <c r="B981" s="24" t="inlineStr">
        <is>
          <t>کلاريترومايسين   پودر براي تهيه سوسپانسيون   خوراکي 125 mg/5 mL 100 mL - توليد مواد داروئي درسا دارو</t>
        </is>
      </c>
      <c r="C981" s="25">
        <f>IF(COUNTIF('کدهای پیام‌داروساز'!$A$2:$A$2442,A981)&gt;0,"بله","خیر")</f>
        <v/>
      </c>
    </row>
    <row r="982" ht="15" customHeight="1" s="14">
      <c r="A982" s="24" t="n">
        <v>1839</v>
      </c>
      <c r="B982" s="24" t="inlineStr">
        <is>
          <t>سناگل 60 م ل شربت - گل دارو</t>
        </is>
      </c>
      <c r="C982" s="25">
        <f>IF(COUNTIF('کدهای پیام‌داروساز'!$A$2:$A$2442,A982)&gt;0,"بله","خیر")</f>
        <v/>
      </c>
    </row>
    <row r="983" ht="15" customHeight="1" s="14">
      <c r="A983" s="24" t="n">
        <v>1840</v>
      </c>
      <c r="B983" s="24" t="inlineStr">
        <is>
          <t>گل گريپ 120 م ل محلول خوراکي - گل دارو</t>
        </is>
      </c>
      <c r="C983" s="25">
        <f>IF(COUNTIF('کدهای پیام‌داروساز'!$A$2:$A$2442,A983)&gt;0,"بله","خیر")</f>
        <v/>
      </c>
    </row>
    <row r="984" ht="15" customHeight="1" s="14">
      <c r="A984" s="24" t="n">
        <v>1842</v>
      </c>
      <c r="B984" s="24" t="inlineStr">
        <is>
          <t>آسيماکس   قرص خوراکي 10 mg - لابراتوار داروسازي و بهداشتي شفا</t>
        </is>
      </c>
      <c r="C984" s="25">
        <f>IF(COUNTIF('کدهای پیام‌داروساز'!$A$2:$A$2442,A984)&gt;0,"بله","خیر")</f>
        <v/>
      </c>
    </row>
    <row r="985" ht="15" customHeight="1" s="14">
      <c r="A985" s="24" t="n">
        <v>1843</v>
      </c>
      <c r="B985" s="24" t="inlineStr">
        <is>
          <t>( پوويدون آيداين )  دوش واژينال</t>
        </is>
      </c>
      <c r="C985" s="25">
        <f>IF(COUNTIF('کدهای پیام‌داروساز'!$A$2:$A$2442,A985)&gt;0,"بله","خیر")</f>
        <v/>
      </c>
    </row>
    <row r="986" ht="15" customHeight="1" s="14">
      <c r="A986" s="24" t="n">
        <v>1847</v>
      </c>
      <c r="B986" s="24" t="inlineStr">
        <is>
          <t>بايوفناک   محلول، قطره چشمي 0.1 % 5 mL - باختر بيو شيمي</t>
        </is>
      </c>
      <c r="C986" s="25">
        <f>IF(COUNTIF('کدهای پیام‌داروساز'!$A$2:$A$2442,A986)&gt;0,"بله","خیر")</f>
        <v/>
      </c>
    </row>
    <row r="987" ht="15" customHeight="1" s="14">
      <c r="A987" s="24" t="n">
        <v>1848</v>
      </c>
      <c r="B987" s="24" t="inlineStr">
        <is>
          <t>آمي لوپرا (لوپراميد) 2 م گ قرص - امين</t>
        </is>
      </c>
      <c r="C987" s="25">
        <f>IF(COUNTIF('کدهای پیام‌داروساز'!$A$2:$A$2442,A987)&gt;0,"بله","خیر")</f>
        <v/>
      </c>
    </row>
    <row r="988" ht="15" customHeight="1" s="14">
      <c r="A988" s="24" t="n">
        <v>1861</v>
      </c>
      <c r="B988" s="24" t="inlineStr">
        <is>
          <t>آپروتک   تزريقي پرنترال 10000000 [iU]/1mL 10 - پويش دارو گستر برتر فارس</t>
        </is>
      </c>
      <c r="C988" s="25">
        <f>IF(COUNTIF('کدهای پیام‌داروساز'!$A$2:$A$2442,A988)&gt;0,"بله","خیر")</f>
        <v/>
      </c>
    </row>
    <row r="989" ht="15" customHeight="1" s="14">
      <c r="A989" s="24" t="n">
        <v>1862</v>
      </c>
      <c r="B989" s="24" t="inlineStr">
        <is>
          <t>کلينداپلاس ژل موضعي کليندامايسين / ترتينوئين 30 گ</t>
        </is>
      </c>
      <c r="C989" s="25">
        <f>IF(COUNTIF('کدهای پیام‌داروساز'!$A$2:$A$2442,A989)&gt;0,"بله","خیر")</f>
        <v/>
      </c>
    </row>
    <row r="990" ht="15" customHeight="1" s="14">
      <c r="A990" s="24" t="n">
        <v>1866</v>
      </c>
      <c r="B990" s="24" t="inlineStr">
        <is>
          <t>نافسيلين   تزريقي پرنترال 1 g/1mL  g - سينا پيشگام دارو نوين</t>
        </is>
      </c>
      <c r="C990" s="25">
        <f>IF(COUNTIF('کدهای پیام‌داروساز'!$A$2:$A$2442,A990)&gt;0,"بله","خیر")</f>
        <v/>
      </c>
    </row>
    <row r="991" ht="15" customHeight="1" s="14">
      <c r="A991" s="24" t="n">
        <v>1868</v>
      </c>
      <c r="B991" s="24" t="inlineStr">
        <is>
          <t>استيل سيستئين   قرص خوراکي 200 mg - داروسازي جالينوس</t>
        </is>
      </c>
      <c r="C991" s="25">
        <f>IF(COUNTIF('کدهای پیام‌داروساز'!$A$2:$A$2442,A991)&gt;0,"بله","خیر")</f>
        <v/>
      </c>
    </row>
    <row r="992" ht="15" customHeight="1" s="14">
      <c r="A992" s="24" t="n">
        <v>1869</v>
      </c>
      <c r="B992" s="24" t="inlineStr">
        <is>
          <t>ريسبايودال   قرص خوراکي 3 mg - باختر بيو شيمي</t>
        </is>
      </c>
      <c r="C992" s="25">
        <f>IF(COUNTIF('کدهای پیام‌داروساز'!$A$2:$A$2442,A992)&gt;0,"بله","خیر")</f>
        <v/>
      </c>
    </row>
    <row r="993" ht="15" customHeight="1" s="14">
      <c r="A993" s="24" t="n">
        <v>1870</v>
      </c>
      <c r="B993" s="24" t="inlineStr">
        <is>
          <t>رسپيروس   قرص خوراکي 4 mg</t>
        </is>
      </c>
      <c r="C993" s="25">
        <f>IF(COUNTIF('کدهای پیام‌داروساز'!$A$2:$A$2442,A993)&gt;0,"بله","خیر")</f>
        <v/>
      </c>
    </row>
    <row r="994" ht="15" customHeight="1" s="14">
      <c r="A994" s="24" t="n">
        <v>1871</v>
      </c>
      <c r="B994" s="24" t="inlineStr">
        <is>
          <t>روپاکين 500(والپروات سديم ) ميلي گرم قرص پيوسته رهش روناک دارو</t>
        </is>
      </c>
      <c r="C994" s="25">
        <f>IF(COUNTIF('کدهای پیام‌داروساز'!$A$2:$A$2442,A994)&gt;0,"بله","خیر")</f>
        <v/>
      </c>
    </row>
    <row r="995" ht="15" customHeight="1" s="14">
      <c r="A995" s="24" t="n">
        <v>1872</v>
      </c>
      <c r="B995" s="24" t="inlineStr">
        <is>
          <t>فينازکس-آي اچ   قرص خوراکي 1 mg - ايران هورمون</t>
        </is>
      </c>
      <c r="C995" s="25">
        <f>IF(COUNTIF('کدهای پیام‌داروساز'!$A$2:$A$2442,A995)&gt;0,"بله","خیر")</f>
        <v/>
      </c>
    </row>
    <row r="996" ht="15" customHeight="1" s="14">
      <c r="A996" s="24" t="n">
        <v>1876</v>
      </c>
      <c r="B996" s="24" t="inlineStr">
        <is>
          <t>ايمي پنم/سيلاستاتين   پودر براي تهيه محلول تزريقي پرنترال 500 mg/500 mg  g - داروئي و بهداشتي لقمان</t>
        </is>
      </c>
      <c r="C996" s="25">
        <f>IF(COUNTIF('کدهای پیام‌داروساز'!$A$2:$A$2442,A996)&gt;0,"بله","خیر")</f>
        <v/>
      </c>
    </row>
    <row r="997" ht="15" customHeight="1" s="14">
      <c r="A997" s="24" t="n">
        <v>1877</v>
      </c>
      <c r="B997" s="24" t="inlineStr">
        <is>
          <t>پريماکور   محلول تزريقي پرنترال 1 mg/1mL 10 mg - کوبل دارو</t>
        </is>
      </c>
      <c r="C997" s="25">
        <f>IF(COUNTIF('کدهای پیام‌داروساز'!$A$2:$A$2442,A997)&gt;0,"بله","خیر")</f>
        <v/>
      </c>
    </row>
    <row r="998" ht="15" customHeight="1" s="14">
      <c r="A998" s="24" t="n">
        <v>1878</v>
      </c>
      <c r="B998" s="24" t="inlineStr">
        <is>
          <t>اکسابن   قرص خوراکي 2.5 mg - داروسازي ابوريحان</t>
        </is>
      </c>
      <c r="C998" s="25">
        <f>IF(COUNTIF('کدهای پیام‌داروساز'!$A$2:$A$2442,A998)&gt;0,"بله","خیر")</f>
        <v/>
      </c>
    </row>
    <row r="999" ht="15" customHeight="1" s="14">
      <c r="A999" s="24" t="n">
        <v>1880</v>
      </c>
      <c r="B999" s="24" t="inlineStr">
        <is>
          <t>ريباويرين   تزريقي پرنترال 100 mg/1mL 1 mg - بهسام آرا دارو</t>
        </is>
      </c>
      <c r="C999" s="25">
        <f>IF(COUNTIF('کدهای پیام‌داروساز'!$A$2:$A$2442,A999)&gt;0,"بله","خیر")</f>
        <v/>
      </c>
    </row>
    <row r="1000" ht="15" customHeight="1" s="14">
      <c r="A1000" s="24" t="n">
        <v>1881</v>
      </c>
      <c r="B1000" s="24" t="inlineStr">
        <is>
          <t>ريباويرينا نورمون   قرص خوراکي 200 mg - تچرا دارو</t>
        </is>
      </c>
      <c r="C1000" s="25">
        <f>IF(COUNTIF('کدهای پیام‌داروساز'!$A$2:$A$2442,A1000)&gt;0,"بله","خیر")</f>
        <v/>
      </c>
    </row>
    <row r="1001" ht="15" customHeight="1" s="14">
      <c r="A1001" s="24" t="n">
        <v>1883</v>
      </c>
      <c r="B1001" s="24" t="inlineStr">
        <is>
          <t>توپيرامات   قرص خوراکي 100 mg</t>
        </is>
      </c>
      <c r="C1001" s="25">
        <f>IF(COUNTIF('کدهای پیام‌داروساز'!$A$2:$A$2442,A1001)&gt;0,"بله","خیر")</f>
        <v/>
      </c>
    </row>
    <row r="1002" ht="15" customHeight="1" s="14">
      <c r="A1002" s="24" t="n">
        <v>1885</v>
      </c>
      <c r="B1002" s="24" t="inlineStr">
        <is>
          <t>توپيرامات   قرص خوراکي 25 mg</t>
        </is>
      </c>
      <c r="C1002" s="25">
        <f>IF(COUNTIF('کدهای پیام‌داروساز'!$A$2:$A$2442,A1002)&gt;0,"بله","خیر")</f>
        <v/>
      </c>
    </row>
    <row r="1003" ht="15" customHeight="1" s="14">
      <c r="A1003" s="24" t="n">
        <v>1886</v>
      </c>
      <c r="B1003" s="24" t="inlineStr">
        <is>
          <t>توپيرامات   قرص خوراکي 50 mg - هانيا پرسان دارو</t>
        </is>
      </c>
      <c r="C1003" s="25">
        <f>IF(COUNTIF('کدهای پیام‌داروساز'!$A$2:$A$2442,A1003)&gt;0,"بله","خیر")</f>
        <v/>
      </c>
    </row>
    <row r="1004" ht="15" customHeight="1" s="14">
      <c r="A1004" s="24" t="n">
        <v>1888</v>
      </c>
      <c r="B1004" s="24" t="inlineStr">
        <is>
          <t>بروين   قرص خوراکي 5 mg - روناک</t>
        </is>
      </c>
      <c r="C1004" s="25">
        <f>IF(COUNTIF('کدهای پیام‌داروساز'!$A$2:$A$2442,A1004)&gt;0,"بله","خیر")</f>
        <v/>
      </c>
    </row>
    <row r="1005" ht="15" customHeight="1" s="14">
      <c r="A1005" s="24" t="n">
        <v>1891</v>
      </c>
      <c r="B1005" s="24" t="inlineStr">
        <is>
          <t>ريبابايووير   کپسول خوراکي 200 mg   - باختر بيو شيمي</t>
        </is>
      </c>
      <c r="C1005" s="25">
        <f>IF(COUNTIF('کدهای پیام‌داروساز'!$A$2:$A$2442,A1005)&gt;0,"بله","خیر")</f>
        <v/>
      </c>
    </row>
    <row r="1006" ht="15" customHeight="1" s="14">
      <c r="A1006" s="24" t="n">
        <v>1892</v>
      </c>
      <c r="B1006" s="24" t="inlineStr">
        <is>
          <t>آپو-ترازوسين   قرص خوراکي 2 mg</t>
        </is>
      </c>
      <c r="C1006" s="25">
        <f>IF(COUNTIF('کدهای پیام‌داروساز'!$A$2:$A$2442,A1006)&gt;0,"بله","خیر")</f>
        <v/>
      </c>
    </row>
    <row r="1007" ht="15" customHeight="1" s="14">
      <c r="A1007" s="24" t="n">
        <v>1893</v>
      </c>
      <c r="B1007" s="24" t="inlineStr">
        <is>
          <t>ترازوسين   قرص خوراکي 5 mg</t>
        </is>
      </c>
      <c r="C1007" s="25">
        <f>IF(COUNTIF('کدهای پیام‌داروساز'!$A$2:$A$2442,A1007)&gt;0,"بله","خیر")</f>
        <v/>
      </c>
    </row>
    <row r="1008" ht="15" customHeight="1" s="14">
      <c r="A1008" s="24" t="n">
        <v>1894</v>
      </c>
      <c r="B1008" s="24" t="inlineStr">
        <is>
          <t>اکوليت   قرص خوراکي 20 mg - کوبل دارو</t>
        </is>
      </c>
      <c r="C1008" s="25">
        <f>IF(COUNTIF('کدهای پیام‌داروساز'!$A$2:$A$2442,A1008)&gt;0,"بله","خیر")</f>
        <v/>
      </c>
    </row>
    <row r="1009" ht="15" customHeight="1" s="14">
      <c r="A1009" s="24" t="n">
        <v>1895</v>
      </c>
      <c r="B1009" s="24" t="inlineStr">
        <is>
          <t>قرص سينگولر 5</t>
        </is>
      </c>
      <c r="C1009" s="25">
        <f>IF(COUNTIF('کدهای پیام‌داروساز'!$A$2:$A$2442,A1009)&gt;0,"بله","خیر")</f>
        <v/>
      </c>
    </row>
    <row r="1010" ht="15" customHeight="1" s="14">
      <c r="A1010" s="24" t="n">
        <v>1896</v>
      </c>
      <c r="B1010" s="24" t="inlineStr">
        <is>
          <t>آسنترا (سرترالين) 50 م گ قرص - اکتوور</t>
        </is>
      </c>
      <c r="C1010" s="25">
        <f>IF(COUNTIF('کدهای پیام‌داروساز'!$A$2:$A$2442,A1010)&gt;0,"بله","خیر")</f>
        <v/>
      </c>
    </row>
    <row r="1011" ht="15" customHeight="1" s="14">
      <c r="A1011" s="24" t="n">
        <v>1897</v>
      </c>
      <c r="B1011" s="24" t="inlineStr">
        <is>
          <t>آسنترا 100 م گ (سرترالين) قرص - اکتوورکو</t>
        </is>
      </c>
      <c r="C1011" s="25">
        <f>IF(COUNTIF('کدهای پیام‌داروساز'!$A$2:$A$2442,A1011)&gt;0,"بله","خیر")</f>
        <v/>
      </c>
    </row>
    <row r="1012" ht="15" customHeight="1" s="14">
      <c r="A1012" s="24" t="n">
        <v>1898</v>
      </c>
      <c r="B1012" s="24" t="inlineStr">
        <is>
          <t>آرديا   تزريقي پرنترال 3 mg/1mL 10 - پويش دارو گستر برتر فارس</t>
        </is>
      </c>
      <c r="C1012" s="25">
        <f>IF(COUNTIF('کدهای پیام‌داروساز'!$A$2:$A$2442,A1012)&gt;0,"بله","خیر")</f>
        <v/>
      </c>
    </row>
    <row r="1013" ht="15" customHeight="1" s="14">
      <c r="A1013" s="24" t="n">
        <v>1899</v>
      </c>
      <c r="B1013" s="24" t="inlineStr">
        <is>
          <t>بيودرونيت   محلول غليظ تزريقي پرنترال 9 mg/1mL 10 mg - سينا پيشگام دارو نوين</t>
        </is>
      </c>
      <c r="C1013" s="25">
        <f>IF(COUNTIF('کدهای پیام‌داروساز'!$A$2:$A$2442,A1013)&gt;0,"بله","خیر")</f>
        <v/>
      </c>
    </row>
    <row r="1014" ht="15" customHeight="1" s="14">
      <c r="A1014" s="24" t="n">
        <v>1901</v>
      </c>
      <c r="B1014" s="24" t="inlineStr">
        <is>
          <t>زالابايوست   محلول، قطره چشمي 50 ug/1mL 2.5 mL - باختر بيو شيمي</t>
        </is>
      </c>
      <c r="C1014" s="25">
        <f>IF(COUNTIF('کدهای پیام‌داروساز'!$A$2:$A$2442,A1014)&gt;0,"بله","خیر")</f>
        <v/>
      </c>
    </row>
    <row r="1015" ht="15" customHeight="1" s="14">
      <c r="A1015" s="24" t="n">
        <v>1905</v>
      </c>
      <c r="B1015" s="24" t="inlineStr">
        <is>
          <t>CITALOPRAM 20 MG TAB   قرص خوراکي 20 mg</t>
        </is>
      </c>
      <c r="C1015" s="25">
        <f>IF(COUNTIF('کدهای پیام‌داروساز'!$A$2:$A$2442,A1015)&gt;0,"بله","خیر")</f>
        <v/>
      </c>
    </row>
    <row r="1016" ht="15" customHeight="1" s="14">
      <c r="A1016" s="24" t="n">
        <v>1906</v>
      </c>
      <c r="B1016" s="24" t="inlineStr">
        <is>
          <t>CITALOPRAM 40 MG TAB   قرص خوراکي 40 mg</t>
        </is>
      </c>
      <c r="C1016" s="25">
        <f>IF(COUNTIF('کدهای پیام‌داروساز'!$A$2:$A$2442,A1016)&gt;0,"بله","خیر")</f>
        <v/>
      </c>
    </row>
    <row r="1017" ht="15" customHeight="1" s="14">
      <c r="A1017" s="24" t="n">
        <v>1907</v>
      </c>
      <c r="B1017" s="24" t="inlineStr">
        <is>
          <t>الازين (الانزاپين) 5 م گ قرص - تهران دارو</t>
        </is>
      </c>
      <c r="C1017" s="25">
        <f>IF(COUNTIF('کدهای پیام‌داروساز'!$A$2:$A$2442,A1017)&gt;0,"بله","خیر")</f>
        <v/>
      </c>
    </row>
    <row r="1018" ht="15" customHeight="1" s="14">
      <c r="A1018" s="24" t="n">
        <v>1908</v>
      </c>
      <c r="B1018" s="24" t="inlineStr">
        <is>
          <t>اسموپيون   قرص خوراکي 75 mg - داروسازي رها اصفهان</t>
        </is>
      </c>
      <c r="C1018" s="25">
        <f>IF(COUNTIF('کدهای پیام‌داروساز'!$A$2:$A$2442,A1018)&gt;0,"بله","خیر")</f>
        <v/>
      </c>
    </row>
    <row r="1019" ht="15" customHeight="1" s="14">
      <c r="A1019" s="24" t="n">
        <v>1909</v>
      </c>
      <c r="B1019" s="24" t="inlineStr">
        <is>
          <t>بوپروبايوکس   قرص خوراکي 100 mg - باختر بيو شيمي</t>
        </is>
      </c>
      <c r="C1019" s="25">
        <f>IF(COUNTIF('کدهای پیام‌داروساز'!$A$2:$A$2442,A1019)&gt;0,"بله","خیر")</f>
        <v/>
      </c>
    </row>
    <row r="1020" ht="15" customHeight="1" s="14">
      <c r="A1020" s="24" t="n">
        <v>1910</v>
      </c>
      <c r="B1020" s="24" t="inlineStr">
        <is>
          <t>آتورانيک   قرص خوراکي 10 mg - دارو سازي طب مفيد نيکان</t>
        </is>
      </c>
      <c r="C1020" s="25">
        <f>IF(COUNTIF('کدهای پیام‌داروساز'!$A$2:$A$2442,A1020)&gt;0,"بله","خیر")</f>
        <v/>
      </c>
    </row>
    <row r="1021" ht="15" customHeight="1" s="14">
      <c r="A1021" s="24" t="n">
        <v>1911</v>
      </c>
      <c r="B1021" s="24" t="inlineStr">
        <is>
          <t>آتوربان   قرص خوراکي 20 mg - مهبان دارو</t>
        </is>
      </c>
      <c r="C1021" s="25">
        <f>IF(COUNTIF('کدهای پیام‌داروساز'!$A$2:$A$2442,A1021)&gt;0,"بله","خیر")</f>
        <v/>
      </c>
    </row>
    <row r="1022" ht="15" customHeight="1" s="14">
      <c r="A1022" s="24" t="n">
        <v>1912</v>
      </c>
      <c r="B1022" s="24" t="inlineStr">
        <is>
          <t>آتوربان   قرص خوراکي 40 mg - مهبان دارو</t>
        </is>
      </c>
      <c r="C1022" s="25">
        <f>IF(COUNTIF('کدهای پیام‌داروساز'!$A$2:$A$2442,A1022)&gt;0,"بله","خیر")</f>
        <v/>
      </c>
    </row>
    <row r="1023" ht="15" customHeight="1" s="14">
      <c r="A1023" s="24" t="n">
        <v>1913</v>
      </c>
      <c r="B1023" s="24" t="inlineStr">
        <is>
          <t>آوي کوکسيب   کپسول خوراکي 100 mg - داروسازي آوه سينا</t>
        </is>
      </c>
      <c r="C1023" s="25">
        <f>IF(COUNTIF('کدهای پیام‌داروساز'!$A$2:$A$2442,A1023)&gt;0,"بله","خیر")</f>
        <v/>
      </c>
    </row>
    <row r="1024" ht="15" customHeight="1" s="14">
      <c r="A1024" s="24" t="n">
        <v>1914</v>
      </c>
      <c r="B1024" s="24" t="inlineStr">
        <is>
          <t xml:space="preserve">سينا تي يرز (پلي وينيل الکل) قطره چشمي 10ML - سينا دارو </t>
        </is>
      </c>
      <c r="C1024" s="25">
        <f>IF(COUNTIF('کدهای پیام‌داروساز'!$A$2:$A$2442,A1024)&gt;0,"بله","خیر")</f>
        <v/>
      </c>
    </row>
    <row r="1025" ht="15" customHeight="1" s="14">
      <c r="A1025" s="24" t="n">
        <v>1915</v>
      </c>
      <c r="B1025" s="24" t="inlineStr">
        <is>
          <t>اکسالان   پودر لئوفيليزه براي تهيه محلول تزريقي پرنترال 50 mg  mg - سه دال نانو</t>
        </is>
      </c>
      <c r="C1025" s="25">
        <f>IF(COUNTIF('کدهای پیام‌داروساز'!$A$2:$A$2442,A1025)&gt;0,"بله","خیر")</f>
        <v/>
      </c>
    </row>
    <row r="1026" ht="15" customHeight="1" s="14">
      <c r="A1026" s="24" t="n">
        <v>1916</v>
      </c>
      <c r="B1026" s="24" t="inlineStr">
        <is>
          <t>اکسالان   پودر لئوفيليزه براي تهيه محلول تزريقي پرنترال 100 mg  mg - سه دال نانو</t>
        </is>
      </c>
      <c r="C1026" s="25">
        <f>IF(COUNTIF('کدهای پیام‌داروساز'!$A$2:$A$2442,A1026)&gt;0,"بله","خیر")</f>
        <v/>
      </c>
    </row>
    <row r="1027" ht="15" customHeight="1" s="14">
      <c r="A1027" s="24" t="n">
        <v>1917</v>
      </c>
      <c r="B1027" s="24" t="inlineStr">
        <is>
          <t>PROLUTON 500 MG/2 ML   تزريقي پرنترال 250 mg/1mL 1</t>
        </is>
      </c>
      <c r="C1027" s="25">
        <f>IF(COUNTIF('کدهای پیام‌داروساز'!$A$2:$A$2442,A1027)&gt;0,"بله","خیر")</f>
        <v/>
      </c>
    </row>
    <row r="1028" ht="15" customHeight="1" s="14">
      <c r="A1028" s="24" t="n">
        <v>1921</v>
      </c>
      <c r="B1028" s="24" t="inlineStr">
        <is>
          <t>آميوگر (ريلوزول) 50 م گ قرص - هوگر دارو</t>
        </is>
      </c>
      <c r="C1028" s="25">
        <f>IF(COUNTIF('کدهای پیام‌داروساز'!$A$2:$A$2442,A1028)&gt;0,"بله","خیر")</f>
        <v/>
      </c>
    </row>
    <row r="1029" ht="15" customHeight="1" s="14">
      <c r="A1029" s="24" t="n">
        <v>1922</v>
      </c>
      <c r="B1029" s="24" t="inlineStr">
        <is>
          <t>FEMARA 2.5 MG TAB   قرص خوراکي 2.5 mg</t>
        </is>
      </c>
      <c r="C1029" s="25">
        <f>IF(COUNTIF('کدهای پیام‌داروساز'!$A$2:$A$2442,A1029)&gt;0,"بله","خیر")</f>
        <v/>
      </c>
    </row>
    <row r="1030" ht="15" customHeight="1" s="14">
      <c r="A1030" s="24" t="n">
        <v>1923</v>
      </c>
      <c r="B1030" s="24" t="inlineStr">
        <is>
          <t>امنيک (تامسولوسين هيدروکلرايد) 4/. م گ کپسول - بهستان</t>
        </is>
      </c>
      <c r="C1030" s="25">
        <f>IF(COUNTIF('کدهای پیام‌داروساز'!$A$2:$A$2442,A1030)&gt;0,"بله","خیر")</f>
        <v/>
      </c>
    </row>
    <row r="1031" ht="15" customHeight="1" s="14">
      <c r="A1031" s="24" t="n">
        <v>1924</v>
      </c>
      <c r="B1031" s="24" t="inlineStr">
        <is>
          <t>اينوتيو   قرص خوراکي 12.5 mg - داروسازي ابوريحان</t>
        </is>
      </c>
      <c r="C1031" s="25">
        <f>IF(COUNTIF('کدهای پیام‌داروساز'!$A$2:$A$2442,A1031)&gt;0,"بله","خیر")</f>
        <v/>
      </c>
    </row>
    <row r="1032" ht="15" customHeight="1" s="14">
      <c r="A1032" s="24" t="n">
        <v>1925</v>
      </c>
      <c r="B1032" s="24" t="inlineStr">
        <is>
          <t>اينوتيو (کاروديلول) 25 م گ قرص - ابوريحان</t>
        </is>
      </c>
      <c r="C1032" s="25">
        <f>IF(COUNTIF('کدهای پیام‌داروساز'!$A$2:$A$2442,A1032)&gt;0,"بله","خیر")</f>
        <v/>
      </c>
    </row>
    <row r="1033" ht="15" customHeight="1" s="14">
      <c r="A1033" s="24" t="n">
        <v>1926</v>
      </c>
      <c r="B1033" s="24" t="inlineStr">
        <is>
          <t>اويستا   قرص خوراکي 60 mg</t>
        </is>
      </c>
      <c r="C1033" s="25">
        <f>IF(COUNTIF('کدهای پیام‌داروساز'!$A$2:$A$2442,A1033)&gt;0,"بله","خیر")</f>
        <v/>
      </c>
    </row>
    <row r="1034" ht="15" customHeight="1" s="14">
      <c r="A1034" s="24" t="n">
        <v>1927</v>
      </c>
      <c r="B1034" s="24" t="inlineStr">
        <is>
          <t>آريسپت   قرص خوراکي 5 mg - بهستان دارو</t>
        </is>
      </c>
      <c r="C1034" s="25">
        <f>IF(COUNTIF('کدهای پیام‌داروساز'!$A$2:$A$2442,A1034)&gt;0,"بله","خیر")</f>
        <v/>
      </c>
    </row>
    <row r="1035" ht="15" customHeight="1" s="14">
      <c r="A1035" s="24" t="n">
        <v>1928</v>
      </c>
      <c r="B1035" s="24" t="inlineStr">
        <is>
          <t>آريسپت   قرص خوراکي 10 mg</t>
        </is>
      </c>
      <c r="C1035" s="25">
        <f>IF(COUNTIF('کدهای پیام‌داروساز'!$A$2:$A$2442,A1035)&gt;0,"بله","خیر")</f>
        <v/>
      </c>
    </row>
    <row r="1036" ht="15" customHeight="1" s="14">
      <c r="A1036" s="24" t="n">
        <v>1930</v>
      </c>
      <c r="B1036" s="24" t="inlineStr">
        <is>
          <t>AZOPT   سوسپانسيون، قطره چشمي 1 % 5</t>
        </is>
      </c>
      <c r="C1036" s="25">
        <f>IF(COUNTIF('کدهای پیام‌داروساز'!$A$2:$A$2442,A1036)&gt;0,"بله","خیر")</f>
        <v/>
      </c>
    </row>
    <row r="1037" ht="15" customHeight="1" s="14">
      <c r="A1037" s="24" t="n">
        <v>1932</v>
      </c>
      <c r="B1037" s="24" t="inlineStr">
        <is>
          <t>آوي کوکسيب   کپسول خوراکي 200 mg - داروسازي آوه سينا</t>
        </is>
      </c>
      <c r="C1037" s="25">
        <f>IF(COUNTIF('کدهای پیام‌داروساز'!$A$2:$A$2442,A1037)&gt;0,"بله","خیر")</f>
        <v/>
      </c>
    </row>
    <row r="1038" ht="15" customHeight="1" s="14">
      <c r="A1038" s="24" t="n">
        <v>1933</v>
      </c>
      <c r="B1038" s="24" t="inlineStr">
        <is>
          <t>پوزارکس   قرص خوراکي 50 mg</t>
        </is>
      </c>
      <c r="C1038" s="25">
        <f>IF(COUNTIF('کدهای پیام‌داروساز'!$A$2:$A$2442,A1038)&gt;0,"بله","خیر")</f>
        <v/>
      </c>
    </row>
    <row r="1039" ht="15" customHeight="1" s="14">
      <c r="A1039" s="24" t="n">
        <v>1934</v>
      </c>
      <c r="B1039" s="24" t="inlineStr">
        <is>
          <t>آمزوات   تزريقي پرنترال 200 mg/1mL 10 g - دارويي بهين پاد</t>
        </is>
      </c>
      <c r="C1039" s="25">
        <f>IF(COUNTIF('کدهای پیام‌داروساز'!$A$2:$A$2442,A1039)&gt;0,"بله","خیر")</f>
        <v/>
      </c>
    </row>
    <row r="1040" ht="15" customHeight="1" s="14">
      <c r="A1040" s="24" t="n">
        <v>1941</v>
      </c>
      <c r="B1040" s="24" t="inlineStr">
        <is>
          <t>اندريول 40 (تستسترون )کپسول - CIPLA(کوشان فارمد)</t>
        </is>
      </c>
      <c r="C1040" s="25">
        <f>IF(COUNTIF('کدهای پیام‌داروساز'!$A$2:$A$2442,A1040)&gt;0,"بله","خیر")</f>
        <v/>
      </c>
    </row>
    <row r="1041" ht="15" customHeight="1" s="14">
      <c r="A1041" s="24" t="n">
        <v>1943</v>
      </c>
      <c r="B1041" s="24" t="inlineStr">
        <is>
          <t>آران   اينهالر استنشاقي 100 % 100 mL - کار و انديشه</t>
        </is>
      </c>
      <c r="C1041" s="25">
        <f>IF(COUNTIF('کدهای پیام‌داروساز'!$A$2:$A$2442,A1041)&gt;0,"بله","خیر")</f>
        <v/>
      </c>
    </row>
    <row r="1042" ht="15" customHeight="1" s="14">
      <c r="A1042" s="24" t="n">
        <v>1947</v>
      </c>
      <c r="B1042" s="24" t="inlineStr">
        <is>
          <t>داتيسين (کليندامايسين) 300 م گ آمپول - تهران شيمي</t>
        </is>
      </c>
      <c r="C1042" s="25">
        <f>IF(COUNTIF('کدهای پیام‌داروساز'!$A$2:$A$2442,A1042)&gt;0,"بله","خیر")</f>
        <v/>
      </c>
    </row>
    <row r="1043" ht="15" customHeight="1" s="14">
      <c r="A1043" s="24" t="n">
        <v>1948</v>
      </c>
      <c r="B1043" s="24" t="inlineStr">
        <is>
          <t>فوليک اسيد   قرص خوراکي 5 mg</t>
        </is>
      </c>
      <c r="C1043" s="25">
        <f>IF(COUNTIF('کدهای پیام‌داروساز'!$A$2:$A$2442,A1043)&gt;0,"بله","خیر")</f>
        <v/>
      </c>
    </row>
    <row r="1044" ht="15" customHeight="1" s="14">
      <c r="A1044" s="24" t="n">
        <v>1949</v>
      </c>
      <c r="B1044" s="24" t="inlineStr">
        <is>
          <t>پروپرانولول   تزريقي پرنترال 1 mg/1mL 1 mg - داروسازي توليد دارو</t>
        </is>
      </c>
      <c r="C1044" s="25">
        <f>IF(COUNTIF('کدهای پیام‌داروساز'!$A$2:$A$2442,A1044)&gt;0,"بله","خیر")</f>
        <v/>
      </c>
    </row>
    <row r="1045" ht="15" customHeight="1" s="14">
      <c r="A1045" s="24" t="n">
        <v>1950</v>
      </c>
      <c r="B1045" s="24" t="inlineStr">
        <is>
          <t>آيوپک   تزريقي پرنترال 240 mg/1mL 100 mL - کارخانجات دارو پخش</t>
        </is>
      </c>
      <c r="C1045" s="25">
        <f>IF(COUNTIF('کدهای پیام‌داروساز'!$A$2:$A$2442,A1045)&gt;0,"بله","خیر")</f>
        <v/>
      </c>
    </row>
    <row r="1046" ht="15" customHeight="1" s="14">
      <c r="A1046" s="24" t="n">
        <v>1951</v>
      </c>
      <c r="B1046" s="24" t="inlineStr">
        <is>
          <t>آروفول   امولسيون تزريقي پرنترال 10 mg/1mL 50 mg - دارو درمان آرنگ</t>
        </is>
      </c>
      <c r="C1046" s="25">
        <f>IF(COUNTIF('کدهای پیام‌داروساز'!$A$2:$A$2442,A1046)&gt;0,"بله","خیر")</f>
        <v/>
      </c>
    </row>
    <row r="1047" ht="15" customHeight="1" s="14">
      <c r="A1047" s="24" t="n">
        <v>1956</v>
      </c>
      <c r="B1047" s="24" t="inlineStr">
        <is>
          <t>دسفوناک   پودر لئوفيليزه براي تهيه محلول تزريقي پرنترال 2 g  g - روناک</t>
        </is>
      </c>
      <c r="C1047" s="25">
        <f>IF(COUNTIF('کدهای پیام‌داروساز'!$A$2:$A$2442,A1047)&gt;0,"بله","خیر")</f>
        <v/>
      </c>
    </row>
    <row r="1048" ht="15" customHeight="1" s="14">
      <c r="A1048" s="24" t="n">
        <v>1970</v>
      </c>
      <c r="B1048" s="24" t="inlineStr">
        <is>
          <t>موسيليوم (بدون طعم) ملين گياهي ساشه -  ايران داروک</t>
        </is>
      </c>
      <c r="C1048" s="25">
        <f>IF(COUNTIF('کدهای پیام‌داروساز'!$A$2:$A$2442,A1048)&gt;0,"بله","خیر")</f>
        <v/>
      </c>
    </row>
    <row r="1049" ht="15" customHeight="1" s="14">
      <c r="A1049" s="24" t="n">
        <v>1980</v>
      </c>
      <c r="B1049" s="24" t="inlineStr">
        <is>
          <t>آپو-دسموپرسين   قرص خوراکي 0.1 mg - رستا ايمن دارو</t>
        </is>
      </c>
      <c r="C1049" s="25">
        <f>IF(COUNTIF('کدهای پیام‌داروساز'!$A$2:$A$2442,A1049)&gt;0,"بله","خیر")</f>
        <v/>
      </c>
    </row>
    <row r="1050" ht="15" customHeight="1" s="14">
      <c r="A1050" s="24" t="n">
        <v>1982</v>
      </c>
      <c r="B1050" s="24" t="inlineStr">
        <is>
          <t>ايرا-ترامادول   کپسول خوراکي 50 mg - ايران دارو</t>
        </is>
      </c>
      <c r="C1050" s="25">
        <f>IF(COUNTIF('کدهای پیام‌داروساز'!$A$2:$A$2442,A1050)&gt;0,"بله","خیر")</f>
        <v/>
      </c>
    </row>
    <row r="1051" ht="15" customHeight="1" s="14">
      <c r="A1051" s="24" t="n">
        <v>1983</v>
      </c>
      <c r="B1051" s="24" t="inlineStr">
        <is>
          <t>بوپرنورفين   قرص زيرزباني 0.4 mg - داروسازي فاران شيمي</t>
        </is>
      </c>
      <c r="C1051" s="25">
        <f>IF(COUNTIF('کدهای پیام‌داروساز'!$A$2:$A$2442,A1051)&gt;0,"بله","خیر")</f>
        <v/>
      </c>
    </row>
    <row r="1052" ht="15" customHeight="1" s="14">
      <c r="A1052" s="24" t="n">
        <v>1987</v>
      </c>
      <c r="B1052" s="24" t="inlineStr">
        <is>
          <t>اپوفن   پچ از راه پوستي 25 ug/1h  mg - بهستان دارو</t>
        </is>
      </c>
      <c r="C1052" s="25">
        <f>IF(COUNTIF('کدهای پیام‌داروساز'!$A$2:$A$2442,A1052)&gt;0,"بله","خیر")</f>
        <v/>
      </c>
    </row>
    <row r="1053" ht="15" customHeight="1" s="14">
      <c r="A1053" s="24" t="n">
        <v>1988</v>
      </c>
      <c r="B1053" s="24" t="inlineStr">
        <is>
          <t>اپوفن   پچ از راه پوستي 50 ug/1h  mg - بهستان دارو</t>
        </is>
      </c>
      <c r="C1053" s="25">
        <f>IF(COUNTIF('کدهای پیام‌داروساز'!$A$2:$A$2442,A1053)&gt;0,"بله","خیر")</f>
        <v/>
      </c>
    </row>
    <row r="1054" ht="15" customHeight="1" s="14">
      <c r="A1054" s="24" t="n">
        <v>1990</v>
      </c>
      <c r="B1054" s="24" t="inlineStr">
        <is>
          <t>واکسن ام آر   پودر لئوفيليزه براي تهيه محلول تزريقي پرنترال 10 {dose} 5 {dose} - بازرگاني سها کيش</t>
        </is>
      </c>
      <c r="C1054" s="25">
        <f>IF(COUNTIF('کدهای پیام‌داروساز'!$A$2:$A$2442,A1054)&gt;0,"بله","خیر")</f>
        <v/>
      </c>
    </row>
    <row r="1055" ht="15" customHeight="1" s="14">
      <c r="A1055" s="24" t="n">
        <v>1991</v>
      </c>
      <c r="B1055" s="24" t="inlineStr">
        <is>
          <t>لاتريگال   قرص خوراکي 25 mg - دارو درمان سلامت پارس</t>
        </is>
      </c>
      <c r="C1055" s="25">
        <f>IF(COUNTIF('کدهای پیام‌داروساز'!$A$2:$A$2442,A1055)&gt;0,"بله","خیر")</f>
        <v/>
      </c>
    </row>
    <row r="1056" ht="15" customHeight="1" s="14">
      <c r="A1056" s="24" t="n">
        <v>1993</v>
      </c>
      <c r="B1056" s="24" t="inlineStr">
        <is>
          <t>آلفن   کپسول پيوسته رهش خوراکي 100 mg - البرز دارو</t>
        </is>
      </c>
      <c r="C1056" s="25">
        <f>IF(COUNTIF('کدهای پیام‌داروساز'!$A$2:$A$2442,A1056)&gt;0,"بله","خیر")</f>
        <v/>
      </c>
    </row>
    <row r="1057" ht="15" customHeight="1" s="14">
      <c r="A1057" s="24" t="n">
        <v>1996</v>
      </c>
      <c r="B1057" s="24" t="inlineStr">
        <is>
          <t>دونئورين   قرص خوراکي 25 mg</t>
        </is>
      </c>
      <c r="C1057" s="25">
        <f>IF(COUNTIF('کدهای پیام‌داروساز'!$A$2:$A$2442,A1057)&gt;0,"بله","خیر")</f>
        <v/>
      </c>
    </row>
    <row r="1058" ht="15" customHeight="1" s="14">
      <c r="A1058" s="24" t="n">
        <v>1998</v>
      </c>
      <c r="B1058" s="24" t="inlineStr">
        <is>
          <t>اگزکيم   کپسول خوراکي 1.5 mg</t>
        </is>
      </c>
      <c r="C1058" s="25">
        <f>IF(COUNTIF('کدهای پیام‌داروساز'!$A$2:$A$2442,A1058)&gt;0,"بله","خیر")</f>
        <v/>
      </c>
    </row>
    <row r="1059" ht="15" customHeight="1" s="14">
      <c r="A1059" s="24" t="n">
        <v>1999</v>
      </c>
      <c r="B1059" s="24" t="inlineStr">
        <is>
          <t>اگزکيم   کپسول خوراکي 3 mg</t>
        </is>
      </c>
      <c r="C1059" s="25">
        <f>IF(COUNTIF('کدهای پیام‌داروساز'!$A$2:$A$2442,A1059)&gt;0,"بله","خیر")</f>
        <v/>
      </c>
    </row>
    <row r="1060" ht="15" customHeight="1" s="14">
      <c r="A1060" s="24" t="n">
        <v>2000</v>
      </c>
      <c r="B1060" s="24" t="inlineStr">
        <is>
          <t>اکسفارم   کپسول خوراکي 4.5 mg - کيش مديفارم</t>
        </is>
      </c>
      <c r="C1060" s="25">
        <f>IF(COUNTIF('کدهای پیام‌داروساز'!$A$2:$A$2442,A1060)&gt;0,"بله","خیر")</f>
        <v/>
      </c>
    </row>
    <row r="1061" ht="15" customHeight="1" s="14">
      <c r="A1061" s="24" t="n">
        <v>2001</v>
      </c>
      <c r="B1061" s="24" t="inlineStr">
        <is>
          <t>روپارک   قرص خوراکي 0.25 mg - پارس فارمد آريا</t>
        </is>
      </c>
      <c r="C1061" s="25">
        <f>IF(COUNTIF('کدهای پیام‌داروساز'!$A$2:$A$2442,A1061)&gt;0,"بله","خیر")</f>
        <v/>
      </c>
    </row>
    <row r="1062" ht="15" customHeight="1" s="14">
      <c r="A1062" s="24" t="n">
        <v>2002</v>
      </c>
      <c r="B1062" s="24" t="inlineStr">
        <is>
          <t>روپارک   قرص خوراکي 1 mg - پارس فارمد آريا</t>
        </is>
      </c>
      <c r="C1062" s="25">
        <f>IF(COUNTIF('کدهای پیام‌داروساز'!$A$2:$A$2442,A1062)&gt;0,"بله","خیر")</f>
        <v/>
      </c>
    </row>
    <row r="1063" ht="15" customHeight="1" s="14">
      <c r="A1063" s="24" t="n">
        <v>2003</v>
      </c>
      <c r="B1063" s="24" t="inlineStr">
        <is>
          <t>روپينيرول   قرص خوراکي 5 mg - داروسازي تهران شيمي</t>
        </is>
      </c>
      <c r="C1063" s="25">
        <f>IF(COUNTIF('کدهای پیام‌داروساز'!$A$2:$A$2442,A1063)&gt;0,"بله","خیر")</f>
        <v/>
      </c>
    </row>
    <row r="1064" ht="15" customHeight="1" s="14">
      <c r="A1064" s="24" t="n">
        <v>2004</v>
      </c>
      <c r="B1064" s="24" t="inlineStr">
        <is>
          <t>آنتي ميگرامين   قرص خوراکي 50 mg</t>
        </is>
      </c>
      <c r="C1064" s="25">
        <f>IF(COUNTIF('کدهای پیام‌داروساز'!$A$2:$A$2442,A1064)&gt;0,"بله","خیر")</f>
        <v/>
      </c>
    </row>
    <row r="1065" ht="15" customHeight="1" s="14">
      <c r="A1065" s="24" t="n">
        <v>2005</v>
      </c>
      <c r="B1065" s="24" t="inlineStr">
        <is>
          <t>بايوتريپتان   قرص خوراکي 100 mg - باختر بيو شيمي</t>
        </is>
      </c>
      <c r="C1065" s="25">
        <f>IF(COUNTIF('کدهای پیام‌داروساز'!$A$2:$A$2442,A1065)&gt;0,"بله","خیر")</f>
        <v/>
      </c>
    </row>
    <row r="1066" ht="15" customHeight="1" s="14">
      <c r="A1066" s="24" t="n">
        <v>2006</v>
      </c>
      <c r="B1066" s="24" t="inlineStr">
        <is>
          <t>الوکوين   کرم موضعي 4 % 30 g</t>
        </is>
      </c>
      <c r="C1066" s="25">
        <f>IF(COUNTIF('کدهای پیام‌داروساز'!$A$2:$A$2442,A1066)&gt;0,"بله","خیر")</f>
        <v/>
      </c>
    </row>
    <row r="1067" ht="15" customHeight="1" s="14">
      <c r="A1067" s="24" t="n">
        <v>2009</v>
      </c>
      <c r="B1067" s="24" t="inlineStr">
        <is>
          <t>افلوفکت   قرص خوراکي 300 mg</t>
        </is>
      </c>
      <c r="C1067" s="25">
        <f>IF(COUNTIF('کدهای پیام‌داروساز'!$A$2:$A$2442,A1067)&gt;0,"بله","خیر")</f>
        <v/>
      </c>
    </row>
    <row r="1068" ht="15" customHeight="1" s="14">
      <c r="A1068" s="24" t="n">
        <v>2011</v>
      </c>
      <c r="B1068" s="24" t="inlineStr">
        <is>
          <t>لوراتادين   شربت خوراکي 5 mg/5 mL 60 mg - رامو فارمين</t>
        </is>
      </c>
      <c r="C1068" s="25">
        <f>IF(COUNTIF('کدهای پیام‌داروساز'!$A$2:$A$2442,A1068)&gt;0,"بله","خیر")</f>
        <v/>
      </c>
    </row>
    <row r="1069" ht="15" customHeight="1" s="14">
      <c r="A1069" s="24" t="n">
        <v>2012</v>
      </c>
      <c r="B1069" s="24" t="inlineStr">
        <is>
          <t>استافلش 500 (استامينوفن ) قرص - آراميس</t>
        </is>
      </c>
      <c r="C1069" s="25">
        <f>IF(COUNTIF('کدهای پیام‌داروساز'!$A$2:$A$2442,A1069)&gt;0,"بله","خیر")</f>
        <v/>
      </c>
    </row>
    <row r="1070" ht="15" customHeight="1" s="14">
      <c r="A1070" s="24" t="n">
        <v>2014</v>
      </c>
      <c r="B1070" s="24" t="inlineStr">
        <is>
          <t>کلرفنيرآمين   شربت خوراکي 2 mg/5 mL 60 mL - ايران دارو</t>
        </is>
      </c>
      <c r="C1070" s="25">
        <f>IF(COUNTIF('کدهای پیام‌داروساز'!$A$2:$A$2442,A1070)&gt;0,"بله","خیر")</f>
        <v/>
      </c>
    </row>
    <row r="1071" ht="15" customHeight="1" s="14">
      <c r="A1071" s="24" t="n">
        <v>2015</v>
      </c>
      <c r="B1071" s="24" t="inlineStr">
        <is>
          <t>آکاربوز   قرص خوراکي 100 mg</t>
        </is>
      </c>
      <c r="C1071" s="25">
        <f>IF(COUNTIF('کدهای پیام‌داروساز'!$A$2:$A$2442,A1071)&gt;0,"بله","خیر")</f>
        <v/>
      </c>
    </row>
    <row r="1072" ht="15" customHeight="1" s="14">
      <c r="A1072" s="24" t="n">
        <v>2016</v>
      </c>
      <c r="B1072" s="24" t="inlineStr">
        <is>
          <t>آکاربوز   قرص خوراکي 50 mg</t>
        </is>
      </c>
      <c r="C1072" s="25">
        <f>IF(COUNTIF('کدهای پیام‌داروساز'!$A$2:$A$2442,A1072)&gt;0,"بله","خیر")</f>
        <v/>
      </c>
    </row>
    <row r="1073" ht="15" customHeight="1" s="14">
      <c r="A1073" s="24" t="n">
        <v>2017</v>
      </c>
      <c r="B1073" s="24" t="inlineStr">
        <is>
          <t>آلوپورينول   قرص خوراکي 300 mg - آفا شيمي</t>
        </is>
      </c>
      <c r="C1073" s="25">
        <f>IF(COUNTIF('کدهای پیام‌داروساز'!$A$2:$A$2442,A1073)&gt;0,"بله","خیر")</f>
        <v/>
      </c>
    </row>
    <row r="1074" ht="15" customHeight="1" s="14">
      <c r="A1074" s="24" t="n">
        <v>2020</v>
      </c>
      <c r="B1074" s="24" t="inlineStr">
        <is>
          <t>فاراموکس   قرص جويدني خوراکي 250 mg - دارو سازي فارابي</t>
        </is>
      </c>
      <c r="C1074" s="25">
        <f>IF(COUNTIF('کدهای پیام‌داروساز'!$A$2:$A$2442,A1074)&gt;0,"بله","خیر")</f>
        <v/>
      </c>
    </row>
    <row r="1075" ht="15" customHeight="1" s="14">
      <c r="A1075" s="24" t="n">
        <v>2021</v>
      </c>
      <c r="B1075" s="24" t="inlineStr">
        <is>
          <t>ايراموکس   قرص خوراکي 500 mg - داروسازي کوثر</t>
        </is>
      </c>
      <c r="C1075" s="25">
        <f>IF(COUNTIF('کدهای پیام‌داروساز'!$A$2:$A$2442,A1075)&gt;0,"بله","خیر")</f>
        <v/>
      </c>
    </row>
    <row r="1076" ht="15" customHeight="1" s="14">
      <c r="A1076" s="24" t="n">
        <v>2027</v>
      </c>
      <c r="B1076" s="24" t="inlineStr">
        <is>
          <t>بنزيلاژين   دهانشويه جهت شستشو 0.15 % 240 mL - داروسازي اکسير</t>
        </is>
      </c>
      <c r="C1076" s="25">
        <f>IF(COUNTIF('کدهای پیام‌داروساز'!$A$2:$A$2442,A1076)&gt;0,"بله","خیر")</f>
        <v/>
      </c>
    </row>
    <row r="1077" ht="15" customHeight="1" s="14">
      <c r="A1077" s="24" t="n">
        <v>2029</v>
      </c>
      <c r="B1077" s="24" t="inlineStr">
        <is>
          <t>فارينات   قرص خوراکي 125 mg - دارو سازي فارابي</t>
        </is>
      </c>
      <c r="C1077" s="25">
        <f>IF(COUNTIF('کدهای پیام‌داروساز'!$A$2:$A$2442,A1077)&gt;0,"بله","خیر")</f>
        <v/>
      </c>
    </row>
    <row r="1078" ht="15" customHeight="1" s="14">
      <c r="A1078" s="24" t="n">
        <v>2031</v>
      </c>
      <c r="B1078" s="24" t="inlineStr">
        <is>
          <t>سفوروکسيم نورمون   قرص خوراکي 250 mg - تچرا دارو</t>
        </is>
      </c>
      <c r="C1078" s="25">
        <f>IF(COUNTIF('کدهای پیام‌داروساز'!$A$2:$A$2442,A1078)&gt;0,"بله","خیر")</f>
        <v/>
      </c>
    </row>
    <row r="1079" ht="15" customHeight="1" s="14">
      <c r="A1079" s="24" t="n">
        <v>2032</v>
      </c>
      <c r="B1079" s="24" t="inlineStr">
        <is>
          <t>سفورکسيم 500(فارينات خارجي)</t>
        </is>
      </c>
      <c r="C1079" s="25">
        <f>IF(COUNTIF('کدهای پیام‌داروساز'!$A$2:$A$2442,A1079)&gt;0,"بله","خیر")</f>
        <v/>
      </c>
    </row>
    <row r="1080" ht="15" customHeight="1" s="14">
      <c r="A1080" s="24" t="n">
        <v>2033</v>
      </c>
      <c r="B1080" s="24" t="inlineStr">
        <is>
          <t>اسموپيون (بوپروپيون هيدروکلرايد) 150 م گ قرص - رها</t>
        </is>
      </c>
      <c r="C1080" s="25">
        <f>IF(COUNTIF('کدهای پیام‌داروساز'!$A$2:$A$2442,A1080)&gt;0,"بله","خیر")</f>
        <v/>
      </c>
    </row>
    <row r="1081" ht="15" customHeight="1" s="14">
      <c r="A1081" s="24" t="n">
        <v>2034</v>
      </c>
      <c r="B1081" s="24" t="inlineStr">
        <is>
          <t>پيلورسيدال   قرص خوراکي 500 mg - داروسازي خوارزمي</t>
        </is>
      </c>
      <c r="C1081" s="25">
        <f>IF(COUNTIF('کدهای پیام‌داروساز'!$A$2:$A$2442,A1081)&gt;0,"بله","خیر")</f>
        <v/>
      </c>
    </row>
    <row r="1082" ht="15" customHeight="1" s="14">
      <c r="A1082" s="24" t="n">
        <v>2035</v>
      </c>
      <c r="B1082" s="24" t="inlineStr">
        <is>
          <t>الانزاپين-عبيدي   قرص خوراکي 10 mg - داروسازي دکتر عبيدي</t>
        </is>
      </c>
      <c r="C1082" s="25">
        <f>IF(COUNTIF('کدهای پیام‌داروساز'!$A$2:$A$2442,A1082)&gt;0,"بله","خیر")</f>
        <v/>
      </c>
    </row>
    <row r="1083" ht="15" customHeight="1" s="14">
      <c r="A1083" s="24" t="n">
        <v>2040</v>
      </c>
      <c r="B1083" s="24" t="inlineStr">
        <is>
          <t>دکستروز/ سديم کلرايد   محلول تزريقي داخل وريدي 5 %/0.9 % 250 mL - داروسازي شهيد قاضي</t>
        </is>
      </c>
      <c r="C1083" s="25">
        <f>IF(COUNTIF('کدهای پیام‌داروساز'!$A$2:$A$2442,A1083)&gt;0,"بله","خیر")</f>
        <v/>
      </c>
    </row>
    <row r="1084" ht="15" customHeight="1" s="14">
      <c r="A1084" s="24" t="n">
        <v>2041</v>
      </c>
      <c r="B1084" s="24" t="inlineStr">
        <is>
          <t>ديکلوتان (ديکلوفناک سديم) 50 م گ قرص - سبحان</t>
        </is>
      </c>
      <c r="C1084" s="25">
        <f>IF(COUNTIF('کدهای پیام‌داروساز'!$A$2:$A$2442,A1084)&gt;0,"بله","خیر")</f>
        <v/>
      </c>
    </row>
    <row r="1085" ht="15" customHeight="1" s="14">
      <c r="A1085" s="24" t="n">
        <v>2043</v>
      </c>
      <c r="B1085" s="24" t="inlineStr">
        <is>
          <t>انوپرا   تزريقي پرنترال 100 mg/1mL 0.4 [iU]</t>
        </is>
      </c>
      <c r="C1085" s="25">
        <f>IF(COUNTIF('کدهای پیام‌داروساز'!$A$2:$A$2442,A1085)&gt;0,"بله","خیر")</f>
        <v/>
      </c>
    </row>
    <row r="1086" ht="15" customHeight="1" s="14">
      <c r="A1086" s="24" t="n">
        <v>2045</v>
      </c>
      <c r="B1086" s="24" t="inlineStr">
        <is>
          <t>استروژل   ژل موضعي 0.06 % 80 g - دارويي بهين پاد</t>
        </is>
      </c>
      <c r="C1086" s="25">
        <f>IF(COUNTIF('کدهای پیام‌داروساز'!$A$2:$A$2442,A1086)&gt;0,"بله","خیر")</f>
        <v/>
      </c>
    </row>
    <row r="1087" ht="15" customHeight="1" s="14">
      <c r="A1087" s="24" t="n">
        <v>2049</v>
      </c>
      <c r="B1087" s="24" t="inlineStr">
        <is>
          <t>فروفورت دئودنال ( فروس گلايسين سولفات ) کپسول - عبيدي</t>
        </is>
      </c>
      <c r="C1087" s="25">
        <f>IF(COUNTIF('کدهای پیام‌داروساز'!$A$2:$A$2442,A1087)&gt;0,"بله","خیر")</f>
        <v/>
      </c>
    </row>
    <row r="1088" ht="15" customHeight="1" s="14">
      <c r="A1088" s="24" t="n">
        <v>2051</v>
      </c>
      <c r="B1088" s="24" t="inlineStr">
        <is>
          <t>فلوکستين   شربت خوراکي 4 mg/1mL 60 mg - خدمات دارويي رضوي</t>
        </is>
      </c>
      <c r="C1088" s="25">
        <f>IF(COUNTIF('کدهای پیام‌داروساز'!$A$2:$A$2442,A1088)&gt;0,"بله","خیر")</f>
        <v/>
      </c>
    </row>
    <row r="1089" ht="15" customHeight="1" s="14">
      <c r="A1089" s="24" t="n">
        <v>2052</v>
      </c>
      <c r="B1089" s="24" t="inlineStr">
        <is>
          <t>فلوتيکاپن 250 ميکروگرم 60 پاف (فلوتيکازون پروپيونات) اينهالر - ELPEN</t>
        </is>
      </c>
      <c r="C1089" s="25">
        <f>IF(COUNTIF('کدهای پیام‌داروساز'!$A$2:$A$2442,A1089)&gt;0,"بله","خیر")</f>
        <v/>
      </c>
    </row>
    <row r="1090" ht="15" customHeight="1" s="14">
      <c r="A1090" s="24" t="n">
        <v>2053</v>
      </c>
      <c r="B1090" s="24" t="inlineStr">
        <is>
          <t>فلوتيزوکس 50 ميکروگرم اچ اف آ 120 پاف (فلوتيکازون پروپيونات) اينهالر - جابر ابن حيان</t>
        </is>
      </c>
      <c r="C1090" s="25">
        <f>IF(COUNTIF('کدهای پیام‌داروساز'!$A$2:$A$2442,A1090)&gt;0,"بله","خیر")</f>
        <v/>
      </c>
    </row>
    <row r="1091" ht="15" customHeight="1" s="14">
      <c r="A1091" s="24" t="n">
        <v>2054</v>
      </c>
      <c r="B1091" s="24" t="inlineStr">
        <is>
          <t>گليسيرين 1 گرم شياف اطفال - بهوزان</t>
        </is>
      </c>
      <c r="C1091" s="25">
        <f>IF(COUNTIF('کدهای پیام‌داروساز'!$A$2:$A$2442,A1091)&gt;0,"بله","خیر")</f>
        <v/>
      </c>
    </row>
    <row r="1092" ht="15" customHeight="1" s="14">
      <c r="A1092" s="24" t="n">
        <v>2055</v>
      </c>
      <c r="B1092" s="24" t="inlineStr">
        <is>
          <t>گليسرين   شياف مقعدي 2 g  g - ايران آوند فر</t>
        </is>
      </c>
      <c r="C1092" s="25">
        <f>IF(COUNTIF('کدهای پیام‌داروساز'!$A$2:$A$2442,A1092)&gt;0,"بله","خیر")</f>
        <v/>
      </c>
    </row>
    <row r="1093" ht="15" customHeight="1" s="14">
      <c r="A1093" s="24" t="n">
        <v>2056</v>
      </c>
      <c r="B1093" s="24" t="inlineStr">
        <is>
          <t>درم ايد 1% (هيدروکورتيزون) کرم موضعي 30گرم - ايگو</t>
        </is>
      </c>
      <c r="C1093" s="25">
        <f>IF(COUNTIF('کدهای پیام‌داروساز'!$A$2:$A$2442,A1093)&gt;0,"بله","خیر")</f>
        <v/>
      </c>
    </row>
    <row r="1094" ht="15" customHeight="1" s="14">
      <c r="A1094" s="24" t="n">
        <v>2059</v>
      </c>
      <c r="B1094" s="24" t="inlineStr">
        <is>
          <t>امني پک (آيوهگزول) 350 ميليگرم / 1 ميلي ليتر 50 ميلي ليتر</t>
        </is>
      </c>
      <c r="C1094" s="25">
        <f>IF(COUNTIF('کدهای پیام‌داروساز'!$A$2:$A$2442,A1094)&gt;0,"بله","خیر")</f>
        <v/>
      </c>
    </row>
    <row r="1095" ht="15" customHeight="1" s="14">
      <c r="A1095" s="24" t="n">
        <v>2060</v>
      </c>
      <c r="B1095" s="24" t="inlineStr">
        <is>
          <t>آيوپک   تزريقي پرنترال 300 mg/1mL 100 mL - کارخانجات دارو پخش</t>
        </is>
      </c>
      <c r="C1095" s="25">
        <f>IF(COUNTIF('کدهای پیام‌داروساز'!$A$2:$A$2442,A1095)&gt;0,"بله","خیر")</f>
        <v/>
      </c>
    </row>
    <row r="1096" ht="15" customHeight="1" s="14">
      <c r="A1096" s="24" t="n">
        <v>2062</v>
      </c>
      <c r="B1096" s="24" t="inlineStr">
        <is>
          <t>آيوهگزول   تزريقي پرنترال 350 mg/1mL 50 - فرهام بهار درمان</t>
        </is>
      </c>
      <c r="C1096" s="25">
        <f>IF(COUNTIF('کدهای پیام‌داروساز'!$A$2:$A$2442,A1096)&gt;0,"بله","خیر")</f>
        <v/>
      </c>
    </row>
    <row r="1097" ht="15" customHeight="1" s="14">
      <c r="A1097" s="24" t="n">
        <v>2063</v>
      </c>
      <c r="B1097" s="24" t="inlineStr">
        <is>
          <t>آيوپک   تزريقي پرنترال 350 mg/1mL 100 mL - کارخانجات دارو پخش</t>
        </is>
      </c>
      <c r="C1097" s="25">
        <f>IF(COUNTIF('کدهای پیام‌داروساز'!$A$2:$A$2442,A1097)&gt;0,"بله","خیر")</f>
        <v/>
      </c>
    </row>
    <row r="1098" ht="15" customHeight="1" s="14">
      <c r="A1098" s="24" t="n">
        <v>2066</v>
      </c>
      <c r="B1098" s="24" t="inlineStr">
        <is>
          <t>لاميوودين   محلول خوراکي 10 mg/1mL 100 mL - بازرگاني سها کيش</t>
        </is>
      </c>
      <c r="C1098" s="25">
        <f>IF(COUNTIF('کدهای پیام‌داروساز'!$A$2:$A$2442,A1098)&gt;0,"بله","خیر")</f>
        <v/>
      </c>
    </row>
    <row r="1099" ht="15" customHeight="1" s="14">
      <c r="A1099" s="24" t="n">
        <v>2067</v>
      </c>
      <c r="B1099" s="24" t="inlineStr">
        <is>
          <t>اثيروکس 50 (لووتيروکسين سديم) قرص - مرک</t>
        </is>
      </c>
      <c r="C1099" s="25">
        <f>IF(COUNTIF('کدهای پیام‌داروساز'!$A$2:$A$2442,A1099)&gt;0,"بله","خیر")</f>
        <v/>
      </c>
    </row>
    <row r="1100" ht="15" customHeight="1" s="14">
      <c r="A1100" s="24" t="n">
        <v>2068</v>
      </c>
      <c r="B1100" s="24" t="inlineStr">
        <is>
          <t>آفيکايين (ليدوکائين 2.5 درصد/پريلوکائين 2.5 درصد) 30 گرم کرم موضعي - آوند فر</t>
        </is>
      </c>
      <c r="C1100" s="25">
        <f>IF(COUNTIF('کدهای پیام‌داروساز'!$A$2:$A$2442,A1100)&gt;0,"بله","خیر")</f>
        <v/>
      </c>
    </row>
    <row r="1101" ht="15" customHeight="1" s="14">
      <c r="A1101" s="24" t="n">
        <v>2073</v>
      </c>
      <c r="B1101" s="24" t="inlineStr">
        <is>
          <t xml:space="preserve">آمپول متورال 5 م گ </t>
        </is>
      </c>
      <c r="C1101" s="25">
        <f>IF(COUNTIF('کدهای پیام‌داروساز'!$A$2:$A$2442,A1101)&gt;0,"بله","خیر")</f>
        <v/>
      </c>
    </row>
    <row r="1102" ht="15" customHeight="1" s="14">
      <c r="A1102" s="24" t="n">
        <v>2074</v>
      </c>
      <c r="B1102" s="24" t="inlineStr">
        <is>
          <t>متروژيل (مترونيدازول) 75/. درصد 70 گرم ژل واژينال - ناژو</t>
        </is>
      </c>
      <c r="C1102" s="25">
        <f>IF(COUNTIF('کدهای پیام‌داروساز'!$A$2:$A$2442,A1102)&gt;0,"بله","خیر")</f>
        <v/>
      </c>
    </row>
    <row r="1103" ht="15" customHeight="1" s="14">
      <c r="A1103" s="24" t="n">
        <v>2076</v>
      </c>
      <c r="B1103" s="24" t="inlineStr">
        <is>
          <t>آفي روکسن 500 (ناپروکسن) شياف - آوندفر</t>
        </is>
      </c>
      <c r="C1103" s="25">
        <f>IF(COUNTIF('کدهای پیام‌داروساز'!$A$2:$A$2442,A1103)&gt;0,"بله","خیر")</f>
        <v/>
      </c>
    </row>
    <row r="1104" ht="15" customHeight="1" s="14">
      <c r="A1104" s="24" t="n">
        <v>2079</v>
      </c>
      <c r="B1104" s="24" t="inlineStr">
        <is>
          <t>آرسدال   تزريقي پرنترال 0.1 % 10 mg - سه دال نانو</t>
        </is>
      </c>
      <c r="C1104" s="25">
        <f>IF(COUNTIF('کدهای پیام‌داروساز'!$A$2:$A$2442,A1104)&gt;0,"بله","خیر")</f>
        <v/>
      </c>
    </row>
    <row r="1105" ht="15" customHeight="1" s="14">
      <c r="A1105" s="24" t="n">
        <v>2080</v>
      </c>
      <c r="B1105" s="24" t="inlineStr">
        <is>
          <t>ابسرتين   پودر براي تهيه محلول تزريقي پرنترال 200 [iU]  [iU] - بازرگاني سها کيش</t>
        </is>
      </c>
      <c r="C1105" s="25">
        <f>IF(COUNTIF('کدهای پیام‌داروساز'!$A$2:$A$2442,A1105)&gt;0,"بله","خیر")</f>
        <v/>
      </c>
    </row>
    <row r="1106" ht="15" customHeight="1" s="14">
      <c r="A1106" s="24" t="n">
        <v>2081</v>
      </c>
      <c r="B1106" s="24" t="inlineStr">
        <is>
          <t>پيپراتاز   پودر براي تهيه محلول تزريقي پرنترال 2 g/0.25 g  g - داروسازي دانا</t>
        </is>
      </c>
      <c r="C1106" s="25">
        <f>IF(COUNTIF('کدهای پیام‌داروساز'!$A$2:$A$2442,A1106)&gt;0,"بله","خیر")</f>
        <v/>
      </c>
    </row>
    <row r="1107" ht="15" customHeight="1" s="14">
      <c r="A1107" s="24" t="n">
        <v>2082</v>
      </c>
      <c r="B1107" s="24" t="inlineStr">
        <is>
          <t>اکتوژست   شياف واژينال 400 mg  mg</t>
        </is>
      </c>
      <c r="C1107" s="25">
        <f>IF(COUNTIF('کدهای پیام‌داروساز'!$A$2:$A$2442,A1107)&gt;0,"بله","خیر")</f>
        <v/>
      </c>
    </row>
    <row r="1108" ht="15" customHeight="1" s="14">
      <c r="A1108" s="24" t="n">
        <v>2083</v>
      </c>
      <c r="B1108" s="24" t="inlineStr">
        <is>
          <t>ادپورت   کپسول خوراکي 1 mg - بهستان دارو</t>
        </is>
      </c>
      <c r="C1108" s="25">
        <f>IF(COUNTIF('کدهای پیام‌داروساز'!$A$2:$A$2442,A1108)&gt;0,"بله","خیر")</f>
        <v/>
      </c>
    </row>
    <row r="1109" ht="15" customHeight="1" s="14">
      <c r="A1109" s="24" t="n">
        <v>2084</v>
      </c>
      <c r="B1109" s="24" t="inlineStr">
        <is>
          <t>پروگرف   کپسول خوراکي 5 mg - بهستان دارو</t>
        </is>
      </c>
      <c r="C1109" s="25">
        <f>IF(COUNTIF('کدهای پیام‌داروساز'!$A$2:$A$2442,A1109)&gt;0,"بله","خیر")</f>
        <v/>
      </c>
    </row>
    <row r="1110" ht="15" customHeight="1" s="14">
      <c r="A1110" s="24" t="n">
        <v>2087</v>
      </c>
      <c r="B1110" s="24" t="inlineStr">
        <is>
          <t>پروگرف   محلول غليظ تزريقي پرنترال 5 mg/1mL  mg - بهستان دارو</t>
        </is>
      </c>
      <c r="C1110" s="25">
        <f>IF(COUNTIF('کدهای پیام‌داروساز'!$A$2:$A$2442,A1110)&gt;0,"بله","خیر")</f>
        <v/>
      </c>
    </row>
    <row r="1111" ht="15" customHeight="1" s="14">
      <c r="A1111" s="24" t="n">
        <v>2089</v>
      </c>
      <c r="B1111" s="24" t="inlineStr">
        <is>
          <t>الوينوتک   محلول غليظ تزريقي پرنترال 20 mg/1mL 2 mg - نانو فناوران داروئي الوند</t>
        </is>
      </c>
      <c r="C1111" s="25">
        <f>IF(COUNTIF('کدهای پیام‌داروساز'!$A$2:$A$2442,A1111)&gt;0,"بله","خیر")</f>
        <v/>
      </c>
    </row>
    <row r="1112" ht="15" customHeight="1" s="14">
      <c r="A1112" s="24" t="n">
        <v>2090</v>
      </c>
      <c r="B1112" s="24" t="inlineStr">
        <is>
          <t>ارتيکان   محلول غليظ تزريقي پرنترال 20 mg/1mL 5 mg - داروسازي سبحان انکولوژي</t>
        </is>
      </c>
      <c r="C1112" s="25">
        <f>IF(COUNTIF('کدهای پیام‌داروساز'!$A$2:$A$2442,A1112)&gt;0,"بله","خیر")</f>
        <v/>
      </c>
    </row>
    <row r="1113" ht="15" customHeight="1" s="14">
      <c r="A1113" s="24" t="n">
        <v>2091</v>
      </c>
      <c r="B1113" s="24" t="inlineStr">
        <is>
          <t>انداسترون   تزريقي پرنترال 2 mg/1 mL 2</t>
        </is>
      </c>
      <c r="C1113" s="25">
        <f>IF(COUNTIF('کدهای پیام‌داروساز'!$A$2:$A$2442,A1113)&gt;0,"بله","خیر")</f>
        <v/>
      </c>
    </row>
    <row r="1114" ht="15" customHeight="1" s="14">
      <c r="A1114" s="24" t="n">
        <v>2092</v>
      </c>
      <c r="B1114" s="24" t="inlineStr">
        <is>
          <t>امي ستاپ   تزريقي پرنترال 2 mg/1 mL 4 mg - تجهيزات پزشکي و دارويي پورا طب</t>
        </is>
      </c>
      <c r="C1114" s="25">
        <f>IF(COUNTIF('کدهای پیام‌داروساز'!$A$2:$A$2442,A1114)&gt;0,"بله","خیر")</f>
        <v/>
      </c>
    </row>
    <row r="1115" ht="15" customHeight="1" s="14">
      <c r="A1115" s="24" t="n">
        <v>2093</v>
      </c>
      <c r="B1115" s="24" t="inlineStr">
        <is>
          <t>آنيترون   قرص خوراکي 4 mg - داروسازي آني درمان</t>
        </is>
      </c>
      <c r="C1115" s="25">
        <f>IF(COUNTIF('کدهای پیام‌داروساز'!$A$2:$A$2442,A1115)&gt;0,"بله","خیر")</f>
        <v/>
      </c>
    </row>
    <row r="1116" ht="15" customHeight="1" s="14">
      <c r="A1116" s="24" t="n">
        <v>2094</v>
      </c>
      <c r="B1116" s="24" t="inlineStr">
        <is>
          <t>پيروکسيکام- عماد   شياف مقعدي 20 mg - عماد درمان پارس</t>
        </is>
      </c>
      <c r="C1116" s="25">
        <f>IF(COUNTIF('کدهای پیام‌داروساز'!$A$2:$A$2442,A1116)&gt;0,"بله","خیر")</f>
        <v/>
      </c>
    </row>
    <row r="1117" ht="15" customHeight="1" s="14">
      <c r="A1117" s="24" t="n">
        <v>2098</v>
      </c>
      <c r="B1117" s="24" t="inlineStr">
        <is>
          <t>سيلدنافيل   قرص خوراکي 25 mg - داروسازي جالينوس</t>
        </is>
      </c>
      <c r="C1117" s="25">
        <f>IF(COUNTIF('کدهای پیام‌داروساز'!$A$2:$A$2442,A1117)&gt;0,"بله","خیر")</f>
        <v/>
      </c>
    </row>
    <row r="1118" ht="15" customHeight="1" s="14">
      <c r="A1118" s="24" t="n">
        <v>2099</v>
      </c>
      <c r="B1118" s="24" t="inlineStr">
        <is>
          <t>اسپيداکتون 100 (اسپيرونولاکتون) قرص - تهران شيمي</t>
        </is>
      </c>
      <c r="C1118" s="25">
        <f>IF(COUNTIF('کدهای پیام‌داروساز'!$A$2:$A$2442,A1118)&gt;0,"بله","خیر")</f>
        <v/>
      </c>
    </row>
    <row r="1119" ht="15" customHeight="1" s="14">
      <c r="A1119" s="24" t="n">
        <v>2102</v>
      </c>
      <c r="B1119" s="24" t="inlineStr">
        <is>
          <t>ايرامادول   قرص خوراکي 50 mg - ايران دارو</t>
        </is>
      </c>
      <c r="C1119" s="25">
        <f>IF(COUNTIF('کدهای پیام‌داروساز'!$A$2:$A$2442,A1119)&gt;0,"بله","خیر")</f>
        <v/>
      </c>
    </row>
    <row r="1120" ht="15" customHeight="1" s="14">
      <c r="A1120" s="24" t="n">
        <v>2103</v>
      </c>
      <c r="B1120" s="24" t="inlineStr">
        <is>
          <t>آلاپين   قرص خوراکي 100 mg - داروسازي امين</t>
        </is>
      </c>
      <c r="C1120" s="25">
        <f>IF(COUNTIF('کدهای پیام‌داروساز'!$A$2:$A$2442,A1120)&gt;0,"بله","خیر")</f>
        <v/>
      </c>
    </row>
    <row r="1121" ht="15" customHeight="1" s="14">
      <c r="A1121" s="24" t="n">
        <v>2106</v>
      </c>
      <c r="B1121" s="24" t="inlineStr">
        <is>
          <t>سيکلوکاپرون   قرص خوراکي 500 mg - بازرگاني سها کيش</t>
        </is>
      </c>
      <c r="C1121" s="25">
        <f>IF(COUNTIF('کدهای پیام‌داروساز'!$A$2:$A$2442,A1121)&gt;0,"بله","خیر")</f>
        <v/>
      </c>
    </row>
    <row r="1122" ht="15" customHeight="1" s="14">
      <c r="A1122" s="24" t="n">
        <v>2109</v>
      </c>
      <c r="B1122" s="24" t="inlineStr">
        <is>
          <t>رزاترا   تزريقي پرنترال 2 mg/1mL 5 mg - داروئي بهين تامين روز آمد</t>
        </is>
      </c>
      <c r="C1122" s="25">
        <f>IF(COUNTIF('کدهای پیام‌داروساز'!$A$2:$A$2442,A1122)&gt;0,"بله","خیر")</f>
        <v/>
      </c>
    </row>
    <row r="1123" ht="15" customHeight="1" s="14">
      <c r="A1123" s="24" t="n">
        <v>2110</v>
      </c>
      <c r="B1123" s="24" t="inlineStr">
        <is>
          <t>آزپين   قرص خوراکي 250 mg   - دارو سازي آنوشا</t>
        </is>
      </c>
      <c r="C1123" s="25">
        <f>IF(COUNTIF('کدهای پیام‌داروساز'!$A$2:$A$2442,A1123)&gt;0,"بله","خیر")</f>
        <v/>
      </c>
    </row>
    <row r="1124" ht="15" customHeight="1" s="14">
      <c r="A1124" s="24" t="n">
        <v>2114</v>
      </c>
      <c r="B1124" s="24" t="inlineStr">
        <is>
          <t>تگاتارد   قرص پيوسته رهش خوراکي 200 mg</t>
        </is>
      </c>
      <c r="C1124" s="25">
        <f>IF(COUNTIF('کدهای پیام‌داروساز'!$A$2:$A$2442,A1124)&gt;0,"بله","خیر")</f>
        <v/>
      </c>
    </row>
    <row r="1125" ht="15" customHeight="1" s="14">
      <c r="A1125" s="24" t="n">
        <v>2120</v>
      </c>
      <c r="B1125" s="24" t="inlineStr">
        <is>
          <t>کلوگزاسيلين   پودر براي تهيه محلول تزريقي پرنترال 1 g  g - تچرا دارو</t>
        </is>
      </c>
      <c r="C1125" s="25">
        <f>IF(COUNTIF('کدهای پیام‌داروساز'!$A$2:$A$2442,A1125)&gt;0,"بله","خیر")</f>
        <v/>
      </c>
    </row>
    <row r="1126" ht="15" customHeight="1" s="14">
      <c r="A1126" s="24" t="n">
        <v>2123</v>
      </c>
      <c r="B1126" s="24" t="inlineStr">
        <is>
          <t>آپو-دسموپرسين   قرص خوراکي 0.2 mg - رستا ايمن دارو</t>
        </is>
      </c>
      <c r="C1126" s="25">
        <f>IF(COUNTIF('کدهای پیام‌داروساز'!$A$2:$A$2442,A1126)&gt;0,"بله","خیر")</f>
        <v/>
      </c>
    </row>
    <row r="1127" ht="15" customHeight="1" s="14">
      <c r="A1127" s="24" t="n">
        <v>2125</v>
      </c>
      <c r="B1127" s="24" t="inlineStr">
        <is>
          <t>دکستروز/سديم کلرايد   محلول تزريقي داخل وريدي 5 %/0.45 % 500 mL - داروسازي شهيد قاضي</t>
        </is>
      </c>
      <c r="C1127" s="25">
        <f>IF(COUNTIF('کدهای پیام‌داروساز'!$A$2:$A$2442,A1127)&gt;0,"بله","خیر")</f>
        <v/>
      </c>
    </row>
    <row r="1128" ht="15" customHeight="1" s="14">
      <c r="A1128" s="24" t="n">
        <v>2127</v>
      </c>
      <c r="B1128" s="24" t="inlineStr">
        <is>
          <t>آوي فلوزول   قرص خوراکي 100 mg - داروسازي آوه سينا</t>
        </is>
      </c>
      <c r="C1128" s="25">
        <f>IF(COUNTIF('کدهای پیام‌داروساز'!$A$2:$A$2442,A1128)&gt;0,"بله","خیر")</f>
        <v/>
      </c>
    </row>
    <row r="1129" ht="15" customHeight="1" s="14">
      <c r="A1129" s="24" t="n">
        <v>2128</v>
      </c>
      <c r="B1129" s="24" t="inlineStr">
        <is>
          <t>آوي فلوزول   قرص خوراکي 150 mg</t>
        </is>
      </c>
      <c r="C1129" s="25">
        <f>IF(COUNTIF('کدهای پیام‌داروساز'!$A$2:$A$2442,A1129)&gt;0,"بله","خیر")</f>
        <v/>
      </c>
    </row>
    <row r="1130" ht="15" customHeight="1" s="14">
      <c r="A1130" s="24" t="n">
        <v>2129</v>
      </c>
      <c r="B1130" s="24" t="inlineStr">
        <is>
          <t>فلوکونازول   قرص خوراکي 50 mg - داروسازي جالينوس</t>
        </is>
      </c>
      <c r="C1130" s="25">
        <f>IF(COUNTIF('کدهای پیام‌داروساز'!$A$2:$A$2442,A1130)&gt;0,"بله","خیر")</f>
        <v/>
      </c>
    </row>
    <row r="1131" ht="15" customHeight="1" s="14">
      <c r="A1131" s="24" t="n">
        <v>2134</v>
      </c>
      <c r="B1131" s="24" t="inlineStr">
        <is>
          <t>رزمايد   تزريقي داخل وريدي 10 mg/1mL 4 mL - داروسازي کاسپين تأمين</t>
        </is>
      </c>
      <c r="C1131" s="25">
        <f>IF(COUNTIF('کدهای پیام‌داروساز'!$A$2:$A$2442,A1131)&gt;0,"بله","خیر")</f>
        <v/>
      </c>
    </row>
    <row r="1132" ht="15" customHeight="1" s="14">
      <c r="A1132" s="24" t="n">
        <v>2135</v>
      </c>
      <c r="B1132" s="24" t="inlineStr">
        <is>
          <t>انکوزار   پودر لئوفيليزه براي تهيه محلول تزريقي پرنترال 1 g  g - اکترو خاورميانه</t>
        </is>
      </c>
      <c r="C1132" s="25">
        <f>IF(COUNTIF('کدهای پیام‌داروساز'!$A$2:$A$2442,A1132)&gt;0,"بله","خیر")</f>
        <v/>
      </c>
    </row>
    <row r="1133" ht="15" customHeight="1" s="14">
      <c r="A1133" s="24" t="n">
        <v>2136</v>
      </c>
      <c r="B1133" s="24" t="inlineStr">
        <is>
          <t>انکوزار   پودر لئوفيليزه براي تهيه محلول تزريقي پرنترال 200 mg  mg - اکترو خاورميانه</t>
        </is>
      </c>
      <c r="C1133" s="25">
        <f>IF(COUNTIF('کدهای پیام‌داروساز'!$A$2:$A$2442,A1133)&gt;0,"بله","خیر")</f>
        <v/>
      </c>
    </row>
    <row r="1134" ht="15" customHeight="1" s="14">
      <c r="A1134" s="24" t="n">
        <v>2137</v>
      </c>
      <c r="B1134" s="24" t="inlineStr">
        <is>
          <t>ايکتيول   پماد موضعي 10 % 15 g - کيميا دارو سپهر</t>
        </is>
      </c>
      <c r="C1134" s="25">
        <f>IF(COUNTIF('کدهای پیام‌داروساز'!$A$2:$A$2442,A1134)&gt;0,"بله","خیر")</f>
        <v/>
      </c>
    </row>
    <row r="1135" ht="15" customHeight="1" s="14">
      <c r="A1135" s="24" t="n">
        <v>2138</v>
      </c>
      <c r="B1135" s="24" t="inlineStr">
        <is>
          <t>آيفوکسا   پودر براي تهيه محلول تزريقي پرنترال 2 g  g - نانو فناوران داروئي الوند</t>
        </is>
      </c>
      <c r="C1135" s="25">
        <f>IF(COUNTIF('کدهای پیام‌داروساز'!$A$2:$A$2442,A1135)&gt;0,"بله","خیر")</f>
        <v/>
      </c>
    </row>
    <row r="1136" ht="15" customHeight="1" s="14">
      <c r="A1136" s="24" t="n">
        <v>2141</v>
      </c>
      <c r="B1136" s="24" t="inlineStr">
        <is>
          <t>ويزوديکس   تزريقي پرنترال 270 mg/1mL 20 mL - کارخانجات دارو پخش</t>
        </is>
      </c>
      <c r="C1136" s="25">
        <f>IF(COUNTIF('کدهای پیام‌داروساز'!$A$2:$A$2442,A1136)&gt;0,"بله","خیر")</f>
        <v/>
      </c>
    </row>
    <row r="1137" ht="15" customHeight="1" s="14">
      <c r="A1137" s="24" t="n">
        <v>2146</v>
      </c>
      <c r="B1137" s="24" t="inlineStr">
        <is>
          <t>آيوپرومايد   تزريقي پرنترال 370 mg/1mL 50 mg - گسترش بازرگاني دارو پخش</t>
        </is>
      </c>
      <c r="C1137" s="25">
        <f>IF(COUNTIF('کدهای پیام‌داروساز'!$A$2:$A$2442,A1137)&gt;0,"بله","خیر")</f>
        <v/>
      </c>
    </row>
    <row r="1138" ht="15" customHeight="1" s="14">
      <c r="A1138" s="24" t="n">
        <v>2147</v>
      </c>
      <c r="B1138" s="24" t="inlineStr">
        <is>
          <t>آيوپرومايد   تزريقي پرنترال 370 mg/1mL 100 mL - داروسازي شهيد قاضي</t>
        </is>
      </c>
      <c r="C1138" s="25">
        <f>IF(COUNTIF('کدهای پیام‌داروساز'!$A$2:$A$2442,A1138)&gt;0,"بله","خیر")</f>
        <v/>
      </c>
    </row>
    <row r="1139" ht="15" customHeight="1" s="14">
      <c r="A1139" s="24" t="n">
        <v>2148</v>
      </c>
      <c r="B1139" s="24" t="inlineStr">
        <is>
          <t>ايپراترکس-اس   آئروسل با دوز اندازه گيري شده استنشاقي 20 ug/100 ug 200 ug - داروسازي جابرابن حيان</t>
        </is>
      </c>
      <c r="C1139" s="25">
        <f>IF(COUNTIF('کدهای پیام‌داروساز'!$A$2:$A$2442,A1139)&gt;0,"بله","خیر")</f>
        <v/>
      </c>
    </row>
    <row r="1140" ht="15" customHeight="1" s="14">
      <c r="A1140" s="24" t="n">
        <v>2149</v>
      </c>
      <c r="B1140" s="24" t="inlineStr">
        <is>
          <t>اسموف ليپيد 20%   محلول تزريقي داخل وريدي 250 mL - روژين دارو</t>
        </is>
      </c>
      <c r="C1140" s="25">
        <f>IF(COUNTIF('کدهای پیام‌داروساز'!$A$2:$A$2442,A1140)&gt;0,"بله","خیر")</f>
        <v/>
      </c>
    </row>
    <row r="1141" ht="15" customHeight="1" s="14">
      <c r="A1141" s="24" t="n">
        <v>2153</v>
      </c>
      <c r="B1141" s="24" t="inlineStr">
        <is>
          <t>آلکاسل   پودر براي تهيه محلول تزريقي پرنترال 50 mg  mg - تامين آوا سلامت</t>
        </is>
      </c>
      <c r="C1141" s="25">
        <f>IF(COUNTIF('کدهای پیام‌داروساز'!$A$2:$A$2442,A1141)&gt;0,"بله","خیر")</f>
        <v/>
      </c>
    </row>
    <row r="1142" ht="15" customHeight="1" s="14">
      <c r="A1142" s="24" t="n">
        <v>2156</v>
      </c>
      <c r="B1142" s="24" t="inlineStr">
        <is>
          <t>پنتاسا   قرص پيوسته رهش خوراکي 500 mg - رايان دارو ايرانيان</t>
        </is>
      </c>
      <c r="C1142" s="25">
        <f>IF(COUNTIF('کدهای پیام‌داروساز'!$A$2:$A$2442,A1142)&gt;0,"بله","خیر")</f>
        <v/>
      </c>
    </row>
    <row r="1143" ht="15" customHeight="1" s="14">
      <c r="A1143" s="24" t="n">
        <v>2158</v>
      </c>
      <c r="B1143" s="24" t="inlineStr">
        <is>
          <t>زويترکس   تزريقي پرنترال 25 mg/1mL 2 mg - اوزان</t>
        </is>
      </c>
      <c r="C1143" s="25">
        <f>IF(COUNTIF('کدهای پیام‌داروساز'!$A$2:$A$2442,A1143)&gt;0,"بله","خیر")</f>
        <v/>
      </c>
    </row>
    <row r="1144" ht="15" customHeight="1" s="14">
      <c r="A1144" s="24" t="n">
        <v>2161</v>
      </c>
      <c r="B1144" s="24" t="inlineStr">
        <is>
          <t>ابترکس   تزريقي پرنترال 10 mg/1mL 5 mg - کاوش گستر دارو</t>
        </is>
      </c>
      <c r="C1144" s="25">
        <f>IF(COUNTIF('کدهای پیام‌داروساز'!$A$2:$A$2442,A1144)&gt;0,"بله","خیر")</f>
        <v/>
      </c>
    </row>
    <row r="1145" ht="15" customHeight="1" s="14">
      <c r="A1145" s="24" t="n">
        <v>2162</v>
      </c>
      <c r="B1145" s="24" t="inlineStr">
        <is>
          <t>مترونيدازول 500 م گ شياف واژينال - آرنيکا</t>
        </is>
      </c>
      <c r="C1145" s="25">
        <f>IF(COUNTIF('کدهای پیام‌داروساز'!$A$2:$A$2442,A1145)&gt;0,"بله","خیر")</f>
        <v/>
      </c>
    </row>
    <row r="1146" ht="15" customHeight="1" s="14">
      <c r="A1146" s="24" t="n">
        <v>2163</v>
      </c>
      <c r="B1146" s="24" t="inlineStr">
        <is>
          <t>ميتومايسين   پودر براي تهيه محلول تزريقي پرنترال 10 mg  mg - رايان دارو ايرانيان</t>
        </is>
      </c>
      <c r="C1146" s="25">
        <f>IF(COUNTIF('کدهای پیام‌داروساز'!$A$2:$A$2442,A1146)&gt;0,"بله","خیر")</f>
        <v/>
      </c>
    </row>
    <row r="1147" ht="15" customHeight="1" s="14">
      <c r="A1147" s="24" t="n">
        <v>2164</v>
      </c>
      <c r="B1147" s="24" t="inlineStr">
        <is>
          <t>ميتومايسينا کمکس   پودر براي تهيه محلول تزريقي پرنترال 5 mg  mg - تدبير کالاي جم</t>
        </is>
      </c>
      <c r="C1147" s="25">
        <f>IF(COUNTIF('کدهای پیام‌داروساز'!$A$2:$A$2442,A1147)&gt;0,"بله","خیر")</f>
        <v/>
      </c>
    </row>
    <row r="1148" ht="15" customHeight="1" s="14">
      <c r="A1148" s="24" t="n">
        <v>2172</v>
      </c>
      <c r="B1148" s="24" t="inlineStr">
        <is>
          <t>او آر اس (اوريکس) قرص جوشان - دارو سلامت- هاي هلث</t>
        </is>
      </c>
      <c r="C1148" s="25">
        <f>IF(COUNTIF('کدهای پیام‌داروساز'!$A$2:$A$2442,A1148)&gt;0,"بله","خیر")</f>
        <v/>
      </c>
    </row>
    <row r="1149" ht="15" customHeight="1" s="14">
      <c r="A1149" s="24" t="n">
        <v>2174</v>
      </c>
      <c r="B1149" s="24" t="inlineStr">
        <is>
          <t>پيدرولاکس (پلي اتيلن گلايکول) 70گرمي ساشه - سپيداج</t>
        </is>
      </c>
      <c r="C1149" s="25">
        <f>IF(COUNTIF('کدهای پیام‌داروساز'!$A$2:$A$2442,A1149)&gt;0,"بله","خیر")</f>
        <v/>
      </c>
    </row>
    <row r="1150" ht="15" customHeight="1" s="14">
      <c r="A1150" s="24" t="n">
        <v>2182</v>
      </c>
      <c r="B1150" s="24" t="inlineStr">
        <is>
          <t>رپاکسير   پودر براي تهيه محلول تزريقي پرنترال 1 mg  mg - داروسازي اکسير</t>
        </is>
      </c>
      <c r="C1150" s="25">
        <f>IF(COUNTIF('کدهای پیام‌داروساز'!$A$2:$A$2442,A1150)&gt;0,"بله","خیر")</f>
        <v/>
      </c>
    </row>
    <row r="1151" ht="15" customHeight="1" s="14">
      <c r="A1151" s="24" t="n">
        <v>2183</v>
      </c>
      <c r="B1151" s="24" t="inlineStr">
        <is>
          <t>رپاکسير   پودر براي تهيه محلول تزريقي پرنترال 2 mg  mg - داروسازي اکسير</t>
        </is>
      </c>
      <c r="C1151" s="25">
        <f>IF(COUNTIF('کدهای پیام‌داروساز'!$A$2:$A$2442,A1151)&gt;0,"بله","خیر")</f>
        <v/>
      </c>
    </row>
    <row r="1152" ht="15" customHeight="1" s="14">
      <c r="A1152" s="24" t="n">
        <v>2184</v>
      </c>
      <c r="B1152" s="24" t="inlineStr">
        <is>
          <t>رپاکسير   پودر براي تهيه محلول تزريقي پرنترال 5 mg  mg - داروسازي اکسير</t>
        </is>
      </c>
      <c r="C1152" s="25">
        <f>IF(COUNTIF('کدهای پیام‌داروساز'!$A$2:$A$2442,A1152)&gt;0,"بله","خیر")</f>
        <v/>
      </c>
    </row>
    <row r="1153" ht="15" customHeight="1" s="14">
      <c r="A1153" s="24" t="n">
        <v>2186</v>
      </c>
      <c r="B1153" s="24" t="inlineStr">
        <is>
          <t>سديم کلرايد  0.45%درصد 500 م ل سرم تزريقي - ثامن</t>
        </is>
      </c>
      <c r="C1153" s="25">
        <f>IF(COUNTIF('کدهای پیام‌داروساز'!$A$2:$A$2442,A1153)&gt;0,"بله","خیر")</f>
        <v/>
      </c>
    </row>
    <row r="1154" ht="15" customHeight="1" s="14">
      <c r="A1154" s="24" t="n">
        <v>2190</v>
      </c>
      <c r="B1154" s="24" t="inlineStr">
        <is>
          <t>تدامول   قرص پيوسته رهش خوراکي 100 mg - دارو سازي تهران دارو</t>
        </is>
      </c>
      <c r="C1154" s="25">
        <f>IF(COUNTIF('کدهای پیام‌داروساز'!$A$2:$A$2442,A1154)&gt;0,"بله","خیر")</f>
        <v/>
      </c>
    </row>
    <row r="1155" ht="15" customHeight="1" s="14">
      <c r="A1155" s="24" t="n">
        <v>2194</v>
      </c>
      <c r="B1155" s="24" t="inlineStr">
        <is>
          <t>سل کريستين   تزريقي پرنترال 1 mg/1mL 1 mg - پيک دارو توسعه</t>
        </is>
      </c>
      <c r="C1155" s="25">
        <f>IF(COUNTIF('کدهای پیام‌داروساز'!$A$2:$A$2442,A1155)&gt;0,"بله","خیر")</f>
        <v/>
      </c>
    </row>
    <row r="1156" ht="15" customHeight="1" s="14">
      <c r="A1156" s="24" t="n">
        <v>2197</v>
      </c>
      <c r="B1156" s="24" t="inlineStr">
        <is>
          <t>ايويژل (ويتامين اي) 100 م گ کپسول نرم - دانا</t>
        </is>
      </c>
      <c r="C1156" s="25">
        <f>IF(COUNTIF('کدهای پیام‌داروساز'!$A$2:$A$2442,A1156)&gt;0,"بله","خیر")</f>
        <v/>
      </c>
    </row>
    <row r="1157" ht="15" customHeight="1" s="14">
      <c r="A1157" s="24" t="n">
        <v>2200</v>
      </c>
      <c r="B1157" s="24" t="inlineStr">
        <is>
          <t>ايويژل (ويتامين اي) 200 م گ کپسول نرم - دانا</t>
        </is>
      </c>
      <c r="C1157" s="25">
        <f>IF(COUNTIF('کدهای پیام‌داروساز'!$A$2:$A$2442,A1157)&gt;0,"بله","خیر")</f>
        <v/>
      </c>
    </row>
    <row r="1158" ht="15" customHeight="1" s="14">
      <c r="A1158" s="24" t="n">
        <v>2201</v>
      </c>
      <c r="B1158" s="24" t="inlineStr">
        <is>
          <t>ويتامين اي - تداژل 400 واحد 30 عدد سافت ژل تهران دارو</t>
        </is>
      </c>
      <c r="C1158" s="25">
        <f>IF(COUNTIF('کدهای پیام‌داروساز'!$A$2:$A$2442,A1158)&gt;0,"بله","خیر")</f>
        <v/>
      </c>
    </row>
    <row r="1159" ht="15" customHeight="1" s="14">
      <c r="A1159" s="24" t="n">
        <v>2203</v>
      </c>
      <c r="B1159" s="24" t="inlineStr">
        <is>
          <t>برنکورتارد   کپسول روکشدار پيوسته رهش خوراکي 200 mg</t>
        </is>
      </c>
      <c r="C1159" s="25">
        <f>IF(COUNTIF('کدهای پیام‌داروساز'!$A$2:$A$2442,A1159)&gt;0,"بله","خیر")</f>
        <v/>
      </c>
    </row>
    <row r="1160" ht="15" customHeight="1" s="14">
      <c r="A1160" s="24" t="n">
        <v>2205</v>
      </c>
      <c r="B1160" s="24" t="inlineStr">
        <is>
          <t>آفاکلاو   پودر براي تهيه سوسپانسيون   خوراکي 200 mg/28.5 mg/5 mL 100 mg - آفا شيمي</t>
        </is>
      </c>
      <c r="C1160" s="25">
        <f>IF(COUNTIF('کدهای پیام‌داروساز'!$A$2:$A$2442,A1160)&gt;0,"بله","خیر")</f>
        <v/>
      </c>
    </row>
    <row r="1161" ht="15" customHeight="1" s="14">
      <c r="A1161" s="24" t="n">
        <v>2206</v>
      </c>
      <c r="B1161" s="24" t="inlineStr">
        <is>
          <t xml:space="preserve">فکو-آموکسي کلاو 457 م گ / 5 م ل 100 م ل سوسپانسيون - خارجي </t>
        </is>
      </c>
      <c r="C1161" s="25">
        <f>IF(COUNTIF('کدهای پیام‌داروساز'!$A$2:$A$2442,A1161)&gt;0,"بله","خیر")</f>
        <v/>
      </c>
    </row>
    <row r="1162" ht="15" customHeight="1" s="14">
      <c r="A1162" s="24" t="n">
        <v>2230</v>
      </c>
      <c r="B1162" s="24" t="inlineStr">
        <is>
          <t>کانازول   کرم واژينال 2 % 20 g - پارس دارو</t>
        </is>
      </c>
      <c r="C1162" s="25">
        <f>IF(COUNTIF('کدهای پیام‌داروساز'!$A$2:$A$2442,A1162)&gt;0,"بله","خیر")</f>
        <v/>
      </c>
    </row>
    <row r="1163" ht="15" customHeight="1" s="14">
      <c r="A1163" s="24" t="n">
        <v>2231</v>
      </c>
      <c r="B1163" s="24" t="inlineStr">
        <is>
          <t>ستيريزين    قرص خوراکي 5 mg - پور سينا</t>
        </is>
      </c>
      <c r="C1163" s="25">
        <f>IF(COUNTIF('کدهای پیام‌داروساز'!$A$2:$A$2442,A1163)&gt;0,"بله","خیر")</f>
        <v/>
      </c>
    </row>
    <row r="1164" ht="15" customHeight="1" s="14">
      <c r="A1164" s="24" t="n">
        <v>2232</v>
      </c>
      <c r="B1164" s="24" t="inlineStr">
        <is>
          <t>ستريکيم (ستيريزين) 60 م ل شربت - حکيم</t>
        </is>
      </c>
      <c r="C1164" s="25">
        <f>IF(COUNTIF('کدهای پیام‌داروساز'!$A$2:$A$2442,A1164)&gt;0,"بله","خیر")</f>
        <v/>
      </c>
    </row>
    <row r="1165" ht="15" customHeight="1" s="14">
      <c r="A1165" s="24" t="n">
        <v>2234</v>
      </c>
      <c r="B1165" s="24" t="inlineStr">
        <is>
          <t>آفيندامايسين 2% (کليندامايسين) کرم واژينال - آوندفر</t>
        </is>
      </c>
      <c r="C1165" s="25">
        <f>IF(COUNTIF('کدهای پیام‌داروساز'!$A$2:$A$2442,A1165)&gt;0,"بله","خیر")</f>
        <v/>
      </c>
    </row>
    <row r="1166" ht="15" customHeight="1" s="14">
      <c r="A1166" s="24" t="n">
        <v>2236</v>
      </c>
      <c r="B1166" s="24" t="inlineStr">
        <is>
          <t>آمفکسا   قرص خوراکي 5 mg - گسترش بازرگاني دارو پخش</t>
        </is>
      </c>
      <c r="C1166" s="25">
        <f>IF(COUNTIF('کدهای پیام‌داروساز'!$A$2:$A$2442,A1166)&gt;0,"بله","خیر")</f>
        <v/>
      </c>
    </row>
    <row r="1167" ht="15" customHeight="1" s="14">
      <c r="A1167" s="24" t="n">
        <v>2237</v>
      </c>
      <c r="B1167" s="24" t="inlineStr">
        <is>
          <t>ديازپام 10 تيوب رکتال - DESITIN</t>
        </is>
      </c>
      <c r="C1167" s="25">
        <f>IF(COUNTIF('کدهای پیام‌داروساز'!$A$2:$A$2442,A1167)&gt;0,"بله","خیر")</f>
        <v/>
      </c>
    </row>
    <row r="1168" ht="15" customHeight="1" s="14">
      <c r="A1168" s="24" t="n">
        <v>2238</v>
      </c>
      <c r="B1168" s="24" t="inlineStr">
        <is>
          <t>گلايسين   محلول جهت شستشو 1.5 % 1000 L - داروسازي ثامن</t>
        </is>
      </c>
      <c r="C1168" s="25">
        <f>IF(COUNTIF('کدهای پیام‌داروساز'!$A$2:$A$2442,A1168)&gt;0,"بله","خیر")</f>
        <v/>
      </c>
    </row>
    <row r="1169" ht="15" customHeight="1" s="14">
      <c r="A1169" s="24" t="n">
        <v>2241</v>
      </c>
      <c r="B1169" s="24" t="inlineStr">
        <is>
          <t>ويال امني اسکن 287ميلي گرم/ميلي ليتر 15ميلي ليتر(گادودياميد</t>
        </is>
      </c>
      <c r="C1169" s="25">
        <f>IF(COUNTIF('کدهای پیام‌داروساز'!$A$2:$A$2442,A1169)&gt;0,"بله","خیر")</f>
        <v/>
      </c>
    </row>
    <row r="1170" ht="15" customHeight="1" s="14">
      <c r="A1170" s="24" t="n">
        <v>2243</v>
      </c>
      <c r="B1170" s="24" t="inlineStr">
        <is>
          <t>استامينوفن 300/20 م گ قرص - شهردارو</t>
        </is>
      </c>
      <c r="C1170" s="25">
        <f>IF(COUNTIF('کدهای پیام‌داروساز'!$A$2:$A$2442,A1170)&gt;0,"بله","خیر")</f>
        <v/>
      </c>
    </row>
    <row r="1171" ht="15" customHeight="1" s="14">
      <c r="A1171" s="24" t="n">
        <v>2246</v>
      </c>
      <c r="B1171" s="24" t="inlineStr">
        <is>
          <t>آساکول 500 م گ شياف - تيلوتيس فارما</t>
        </is>
      </c>
      <c r="C1171" s="25">
        <f>IF(COUNTIF('کدهای پیام‌داروساز'!$A$2:$A$2442,A1171)&gt;0,"بله","خیر")</f>
        <v/>
      </c>
    </row>
    <row r="1172" ht="15" customHeight="1" s="14">
      <c r="A1172" s="24" t="n">
        <v>2247</v>
      </c>
      <c r="B1172" s="24" t="inlineStr">
        <is>
          <t>ديازپام دستين   انما مقعدي 5 mg  mg - شفا ياب گستر</t>
        </is>
      </c>
      <c r="C1172" s="25">
        <f>IF(COUNTIF('کدهای پیام‌داروساز'!$A$2:$A$2442,A1172)&gt;0,"بله","خیر")</f>
        <v/>
      </c>
    </row>
    <row r="1173" ht="15" customHeight="1" s="14">
      <c r="A1173" s="24" t="n">
        <v>2248</v>
      </c>
      <c r="B1173" s="24" t="inlineStr">
        <is>
          <t>آمزوات   قرص خوراکي 500 mg - دارويي بهين پاد</t>
        </is>
      </c>
      <c r="C1173" s="25">
        <f>IF(COUNTIF('کدهای پیام‌داروساز'!$A$2:$A$2442,A1173)&gt;0,"بله","خیر")</f>
        <v/>
      </c>
    </row>
    <row r="1174" ht="15" customHeight="1" s="14">
      <c r="A1174" s="24" t="n">
        <v>2250</v>
      </c>
      <c r="B1174" s="24" t="inlineStr">
        <is>
          <t>سيپروفلوکساسين   محلول تزريقي داخل وريدي 10 mg/1mL 20 mg - داروسازي دانا</t>
        </is>
      </c>
      <c r="C1174" s="25">
        <f>IF(COUNTIF('کدهای پیام‌داروساز'!$A$2:$A$2442,A1174)&gt;0,"بله","خیر")</f>
        <v/>
      </c>
    </row>
    <row r="1175" ht="15" customHeight="1" s="14">
      <c r="A1175" s="24" t="n">
        <v>2256</v>
      </c>
      <c r="B1175" s="24" t="inlineStr">
        <is>
          <t>آداسل   سوسپانسيون تزريقي پرنترال 1 {dose} 0.5 mL - روژين دارو</t>
        </is>
      </c>
      <c r="C1175" s="25">
        <f>IF(COUNTIF('کدهای پیام‌داروساز'!$A$2:$A$2442,A1175)&gt;0,"بله","خیر")</f>
        <v/>
      </c>
    </row>
    <row r="1176" ht="15" customHeight="1" s="14">
      <c r="A1176" s="24" t="n">
        <v>2259</v>
      </c>
      <c r="B1176" s="24" t="inlineStr">
        <is>
          <t>فراگمين   تزريقي پرنترال 25000 [iU]/1mL 0.2 [iU] - بهستان دارو</t>
        </is>
      </c>
      <c r="C1176" s="25">
        <f>IF(COUNTIF('کدهای پیام‌داروساز'!$A$2:$A$2442,A1176)&gt;0,"بله","خیر")</f>
        <v/>
      </c>
    </row>
    <row r="1177" ht="15" customHeight="1" s="14">
      <c r="A1177" s="24" t="n">
        <v>2262</v>
      </c>
      <c r="B1177" s="24" t="inlineStr">
        <is>
          <t>فراگمين   تزريقي پرنترال 12500 [iU]/1mL 0.2 [iU] - بهستان دارو</t>
        </is>
      </c>
      <c r="C1177" s="25">
        <f>IF(COUNTIF('کدهای پیام‌داروساز'!$A$2:$A$2442,A1177)&gt;0,"بله","خیر")</f>
        <v/>
      </c>
    </row>
    <row r="1178" ht="15" customHeight="1" s="14">
      <c r="A1178" s="24" t="n">
        <v>2278</v>
      </c>
      <c r="B1178" s="24" t="inlineStr">
        <is>
          <t>سالمکس   آئروسل با دوز اندازه گيري شده استنشاقي 25 ug/1{dose} 200 {Puff} - لابراتوارهاي سينا دارو</t>
        </is>
      </c>
      <c r="C1178" s="25">
        <f>IF(COUNTIF('کدهای پیام‌داروساز'!$A$2:$A$2442,A1178)&gt;0,"بله","خیر")</f>
        <v/>
      </c>
    </row>
    <row r="1179" ht="15" customHeight="1" s="14">
      <c r="A1179" s="24" t="n">
        <v>2279</v>
      </c>
      <c r="B1179" s="24" t="inlineStr">
        <is>
          <t>سالمکس25 م ک گ (سالمترول) 200پاف - سينادارو</t>
        </is>
      </c>
      <c r="C1179" s="25">
        <f>IF(COUNTIF('کدهای پیام‌داروساز'!$A$2:$A$2442,A1179)&gt;0,"بله","خیر")</f>
        <v/>
      </c>
    </row>
    <row r="1180" ht="15" customHeight="1" s="14">
      <c r="A1180" s="24" t="n">
        <v>2280</v>
      </c>
      <c r="B1180" s="24" t="inlineStr">
        <is>
          <t>اپتال   قرص خوراکي 150 mg - اريکه تجارت ويستا</t>
        </is>
      </c>
      <c r="C1180" s="25">
        <f>IF(COUNTIF('کدهای پیام‌داروساز'!$A$2:$A$2442,A1180)&gt;0,"بله","خیر")</f>
        <v/>
      </c>
    </row>
    <row r="1181" ht="15" customHeight="1" s="14">
      <c r="A1181" s="24" t="n">
        <v>2283</v>
      </c>
      <c r="B1181" s="24" t="inlineStr">
        <is>
          <t>ارلي اسليم   کپسول خوراکي 120 mg - داروئي و بهداشتي لقمان</t>
        </is>
      </c>
      <c r="C1181" s="25">
        <f>IF(COUNTIF('کدهای پیام‌داروساز'!$A$2:$A$2442,A1181)&gt;0,"بله","خیر")</f>
        <v/>
      </c>
    </row>
    <row r="1182" ht="15" customHeight="1" s="14">
      <c r="A1182" s="24" t="n">
        <v>2284</v>
      </c>
      <c r="B1182" s="24" t="inlineStr">
        <is>
          <t>آليترال   قرص پيوسته رهش خوراکي 5 meq - نوريا درمان پاسارگاد</t>
        </is>
      </c>
      <c r="C1182" s="25">
        <f>IF(COUNTIF('کدهای پیام‌داروساز'!$A$2:$A$2442,A1182)&gt;0,"بله","خیر")</f>
        <v/>
      </c>
    </row>
    <row r="1183" ht="15" customHeight="1" s="14">
      <c r="A1183" s="24" t="n">
        <v>2286</v>
      </c>
      <c r="B1183" s="24" t="inlineStr">
        <is>
          <t>قرص بايوميگريل (ريزاتريپتان )5 ميلي گرم</t>
        </is>
      </c>
      <c r="C1183" s="25">
        <f>IF(COUNTIF('کدهای پیام‌داروساز'!$A$2:$A$2442,A1183)&gt;0,"بله","خیر")</f>
        <v/>
      </c>
    </row>
    <row r="1184" ht="15" customHeight="1" s="14">
      <c r="A1184" s="24" t="n">
        <v>2287</v>
      </c>
      <c r="B1184" s="24" t="inlineStr">
        <is>
          <t>داستينکس 0.5 قرص</t>
        </is>
      </c>
      <c r="C1184" s="25">
        <f>IF(COUNTIF('کدهای پیام‌داروساز'!$A$2:$A$2442,A1184)&gt;0,"بله","خیر")</f>
        <v/>
      </c>
    </row>
    <row r="1185" ht="15" customHeight="1" s="14">
      <c r="A1185" s="24" t="n">
        <v>2289</v>
      </c>
      <c r="B1185" s="24" t="inlineStr">
        <is>
          <t>آوي نيب (ايماتينيب مزيلات) 100 ميلي گرم کپسول آوه سينا</t>
        </is>
      </c>
      <c r="C1185" s="25">
        <f>IF(COUNTIF('کدهای پیام‌داروساز'!$A$2:$A$2442,A1185)&gt;0,"بله","خیر")</f>
        <v/>
      </c>
    </row>
    <row r="1186" ht="15" customHeight="1" s="14">
      <c r="A1186" s="24" t="n">
        <v>2291</v>
      </c>
      <c r="B1186" s="24" t="inlineStr">
        <is>
          <t>گليسرين فنل   محلول، قطره گوشي 6.4 g/93.6 g 10 mL - کيميا دارو سپهر</t>
        </is>
      </c>
      <c r="C1186" s="25">
        <f>IF(COUNTIF('کدهای پیام‌داروساز'!$A$2:$A$2442,A1186)&gt;0,"بله","خیر")</f>
        <v/>
      </c>
    </row>
    <row r="1187" ht="15" customHeight="1" s="14">
      <c r="A1187" s="24" t="n">
        <v>2292</v>
      </c>
      <c r="B1187" s="24" t="inlineStr">
        <is>
          <t xml:space="preserve">انوکساپارين 6000 آمپول </t>
        </is>
      </c>
      <c r="C1187" s="25">
        <f>IF(COUNTIF('کدهای پیام‌داروساز'!$A$2:$A$2442,A1187)&gt;0,"بله","خیر")</f>
        <v/>
      </c>
    </row>
    <row r="1188" ht="15" customHeight="1" s="14">
      <c r="A1188" s="24" t="n">
        <v>2293</v>
      </c>
      <c r="B1188" s="24" t="inlineStr">
        <is>
          <t>انوکساپارين   تزريقي پرنترال 100 mg/1mL 0.8 mL</t>
        </is>
      </c>
      <c r="C1188" s="25">
        <f>IF(COUNTIF('کدهای پیام‌داروساز'!$A$2:$A$2442,A1188)&gt;0,"بله","خیر")</f>
        <v/>
      </c>
    </row>
    <row r="1189" ht="15" customHeight="1" s="14">
      <c r="A1189" s="24" t="n">
        <v>2294</v>
      </c>
      <c r="B1189" s="24" t="inlineStr">
        <is>
          <t>انوکساپارين   تزريقي پرنترال 100 mg/1mL 0.2 mL - داروسازي کاسپين تأمين</t>
        </is>
      </c>
      <c r="C1189" s="25">
        <f>IF(COUNTIF('کدهای پیام‌داروساز'!$A$2:$A$2442,A1189)&gt;0,"بله","خیر")</f>
        <v/>
      </c>
    </row>
    <row r="1190" ht="15" customHeight="1" s="14">
      <c r="A1190" s="24" t="n">
        <v>2297</v>
      </c>
      <c r="B1190" s="24" t="inlineStr">
        <is>
          <t>دوژانسين    محلول موضعي 1 % 10 mL - کيميا دارو سپهر</t>
        </is>
      </c>
      <c r="C1190" s="25">
        <f>IF(COUNTIF('کدهای پیام‌داروساز'!$A$2:$A$2442,A1190)&gt;0,"بله","خیر")</f>
        <v/>
      </c>
    </row>
    <row r="1191" ht="15" customHeight="1" s="14">
      <c r="A1191" s="24" t="n">
        <v>2316</v>
      </c>
      <c r="B1191" s="24" t="inlineStr">
        <is>
          <t>مارکووار   تزريقي پرنترال 0.25 % 10 mL - تحقيقاتي و توليدي واريان فارمد</t>
        </is>
      </c>
      <c r="C1191" s="25">
        <f>IF(COUNTIF('کدهای پیام‌داروساز'!$A$2:$A$2442,A1191)&gt;0,"بله","خیر")</f>
        <v/>
      </c>
    </row>
    <row r="1192" ht="15" customHeight="1" s="14">
      <c r="A1192" s="24" t="n">
        <v>2319</v>
      </c>
      <c r="B1192" s="24" t="inlineStr">
        <is>
          <t>بيتورول   قرص خوراکي 50 mg - پارس دارو</t>
        </is>
      </c>
      <c r="C1192" s="25">
        <f>IF(COUNTIF('کدهای پیام‌داروساز'!$A$2:$A$2442,A1192)&gt;0,"بله","خیر")</f>
        <v/>
      </c>
    </row>
    <row r="1193" ht="15" customHeight="1" s="14">
      <c r="A1193" s="24" t="n">
        <v>2321</v>
      </c>
      <c r="B1193" s="24" t="inlineStr">
        <is>
          <t>نيترومينت   قرص پيوسته رهش خوراکي 6.5 mg - مهبان دارو</t>
        </is>
      </c>
      <c r="C1193" s="25">
        <f>IF(COUNTIF('کدهای پیام‌داروساز'!$A$2:$A$2442,A1193)&gt;0,"بله","خیر")</f>
        <v/>
      </c>
    </row>
    <row r="1194" ht="15" customHeight="1" s="14">
      <c r="A1194" s="24" t="n">
        <v>2325</v>
      </c>
      <c r="B1194" s="24" t="inlineStr">
        <is>
          <t>ليورگل 70 قرص - گل دارو</t>
        </is>
      </c>
      <c r="C1194" s="25">
        <f>IF(COUNTIF('کدهای پیام‌داروساز'!$A$2:$A$2442,A1194)&gt;0,"بله","خیر")</f>
        <v/>
      </c>
    </row>
    <row r="1195" ht="15" customHeight="1" s="14">
      <c r="A1195" s="24" t="n">
        <v>2332</v>
      </c>
      <c r="B1195" s="24" t="inlineStr">
        <is>
          <t>نولپازا (پنتوپرازول) 20 م گ قرص - اکتوور</t>
        </is>
      </c>
      <c r="C1195" s="25">
        <f>IF(COUNTIF('کدهای پیام‌داروساز'!$A$2:$A$2442,A1195)&gt;0,"بله","خیر")</f>
        <v/>
      </c>
    </row>
    <row r="1196" ht="15" customHeight="1" s="14">
      <c r="A1196" s="24" t="n">
        <v>2333</v>
      </c>
      <c r="B1196" s="24" t="inlineStr">
        <is>
          <t>آنتي سيدکس اس تي پي   قرص انتريک کوتد خوراکي 40 mg</t>
        </is>
      </c>
      <c r="C1196" s="25">
        <f>IF(COUNTIF('کدهای پیام‌داروساز'!$A$2:$A$2442,A1196)&gt;0,"بله","خیر")</f>
        <v/>
      </c>
    </row>
    <row r="1197" ht="15" customHeight="1" s="14">
      <c r="A1197" s="24" t="n">
        <v>2336</v>
      </c>
      <c r="B1197" s="24" t="inlineStr">
        <is>
          <t>آفاپرازول (پنتوپرازول) 40 م گ ويال - آفاشيمي</t>
        </is>
      </c>
      <c r="C1197" s="25">
        <f>IF(COUNTIF('کدهای پیام‌داروساز'!$A$2:$A$2442,A1197)&gt;0,"بله","خیر")</f>
        <v/>
      </c>
    </row>
    <row r="1198" ht="15" customHeight="1" s="14">
      <c r="A1198" s="24" t="n">
        <v>2354</v>
      </c>
      <c r="B1198" s="24" t="inlineStr">
        <is>
          <t>فراگمين   تزريقي پرنترال 7500 [iU]/0.3mL  [iU] - بهستان دارو</t>
        </is>
      </c>
      <c r="C1198" s="25">
        <f>IF(COUNTIF('کدهای پیام‌داروساز'!$A$2:$A$2442,A1198)&gt;0,"بله","خیر")</f>
        <v/>
      </c>
    </row>
    <row r="1199" ht="15" customHeight="1" s="14">
      <c r="A1199" s="24" t="n">
        <v>2355</v>
      </c>
      <c r="B1199" s="24" t="inlineStr">
        <is>
          <t>فرتيژست 200 (پروژسترون) شياف - ابوريحان</t>
        </is>
      </c>
      <c r="C1199" s="25">
        <f>IF(COUNTIF('کدهای پیام‌داروساز'!$A$2:$A$2442,A1199)&gt;0,"بله","خیر")</f>
        <v/>
      </c>
    </row>
    <row r="1200" ht="15" customHeight="1" s="14">
      <c r="A1200" s="24" t="n">
        <v>2366</v>
      </c>
      <c r="B1200" s="24" t="inlineStr">
        <is>
          <t>آسيکلووير سديم 500 ميلي گرم پودر براي محلول تزريقي</t>
        </is>
      </c>
      <c r="C1200" s="25">
        <f>IF(COUNTIF('کدهای پیام‌داروساز'!$A$2:$A$2442,A1200)&gt;0,"بله","خیر")</f>
        <v/>
      </c>
    </row>
    <row r="1201" ht="15" customHeight="1" s="14">
      <c r="A1201" s="24" t="n">
        <v>2369</v>
      </c>
      <c r="B1201" s="24" t="inlineStr">
        <is>
          <t xml:space="preserve">آوي ان استيل (استيل سيستئين) 600 م گ قرص جوشان - حکيم </t>
        </is>
      </c>
      <c r="C1201" s="25">
        <f>IF(COUNTIF('کدهای پیام‌داروساز'!$A$2:$A$2442,A1201)&gt;0,"بله","خیر")</f>
        <v/>
      </c>
    </row>
    <row r="1202" ht="15" customHeight="1" s="14">
      <c r="A1202" s="24" t="n">
        <v>2371</v>
      </c>
      <c r="B1202" s="24" t="inlineStr">
        <is>
          <t>تايموگلوبولين   پودر لئوفيليزه براي تهيه محلول تزريقي پرنترال 25 mg  mg - کوبل دارو</t>
        </is>
      </c>
      <c r="C1202" s="25">
        <f>IF(COUNTIF('کدهای پیام‌داروساز'!$A$2:$A$2442,A1202)&gt;0,"بله","خیر")</f>
        <v/>
      </c>
    </row>
    <row r="1203" ht="15" customHeight="1" s="14">
      <c r="A1203" s="24" t="n">
        <v>2372</v>
      </c>
      <c r="B1203" s="24" t="inlineStr">
        <is>
          <t>برکسورف   سوسپانسيون تزريقي داخل تراشه اي 25 mg/1mL 8 mg - پرسيس ژن پار</t>
        </is>
      </c>
      <c r="C1203" s="25">
        <f>IF(COUNTIF('کدهای پیام‌داروساز'!$A$2:$A$2442,A1203)&gt;0,"بله","خیر")</f>
        <v/>
      </c>
    </row>
    <row r="1204" ht="15" customHeight="1" s="14">
      <c r="A1204" s="24" t="n">
        <v>2373</v>
      </c>
      <c r="B1204" s="24" t="inlineStr">
        <is>
          <t>(آزيترومايسين)  BDA-ZIN 100 م گ / 5 م ل 30 م ل سوسپانسيون خارجي</t>
        </is>
      </c>
      <c r="C1204" s="25">
        <f>IF(COUNTIF('کدهای پیام‌داروساز'!$A$2:$A$2442,A1204)&gt;0,"بله","خیر")</f>
        <v/>
      </c>
    </row>
    <row r="1205" ht="15" customHeight="1" s="14">
      <c r="A1205" s="24" t="n">
        <v>2374</v>
      </c>
      <c r="B1205" s="24" t="inlineStr">
        <is>
          <t>دوپاگولين (کابرگولين) 1 م گ قرص - تهران شيمي</t>
        </is>
      </c>
      <c r="C1205" s="25">
        <f>IF(COUNTIF('کدهای پیام‌داروساز'!$A$2:$A$2442,A1205)&gt;0,"بله","خیر")</f>
        <v/>
      </c>
    </row>
    <row r="1206" ht="15" customHeight="1" s="14">
      <c r="A1206" s="24" t="n">
        <v>2377</v>
      </c>
      <c r="B1206" s="24" t="inlineStr">
        <is>
          <t>لودريبين   محلول تزريقي داخل وريدي 2 mg/1mL 5 mg - نانو فناوران داروئي الوند</t>
        </is>
      </c>
      <c r="C1206" s="25">
        <f>IF(COUNTIF('کدهای پیام‌داروساز'!$A$2:$A$2442,A1206)&gt;0,"بله","خیر")</f>
        <v/>
      </c>
    </row>
    <row r="1207" ht="15" customHeight="1" s="14">
      <c r="A1207" s="24" t="n">
        <v>2380</v>
      </c>
      <c r="B1207" s="24" t="inlineStr">
        <is>
          <t>گلوفوزين   تزريقي پرنترال 4 % 500 mg - هيراد فارمد</t>
        </is>
      </c>
      <c r="C1207" s="25">
        <f>IF(COUNTIF('کدهای پیام‌داروساز'!$A$2:$A$2442,A1207)&gt;0,"بله","خیر")</f>
        <v/>
      </c>
    </row>
    <row r="1208" ht="15" customHeight="1" s="14">
      <c r="A1208" s="24" t="n">
        <v>2383</v>
      </c>
      <c r="B1208" s="24" t="inlineStr">
        <is>
          <t>پارکوهيل   قرص پيوسته رهش خوراکي 100 mg/25 mg - تدبير کالاي جم</t>
        </is>
      </c>
      <c r="C1208" s="25">
        <f>IF(COUNTIF('کدهای پیام‌داروساز'!$A$2:$A$2442,A1208)&gt;0,"بله","خیر")</f>
        <v/>
      </c>
    </row>
    <row r="1209" ht="15" customHeight="1" s="14">
      <c r="A1209" s="24" t="n">
        <v>2388</v>
      </c>
      <c r="B1209" s="24" t="inlineStr">
        <is>
          <t>متوجکت   تزريقي پرنترال 10 mg/1mL 1 mg - درمان ياب آنا</t>
        </is>
      </c>
      <c r="C1209" s="25">
        <f>IF(COUNTIF('کدهای پیام‌داروساز'!$A$2:$A$2442,A1209)&gt;0,"بله","خیر")</f>
        <v/>
      </c>
    </row>
    <row r="1210" ht="15" customHeight="1" s="14">
      <c r="A1210" s="24" t="n">
        <v>2391</v>
      </c>
      <c r="B1210" s="24" t="inlineStr">
        <is>
          <t>بي دي اکتريو   پودر براي تهيه سوسپانسيون تزريقي پيوسته رهش پرنترال 20 mg  mg - بيوسان فارمد</t>
        </is>
      </c>
      <c r="C1210" s="25">
        <f>IF(COUNTIF('کدهای پیام‌داروساز'!$A$2:$A$2442,A1210)&gt;0,"بله","خیر")</f>
        <v/>
      </c>
    </row>
    <row r="1211" ht="15" customHeight="1" s="14">
      <c r="A1211" s="24" t="n">
        <v>2392</v>
      </c>
      <c r="B1211" s="24" t="inlineStr">
        <is>
          <t>اکترايد   تزريقي پرنترال 100 ug/1mL 1 ug - ويرا ليان گروه</t>
        </is>
      </c>
      <c r="C1211" s="25">
        <f>IF(COUNTIF('کدهای پیام‌داروساز'!$A$2:$A$2442,A1211)&gt;0,"بله","خیر")</f>
        <v/>
      </c>
    </row>
    <row r="1212" ht="15" customHeight="1" s="14">
      <c r="A1212" s="24" t="n">
        <v>2394</v>
      </c>
      <c r="B1212" s="24" t="inlineStr">
        <is>
          <t>اموتم   محلول خوراکي 4 mg/5mL 60 - توليد مواد اوليه داروپخش</t>
        </is>
      </c>
      <c r="C1212" s="25">
        <f>IF(COUNTIF('کدهای پیام‌داروساز'!$A$2:$A$2442,A1212)&gt;0,"بله","خیر")</f>
        <v/>
      </c>
    </row>
    <row r="1213" ht="15" customHeight="1" s="14">
      <c r="A1213" s="24" t="n">
        <v>2395</v>
      </c>
      <c r="B1213" s="24" t="inlineStr">
        <is>
          <t>الوپکس   تزريقي پرنترال 6 mg/1mL 25 mg - نانو فناوران داروئي الوند</t>
        </is>
      </c>
      <c r="C1213" s="25">
        <f>IF(COUNTIF('کدهای پیام‌داروساز'!$A$2:$A$2442,A1213)&gt;0,"بله","خیر")</f>
        <v/>
      </c>
    </row>
    <row r="1214" ht="15" customHeight="1" s="14">
      <c r="A1214" s="24" t="n">
        <v>2396</v>
      </c>
      <c r="B1214" s="24" t="inlineStr">
        <is>
          <t>الوپکس   تزريقي پرنترال 6 mg/1mL 16.7 mg - نانو فناوران داروئي الوند</t>
        </is>
      </c>
      <c r="C1214" s="25">
        <f>IF(COUNTIF('کدهای پیام‌داروساز'!$A$2:$A$2442,A1214)&gt;0,"بله","خیر")</f>
        <v/>
      </c>
    </row>
    <row r="1215" ht="15" customHeight="1" s="14">
      <c r="A1215" s="24" t="n">
        <v>2397</v>
      </c>
      <c r="B1215" s="24" t="inlineStr">
        <is>
          <t>فسفات ساندوز   قرص جوشان خوراکي 500 mg  mg - آدورا درمان</t>
        </is>
      </c>
      <c r="C1215" s="25">
        <f>IF(COUNTIF('کدهای پیام‌داروساز'!$A$2:$A$2442,A1215)&gt;0,"بله","خیر")</f>
        <v/>
      </c>
    </row>
    <row r="1216" ht="15" customHeight="1" s="14">
      <c r="A1216" s="24" t="n">
        <v>2400</v>
      </c>
      <c r="B1216" s="24" t="inlineStr">
        <is>
          <t>دي ام اس آ   کپسول خوراکي 100 mg - شهاب درمان</t>
        </is>
      </c>
      <c r="C1216" s="25">
        <f>IF(COUNTIF('کدهای پیام‌داروساز'!$A$2:$A$2442,A1216)&gt;0,"بله","خیر")</f>
        <v/>
      </c>
    </row>
    <row r="1217" ht="15" customHeight="1" s="14">
      <c r="A1217" s="24" t="n">
        <v>2401</v>
      </c>
      <c r="B1217" s="24" t="inlineStr">
        <is>
          <t>ليستنون   تزريقي پرنترال 20 mg/1mL - پويش دارو گستر برتر فارس</t>
        </is>
      </c>
      <c r="C1217" s="25">
        <f>IF(COUNTIF('کدهای پیام‌داروساز'!$A$2:$A$2442,A1217)&gt;0,"بله","خیر")</f>
        <v/>
      </c>
    </row>
    <row r="1218" ht="15" customHeight="1" s="14">
      <c r="A1218" s="24" t="n">
        <v>2403</v>
      </c>
      <c r="B1218" s="24" t="inlineStr">
        <is>
          <t>تئوفيلين   قرص پيوسته رهش خوراکي 100 mg - کارخانجات دارو پخش</t>
        </is>
      </c>
      <c r="C1218" s="25">
        <f>IF(COUNTIF('کدهای پیام‌داروساز'!$A$2:$A$2442,A1218)&gt;0,"بله","خیر")</f>
        <v/>
      </c>
    </row>
    <row r="1219" ht="15" customHeight="1" s="14">
      <c r="A1219" s="24" t="n">
        <v>2405</v>
      </c>
      <c r="B1219" s="24" t="inlineStr">
        <is>
          <t>آلنيت   قرص خوراکي 35 mg - داروسازي دکتر عبيدي</t>
        </is>
      </c>
      <c r="C1219" s="25">
        <f>IF(COUNTIF('کدهای پیام‌داروساز'!$A$2:$A$2442,A1219)&gt;0,"بله","خیر")</f>
        <v/>
      </c>
    </row>
    <row r="1220" ht="15" customHeight="1" s="14">
      <c r="A1220" s="24" t="n">
        <v>2406</v>
      </c>
      <c r="B1220" s="24" t="inlineStr">
        <is>
          <t>آپو-آلندرونات 70 م گ قرص - آپوتکس</t>
        </is>
      </c>
      <c r="C1220" s="25">
        <f>IF(COUNTIF('کدهای پیام‌داروساز'!$A$2:$A$2442,A1220)&gt;0,"بله","خیر")</f>
        <v/>
      </c>
    </row>
    <row r="1221" ht="15" customHeight="1" s="14">
      <c r="A1221" s="24" t="n">
        <v>2407</v>
      </c>
      <c r="B1221" s="24" t="inlineStr">
        <is>
          <t>آزپين   قرص خوراکي 500 mg   - دارو سازي آنوشا</t>
        </is>
      </c>
      <c r="C1221" s="25">
        <f>IF(COUNTIF('کدهای پیام‌داروساز'!$A$2:$A$2442,A1221)&gt;0,"بله","خیر")</f>
        <v/>
      </c>
    </row>
    <row r="1222" ht="15" customHeight="1" s="14">
      <c r="A1222" s="24" t="n">
        <v>2408</v>
      </c>
      <c r="B1222" s="24" t="inlineStr">
        <is>
          <t>آزيترودر   کپسول خوراکي 500 mg   - توليد مواد داروئي درسا دارو</t>
        </is>
      </c>
      <c r="C1222" s="25">
        <f>IF(COUNTIF('کدهای پیام‌داروساز'!$A$2:$A$2442,A1222)&gt;0,"بله","خیر")</f>
        <v/>
      </c>
    </row>
    <row r="1223" ht="15" customHeight="1" s="14">
      <c r="A1223" s="24" t="n">
        <v>2414</v>
      </c>
      <c r="B1223" s="24" t="inlineStr">
        <is>
          <t>کپسول دوبسيکا 500 ميلي گرم(کلسيم دوبسيلات مونوهيدرات</t>
        </is>
      </c>
      <c r="C1223" s="25">
        <f>IF(COUNTIF('کدهای پیام‌داروساز'!$A$2:$A$2442,A1223)&gt;0,"بله","خیر")</f>
        <v/>
      </c>
    </row>
    <row r="1224" ht="15" customHeight="1" s="14">
      <c r="A1224" s="24" t="n">
        <v>2416</v>
      </c>
      <c r="B1224" s="24" t="inlineStr">
        <is>
          <t>آفاکساپيم   پودر براي تهيه محلول تزريقي پرنترال 1 g  g - آفا شيمي</t>
        </is>
      </c>
      <c r="C1224" s="25">
        <f>IF(COUNTIF('کدهای پیام‌داروساز'!$A$2:$A$2442,A1224)&gt;0,"بله","خیر")</f>
        <v/>
      </c>
    </row>
    <row r="1225" ht="15" customHeight="1" s="14">
      <c r="A1225" s="24" t="n">
        <v>2417</v>
      </c>
      <c r="B1225" s="24" t="inlineStr">
        <is>
          <t>آفاکساپيم   پودر براي تهيه محلول تزريقي پرنترال 2 g  g - آفا شيمي</t>
        </is>
      </c>
      <c r="C1225" s="25">
        <f>IF(COUNTIF('کدهای پیام‌داروساز'!$A$2:$A$2442,A1225)&gt;0,"بله","خیر")</f>
        <v/>
      </c>
    </row>
    <row r="1226" ht="15" customHeight="1" s="14">
      <c r="A1226" s="24" t="n">
        <v>2418</v>
      </c>
      <c r="B1226" s="24" t="inlineStr">
        <is>
          <t>آفاکساپيم   پودر براي تهيه محلول تزريقي پرنترال 500 mg  mg - آفا شيمي</t>
        </is>
      </c>
      <c r="C1226" s="25">
        <f>IF(COUNTIF('کدهای پیام‌داروساز'!$A$2:$A$2442,A1226)&gt;0,"بله","خیر")</f>
        <v/>
      </c>
    </row>
    <row r="1227" ht="15" customHeight="1" s="14">
      <c r="A1227" s="24" t="n">
        <v>2419</v>
      </c>
      <c r="B1227" s="24" t="inlineStr">
        <is>
          <t>آفاکسيم (سفکسيم) 100 م گ / 5 م ل 100 م ل سوسپانسيون - آفاشيمي</t>
        </is>
      </c>
      <c r="C1227" s="25">
        <f>IF(COUNTIF('کدهای پیام‌داروساز'!$A$2:$A$2442,A1227)&gt;0,"بله","خیر")</f>
        <v/>
      </c>
    </row>
    <row r="1228" ht="15" customHeight="1" s="14">
      <c r="A1228" s="24" t="n">
        <v>2421</v>
      </c>
      <c r="B1228" s="24" t="inlineStr">
        <is>
          <t>اکسي روکسيم   پودر براي تهيه محلول تزريقي پرنترال 1.5 g  g - داروسازي اکسير</t>
        </is>
      </c>
      <c r="C1228" s="25">
        <f>IF(COUNTIF('کدهای پیام‌داروساز'!$A$2:$A$2442,A1228)&gt;0,"بله","خیر")</f>
        <v/>
      </c>
    </row>
    <row r="1229" ht="15" customHeight="1" s="14">
      <c r="A1229" s="24" t="n">
        <v>2423</v>
      </c>
      <c r="B1229" s="24" t="inlineStr">
        <is>
          <t>اکسي روکسيم   پودر براي تهيه محلول تزريقي پرنترال 750 mg  mg - داروسازي اکسير</t>
        </is>
      </c>
      <c r="C1229" s="25">
        <f>IF(COUNTIF('کدهای پیام‌داروساز'!$A$2:$A$2442,A1229)&gt;0,"بله","خیر")</f>
        <v/>
      </c>
    </row>
    <row r="1230" ht="15" customHeight="1" s="14">
      <c r="A1230" s="24" t="n">
        <v>2425</v>
      </c>
      <c r="B1230" s="24" t="inlineStr">
        <is>
          <t>آفي کلوبت (کلوبتازول) 05/ درصد 25 م ل لوسيون موضعي  - آوندفر</t>
        </is>
      </c>
      <c r="C1230" s="25">
        <f>IF(COUNTIF('کدهای پیام‌داروساز'!$A$2:$A$2442,A1230)&gt;0,"بله","خیر")</f>
        <v/>
      </c>
    </row>
    <row r="1231" ht="15" customHeight="1" s="14">
      <c r="A1231" s="24" t="n">
        <v>2426</v>
      </c>
      <c r="B1231" s="24" t="inlineStr">
        <is>
          <t>کانازول (کلوتريمازول) 500 ميلي گرم قرص واژينال پارس دارو</t>
        </is>
      </c>
      <c r="C1231" s="25">
        <f>IF(COUNTIF('کدهای پیام‌داروساز'!$A$2:$A$2442,A1231)&gt;0,"بله","خیر")</f>
        <v/>
      </c>
    </row>
    <row r="1232" ht="15" customHeight="1" s="14">
      <c r="A1232" s="24" t="n">
        <v>2429</v>
      </c>
      <c r="B1232" s="24" t="inlineStr">
        <is>
          <t>اريترومايسين مديفارم 4 درصد 30 گرمي ژل موضعي - کيش مديفارم</t>
        </is>
      </c>
      <c r="C1232" s="25">
        <f>IF(COUNTIF('کدهای پیام‌داروساز'!$A$2:$A$2442,A1232)&gt;0,"بله","خیر")</f>
        <v/>
      </c>
    </row>
    <row r="1233" ht="15" customHeight="1" s="14">
      <c r="A1233" s="24" t="n">
        <v>2430</v>
      </c>
      <c r="B1233" s="24" t="inlineStr">
        <is>
          <t>اريترومايسين   محلول موضعي 4 % 60 mL - کيمياکالاي رازي</t>
        </is>
      </c>
      <c r="C1233" s="25">
        <f>IF(COUNTIF('کدهای پیام‌داروساز'!$A$2:$A$2442,A1233)&gt;0,"بله","خیر")</f>
        <v/>
      </c>
    </row>
    <row r="1234" ht="15" customHeight="1" s="14">
      <c r="A1234" s="24" t="n">
        <v>2432</v>
      </c>
      <c r="B1234" s="24" t="inlineStr">
        <is>
          <t>فلوکونازول 200 ميلي گرم کپسول</t>
        </is>
      </c>
      <c r="C1234" s="25">
        <f>IF(COUNTIF('کدهای پیام‌داروساز'!$A$2:$A$2442,A1234)&gt;0,"بله","خیر")</f>
        <v/>
      </c>
    </row>
    <row r="1235" ht="15" customHeight="1" s="14">
      <c r="A1235" s="24" t="n">
        <v>2433</v>
      </c>
      <c r="B1235" s="24" t="inlineStr">
        <is>
          <t>فلوکونازول   قرص خوراکي 200 mg - داروسازي آوه سينا</t>
        </is>
      </c>
      <c r="C1235" s="25">
        <f>IF(COUNTIF('کدهای پیام‌داروساز'!$A$2:$A$2442,A1235)&gt;0,"بله","خیر")</f>
        <v/>
      </c>
    </row>
    <row r="1236" ht="15" customHeight="1" s="14">
      <c r="A1236" s="24" t="n">
        <v>2435</v>
      </c>
      <c r="B1236" s="24" t="inlineStr">
        <is>
          <t>ايمي پنم/سيلاستاتين   پودر براي تهيه محلول تزريقي پرنترال 250 mg/250 mg  mg - دارو سازي زاگرس فارمد پارس</t>
        </is>
      </c>
      <c r="C1236" s="25">
        <f>IF(COUNTIF('کدهای پیام‌داروساز'!$A$2:$A$2442,A1236)&gt;0,"بله","خیر")</f>
        <v/>
      </c>
    </row>
    <row r="1237" ht="15" customHeight="1" s="14">
      <c r="A1237" s="24" t="n">
        <v>2436</v>
      </c>
      <c r="B1237" s="24" t="inlineStr">
        <is>
          <t>سيلاويل   پودر براي تهيه محلول تزريقي پرنترال 750 mg/750 mg  mg - داروسازي دانا</t>
        </is>
      </c>
      <c r="C1237" s="25">
        <f>IF(COUNTIF('کدهای پیام‌داروساز'!$A$2:$A$2442,A1237)&gt;0,"بله","خیر")</f>
        <v/>
      </c>
    </row>
    <row r="1238" ht="15" customHeight="1" s="14">
      <c r="A1238" s="24" t="n">
        <v>2441</v>
      </c>
      <c r="B1238" s="24" t="inlineStr">
        <is>
          <t>اووسيز   قرص خوراکي 750 ug</t>
        </is>
      </c>
      <c r="C1238" s="25">
        <f>IF(COUNTIF('کدهای پیام‌داروساز'!$A$2:$A$2442,A1238)&gt;0,"بله","خیر")</f>
        <v/>
      </c>
    </row>
    <row r="1239" ht="15" customHeight="1" s="14">
      <c r="A1239" s="24" t="n">
        <v>2442</v>
      </c>
      <c r="B1239" s="24" t="inlineStr">
        <is>
          <t>مجکس (مجسترول استات) 40 م گ / 1 م ل 240 م ل سوسپانسيون</t>
        </is>
      </c>
      <c r="C1239" s="25">
        <f>IF(COUNTIF('کدهای پیام‌داروساز'!$A$2:$A$2442,A1239)&gt;0,"بله","خیر")</f>
        <v/>
      </c>
    </row>
    <row r="1240" ht="15" customHeight="1" s="14">
      <c r="A1240" s="24" t="n">
        <v>2443</v>
      </c>
      <c r="B1240" s="24" t="inlineStr">
        <is>
          <t>پنتاسا   گرانول پيوسته رهش خوراکي 1 g  g - درمان ياب آنا</t>
        </is>
      </c>
      <c r="C1240" s="25">
        <f>IF(COUNTIF('کدهای پیام‌داروساز'!$A$2:$A$2442,A1240)&gt;0,"بله","خیر")</f>
        <v/>
      </c>
    </row>
    <row r="1241" ht="15" customHeight="1" s="14">
      <c r="A1241" s="24" t="n">
        <v>2444</v>
      </c>
      <c r="B1241" s="24" t="inlineStr">
        <is>
          <t>متادون   محلول خوراکي 25 mg/5 mL 250 mL - توليد مواد اوليه داروپخش</t>
        </is>
      </c>
      <c r="C1241" s="25">
        <f>IF(COUNTIF('کدهای پیام‌داروساز'!$A$2:$A$2442,A1241)&gt;0,"بله","خیر")</f>
        <v/>
      </c>
    </row>
    <row r="1242" ht="15" customHeight="1" s="14">
      <c r="A1242" s="24" t="n">
        <v>2447</v>
      </c>
      <c r="B1242" s="24" t="inlineStr">
        <is>
          <t>ايکتاز   قرص خوراکي 300 mg - دارويي البرز زاگرس</t>
        </is>
      </c>
      <c r="C1242" s="25">
        <f>IF(COUNTIF('کدهای پیام‌داروساز'!$A$2:$A$2442,A1242)&gt;0,"بله","خیر")</f>
        <v/>
      </c>
    </row>
    <row r="1243" ht="15" customHeight="1" s="14">
      <c r="A1243" s="24" t="n">
        <v>2448</v>
      </c>
      <c r="B1243" s="24" t="inlineStr">
        <is>
          <t>اکس کاربازپين-عبيدي   قرص خوراکي 600 mg - داروسازي دکتر عبيدي</t>
        </is>
      </c>
      <c r="C1243" s="25">
        <f>IF(COUNTIF('کدهای پیام‌داروساز'!$A$2:$A$2442,A1243)&gt;0,"بله","خیر")</f>
        <v/>
      </c>
    </row>
    <row r="1244" ht="15" customHeight="1" s="14">
      <c r="A1244" s="24" t="n">
        <v>2449</v>
      </c>
      <c r="B1244" s="24" t="inlineStr">
        <is>
          <t>پرمترين-عماد   کرم موضعي 5 % 30 g - عماد درمان پارس</t>
        </is>
      </c>
      <c r="C1244" s="25">
        <f>IF(COUNTIF('کدهای پیام‌داروساز'!$A$2:$A$2442,A1244)&gt;0,"بله","خیر")</f>
        <v/>
      </c>
    </row>
    <row r="1245" ht="15" customHeight="1" s="14">
      <c r="A1245" s="24" t="n">
        <v>2450</v>
      </c>
      <c r="B1245" s="24" t="inlineStr">
        <is>
          <t>آليترال (پتاسيم سيترات) 10 ميلي اکي والان قرص - نوريا درمان</t>
        </is>
      </c>
      <c r="C1245" s="25">
        <f>IF(COUNTIF('کدهای پیام‌داروساز'!$A$2:$A$2442,A1245)&gt;0,"بله","خیر")</f>
        <v/>
      </c>
    </row>
    <row r="1246" ht="15" customHeight="1" s="14">
      <c r="A1246" s="24" t="n">
        <v>2455</v>
      </c>
      <c r="B1246" s="24" t="inlineStr">
        <is>
          <t>بايوميگريل   قرص خوراکي 10 mg - باختر بيو شيمي</t>
        </is>
      </c>
      <c r="C1246" s="25">
        <f>IF(COUNTIF('کدهای پیام‌داروساز'!$A$2:$A$2442,A1246)&gt;0,"بله","خیر")</f>
        <v/>
      </c>
    </row>
    <row r="1247" ht="15" customHeight="1" s="14">
      <c r="A1247" s="24" t="n">
        <v>2456</v>
      </c>
      <c r="B1247" s="24" t="inlineStr">
        <is>
          <t>اپتازان   کرم موضعي 2 % 30 g - دارو سازي بهوزان</t>
        </is>
      </c>
      <c r="C1247" s="25">
        <f>IF(COUNTIF('کدهای پیام‌داروساز'!$A$2:$A$2442,A1247)&gt;0,"بله","خیر")</f>
        <v/>
      </c>
    </row>
    <row r="1248" ht="15" customHeight="1" s="14">
      <c r="A1248" s="24" t="n">
        <v>2458</v>
      </c>
      <c r="B1248" s="24" t="inlineStr">
        <is>
          <t>سيمواستاتين   قرص خوراکي 10 mg - داروسازي جالينوس</t>
        </is>
      </c>
      <c r="C1248" s="25">
        <f>IF(COUNTIF('کدهای پیام‌داروساز'!$A$2:$A$2442,A1248)&gt;0,"بله","خیر")</f>
        <v/>
      </c>
    </row>
    <row r="1249" ht="15" customHeight="1" s="14">
      <c r="A1249" s="24" t="n">
        <v>2465</v>
      </c>
      <c r="B1249" s="24" t="inlineStr">
        <is>
          <t>بي فوتر   قرص خوراکي 20 mg - کي بي سي</t>
        </is>
      </c>
      <c r="C1249" s="25">
        <f>IF(COUNTIF('کدهای پیام‌داروساز'!$A$2:$A$2442,A1249)&gt;0,"بله","خیر")</f>
        <v/>
      </c>
    </row>
    <row r="1250" ht="15" customHeight="1" s="14">
      <c r="A1250" s="24" t="n">
        <v>2467</v>
      </c>
      <c r="B1250" s="24" t="inlineStr">
        <is>
          <t>يوهمبين   قرص خوراکي 5.4 mg - ايران دارو</t>
        </is>
      </c>
      <c r="C1250" s="25">
        <f>IF(COUNTIF('کدهای پیام‌داروساز'!$A$2:$A$2442,A1250)&gt;0,"بله","خیر")</f>
        <v/>
      </c>
    </row>
    <row r="1251" ht="15" customHeight="1" s="14">
      <c r="A1251" s="24" t="n">
        <v>2468</v>
      </c>
      <c r="B1251" s="24" t="inlineStr">
        <is>
          <t>پروستا کپسول نرم - باريج اسانس</t>
        </is>
      </c>
      <c r="C1251" s="25">
        <f>IF(COUNTIF('کدهای پیام‌داروساز'!$A$2:$A$2442,A1251)&gt;0,"بله","خیر")</f>
        <v/>
      </c>
    </row>
    <row r="1252" ht="15" customHeight="1" s="14">
      <c r="A1252" s="24" t="n">
        <v>2470</v>
      </c>
      <c r="B1252" s="24" t="inlineStr">
        <is>
          <t>بيوتين   قرص خوراکي 5 mg - ايران دارو</t>
        </is>
      </c>
      <c r="C1252" s="25">
        <f>IF(COUNTIF('کدهای پیام‌داروساز'!$A$2:$A$2442,A1252)&gt;0,"بله","خیر")</f>
        <v/>
      </c>
    </row>
    <row r="1253" ht="15" customHeight="1" s="14">
      <c r="A1253" s="24" t="n">
        <v>2473</v>
      </c>
      <c r="B1253" s="24" t="inlineStr">
        <is>
          <t>رديتوکس   تزريقي پرنترال 10 mg/1mL 10 mg - تحقيقاتي وتوليدي سينا ژن</t>
        </is>
      </c>
      <c r="C1253" s="25">
        <f>IF(COUNTIF('کدهای پیام‌داروساز'!$A$2:$A$2442,A1253)&gt;0,"بله","خیر")</f>
        <v/>
      </c>
    </row>
    <row r="1254" ht="15" customHeight="1" s="14">
      <c r="A1254" s="24" t="n">
        <v>2474</v>
      </c>
      <c r="B1254" s="24" t="inlineStr">
        <is>
          <t>رديتوکس   تزريقي پرنترال 10 mg/1mL 50 mg - تحقيقاتي وتوليدي سينا ژن</t>
        </is>
      </c>
      <c r="C1254" s="25">
        <f>IF(COUNTIF('کدهای پیام‌داروساز'!$A$2:$A$2442,A1254)&gt;0,"بله","خیر")</f>
        <v/>
      </c>
    </row>
    <row r="1255" ht="15" customHeight="1" s="14">
      <c r="A1255" s="24" t="n">
        <v>2475</v>
      </c>
      <c r="B1255" s="24" t="inlineStr">
        <is>
          <t>اينوتيو   قرص خوراکي 6.25 mg - داروسازي ابوريحان</t>
        </is>
      </c>
      <c r="C1255" s="25">
        <f>IF(COUNTIF('کدهای پیام‌داروساز'!$A$2:$A$2442,A1255)&gt;0,"بله","خیر")</f>
        <v/>
      </c>
    </row>
    <row r="1256" ht="15" customHeight="1" s="14">
      <c r="A1256" s="24" t="n">
        <v>2476</v>
      </c>
      <c r="B1256" s="24" t="inlineStr">
        <is>
          <t>سيستاگون   کپسول خوراکي 50 mg - وليان دارو</t>
        </is>
      </c>
      <c r="C1256" s="25">
        <f>IF(COUNTIF('کدهای پیام‌داروساز'!$A$2:$A$2442,A1256)&gt;0,"بله","خیر")</f>
        <v/>
      </c>
    </row>
    <row r="1257" ht="15" customHeight="1" s="14">
      <c r="A1257" s="24" t="n">
        <v>2481</v>
      </c>
      <c r="B1257" s="24" t="inlineStr">
        <is>
          <t>آريوتراست   پودر لئوفيليزه براي تهيه محلول تزريقي پرنترال 440 mg  mg - آريوژن فارمد</t>
        </is>
      </c>
      <c r="C1257" s="25">
        <f>IF(COUNTIF('کدهای پیام‌داروساز'!$A$2:$A$2442,A1257)&gt;0,"بله","خیر")</f>
        <v/>
      </c>
    </row>
    <row r="1258" ht="15" customHeight="1" s="14">
      <c r="A1258" s="24" t="n">
        <v>2493</v>
      </c>
      <c r="B1258" s="24" t="inlineStr">
        <is>
          <t>آوي سيتابين   قرص خوراکي 500 mg - داروسازي آوه سينا</t>
        </is>
      </c>
      <c r="C1258" s="25">
        <f>IF(COUNTIF('کدهای پیام‌داروساز'!$A$2:$A$2442,A1258)&gt;0,"بله","خیر")</f>
        <v/>
      </c>
    </row>
    <row r="1259" ht="15" customHeight="1" s="14">
      <c r="A1259" s="24" t="n">
        <v>2497</v>
      </c>
      <c r="B1259" s="24" t="inlineStr">
        <is>
          <t>اورسو داکسي کوليک اسيد   کپسول خوراکي 300 mg</t>
        </is>
      </c>
      <c r="C1259" s="25">
        <f>IF(COUNTIF('کدهای پیام‌داروساز'!$A$2:$A$2442,A1259)&gt;0,"بله","خیر")</f>
        <v/>
      </c>
    </row>
    <row r="1260" ht="15" customHeight="1" s="14">
      <c r="A1260" s="24" t="n">
        <v>2506</v>
      </c>
      <c r="B1260" s="24" t="inlineStr">
        <is>
          <t>آر-کاپرول   تزريقي عضلاني 100 mg/1mL 2 mg - پويش دارو گستر برتر فارس</t>
        </is>
      </c>
      <c r="C1260" s="25">
        <f>IF(COUNTIF('کدهای پیام‌داروساز'!$A$2:$A$2442,A1260)&gt;0,"بله","خیر")</f>
        <v/>
      </c>
    </row>
    <row r="1261" ht="15" customHeight="1" s="14">
      <c r="A1261" s="24" t="n">
        <v>2516</v>
      </c>
      <c r="B1261" s="24" t="inlineStr">
        <is>
          <t>آنسيس   تزريقي پرنترال 2 mg/1mL 10 mL - داروسازي ابوريحان</t>
        </is>
      </c>
      <c r="C1261" s="25">
        <f>IF(COUNTIF('کدهای پیام‌داروساز'!$A$2:$A$2442,A1261)&gt;0,"بله","خیر")</f>
        <v/>
      </c>
    </row>
    <row r="1262" ht="15" customHeight="1" s="14">
      <c r="A1262" s="24" t="n">
        <v>2517</v>
      </c>
      <c r="B1262" s="24" t="inlineStr">
        <is>
          <t>ويزي پک 320/50 ميلي گرم ويال  - GE HEALTHCARE</t>
        </is>
      </c>
      <c r="C1262" s="25">
        <f>IF(COUNTIF('کدهای پیام‌داروساز'!$A$2:$A$2442,A1262)&gt;0,"بله","خیر")</f>
        <v/>
      </c>
    </row>
    <row r="1263" ht="15" customHeight="1" s="14">
      <c r="A1263" s="24" t="n">
        <v>2534</v>
      </c>
      <c r="B1263" s="24" t="inlineStr">
        <is>
          <t>اکتوژست   شياف واژينال 200 mg - دارو سازي آتي فارمد</t>
        </is>
      </c>
      <c r="C1263" s="25">
        <f>IF(COUNTIF('کدهای پیام‌داروساز'!$A$2:$A$2442,A1263)&gt;0,"بله","خیر")</f>
        <v/>
      </c>
    </row>
    <row r="1264" ht="15" customHeight="1" s="14">
      <c r="A1264" s="24" t="n">
        <v>2548</v>
      </c>
      <c r="B1264" s="24" t="inlineStr">
        <is>
          <t>سوجورن   اينهالر استنشاقي 250 mL  mL - بازرگاني سلامت داروي هشتم</t>
        </is>
      </c>
      <c r="C1264" s="25">
        <f>IF(COUNTIF('کدهای پیام‌داروساز'!$A$2:$A$2442,A1264)&gt;0,"بله","خیر")</f>
        <v/>
      </c>
    </row>
    <row r="1265" ht="15" customHeight="1" s="14">
      <c r="A1265" s="24" t="n">
        <v>2570</v>
      </c>
      <c r="B1265" s="24" t="inlineStr">
        <is>
          <t>پيورگون   محلول تزريقي پرنترال 75 [iU]/0.5mL  [iU]</t>
        </is>
      </c>
      <c r="C1265" s="25">
        <f>IF(COUNTIF('کدهای پیام‌داروساز'!$A$2:$A$2442,A1265)&gt;0,"بله","خیر")</f>
        <v/>
      </c>
    </row>
    <row r="1266" ht="15" customHeight="1" s="14">
      <c r="A1266" s="24" t="n">
        <v>2584</v>
      </c>
      <c r="B1266" s="24" t="inlineStr">
        <is>
          <t>بهدوکائين   اسپري موضعي 10 mg/1{dose} 50 mL - لابراتوار هاي دنياي بهداشت</t>
        </is>
      </c>
      <c r="C1266" s="25">
        <f>IF(COUNTIF('کدهای پیام‌داروساز'!$A$2:$A$2442,A1266)&gt;0,"بله","خیر")</f>
        <v/>
      </c>
    </row>
    <row r="1267" ht="15" customHeight="1" s="14">
      <c r="A1267" s="24" t="n">
        <v>2592</v>
      </c>
      <c r="B1267" s="24" t="inlineStr">
        <is>
          <t>بهلامين   لوسيون موضعي 8 % 60 mL - دارو سازي بهوزان</t>
        </is>
      </c>
      <c r="C1267" s="25">
        <f>IF(COUNTIF('کدهای پیام‌داروساز'!$A$2:$A$2442,A1267)&gt;0,"بله","خیر")</f>
        <v/>
      </c>
    </row>
    <row r="1268" ht="15" customHeight="1" s="14">
      <c r="A1268" s="24" t="n">
        <v>2666</v>
      </c>
      <c r="B1268" s="24" t="inlineStr">
        <is>
          <t>ربيف   تزريقي پرنترال 12000000 [iU] 0.5 mL - يارا طب خاورميانه</t>
        </is>
      </c>
      <c r="C1268" s="25">
        <f>IF(COUNTIF('کدهای پیام‌داروساز'!$A$2:$A$2442,A1268)&gt;0,"بله","خیر")</f>
        <v/>
      </c>
    </row>
    <row r="1269" ht="15" customHeight="1" s="14">
      <c r="A1269" s="24" t="n">
        <v>2667</v>
      </c>
      <c r="B1269" s="24" t="inlineStr">
        <is>
          <t>اکتووکس   پودر براي تهيه محلول تزريقي پرنترال 6000000 [iU]  ug - اکتوورکو</t>
        </is>
      </c>
      <c r="C1269" s="25">
        <f>IF(COUNTIF('کدهای پیام‌داروساز'!$A$2:$A$2442,A1269)&gt;0,"بله","خیر")</f>
        <v/>
      </c>
    </row>
    <row r="1270" ht="15" customHeight="1" s="14">
      <c r="A1270" s="24" t="n">
        <v>2670</v>
      </c>
      <c r="B1270" s="24" t="inlineStr">
        <is>
          <t>اسنو*تي يرز 1.4 درصد 10 ميلي ليتر (پلي وينيل الکل) قطره چشمي - BAUSCH &amp; LOMB</t>
        </is>
      </c>
      <c r="C1270" s="25">
        <f>IF(COUNTIF('کدهای پیام‌داروساز'!$A$2:$A$2442,A1270)&gt;0,"بله","خیر")</f>
        <v/>
      </c>
    </row>
    <row r="1271" ht="15" customHeight="1" s="14">
      <c r="A1271" s="24" t="n">
        <v>2682</v>
      </c>
      <c r="B1271" s="24" t="inlineStr">
        <is>
          <t>آريوسون   پودر لئوفيليزه براي تهيه محلول تزريقي پرنترال 1.2 mg  mg - آريوژن فارمد</t>
        </is>
      </c>
      <c r="C1271" s="25">
        <f>IF(COUNTIF('کدهای پیام‌داروساز'!$A$2:$A$2442,A1271)&gt;0,"بله","خیر")</f>
        <v/>
      </c>
    </row>
    <row r="1272" ht="15" customHeight="1" s="14">
      <c r="A1272" s="24" t="n">
        <v>2686</v>
      </c>
      <c r="B1272" s="24" t="inlineStr">
        <is>
          <t>پياسکليدين 300 کپسول - EXPANSCIENCE</t>
        </is>
      </c>
      <c r="C1272" s="25">
        <f>IF(COUNTIF('کدهای پیام‌داروساز'!$A$2:$A$2442,A1272)&gt;0,"بله","خیر")</f>
        <v/>
      </c>
    </row>
    <row r="1273" ht="15" customHeight="1" s="14">
      <c r="A1273" s="24" t="n">
        <v>2705</v>
      </c>
      <c r="B1273" s="24" t="inlineStr">
        <is>
          <t>متادون   قرص خوراکي 20 mg - توليد مواد اوليه داروپخش</t>
        </is>
      </c>
      <c r="C1273" s="25">
        <f>IF(COUNTIF('کدهای پیام‌داروساز'!$A$2:$A$2442,A1273)&gt;0,"بله","خیر")</f>
        <v/>
      </c>
    </row>
    <row r="1274" ht="15" customHeight="1" s="14">
      <c r="A1274" s="24" t="n">
        <v>2706</v>
      </c>
      <c r="B1274" s="24" t="inlineStr">
        <is>
          <t>متادون   قرص خوراکي 40 mg - توليد مواد اوليه داروپخش</t>
        </is>
      </c>
      <c r="C1274" s="25">
        <f>IF(COUNTIF('کدهای پیام‌داروساز'!$A$2:$A$2442,A1274)&gt;0,"بله","خیر")</f>
        <v/>
      </c>
    </row>
    <row r="1275" ht="15" customHeight="1" s="14">
      <c r="A1275" s="24" t="n">
        <v>2708</v>
      </c>
      <c r="B1275" s="24" t="inlineStr">
        <is>
          <t>ترامادول   تزريقي پرنترال 50 mg/1mL 1 mL - البرز دارو</t>
        </is>
      </c>
      <c r="C1275" s="25">
        <f>IF(COUNTIF('کدهای پیام‌داروساز'!$A$2:$A$2442,A1275)&gt;0,"بله","خیر")</f>
        <v/>
      </c>
    </row>
    <row r="1276" ht="15" customHeight="1" s="14">
      <c r="A1276" s="24" t="n">
        <v>2710</v>
      </c>
      <c r="B1276" s="24" t="inlineStr">
        <is>
          <t>اسپري فلوهيل 250</t>
        </is>
      </c>
      <c r="C1276" s="25">
        <f>IF(COUNTIF('کدهای پیام‌داروساز'!$A$2:$A$2442,A1276)&gt;0,"بله","خیر")</f>
        <v/>
      </c>
    </row>
    <row r="1277" ht="15" customHeight="1" s="14">
      <c r="A1277" s="24" t="n">
        <v>2711</v>
      </c>
      <c r="B1277" s="24" t="inlineStr">
        <is>
          <t>کاتوسين (فلوتيکازون پروپيونات) 125 م ک گ 120 پاف اسپري دهاني - سينادارو</t>
        </is>
      </c>
      <c r="C1277" s="25">
        <f>IF(COUNTIF('کدهای پیام‌داروساز'!$A$2:$A$2442,A1277)&gt;0,"بله","خیر")</f>
        <v/>
      </c>
    </row>
    <row r="1278" ht="15" customHeight="1" s="14">
      <c r="A1278" s="24" t="n">
        <v>2713</v>
      </c>
      <c r="B1278" s="24" t="inlineStr">
        <is>
          <t>ژرياتريک فارماتون کپسول100 عددي - فارماتون</t>
        </is>
      </c>
      <c r="C1278" s="25">
        <f>IF(COUNTIF('کدهای پیام‌داروساز'!$A$2:$A$2442,A1278)&gt;0,"بله","خیر")</f>
        <v/>
      </c>
    </row>
    <row r="1279" ht="15" customHeight="1" s="14">
      <c r="A1279" s="24" t="n">
        <v>2738</v>
      </c>
      <c r="B1279" s="24" t="inlineStr">
        <is>
          <t>اکسفارم   کپسول خوراکي 6 mg - کيش مديفارم</t>
        </is>
      </c>
      <c r="C1279" s="25">
        <f>IF(COUNTIF('کدهای پیام‌داروساز'!$A$2:$A$2442,A1279)&gt;0,"بله","خیر")</f>
        <v/>
      </c>
    </row>
    <row r="1280" ht="15" customHeight="1" s="14">
      <c r="A1280" s="24" t="n">
        <v>2745</v>
      </c>
      <c r="B1280" s="24" t="inlineStr">
        <is>
          <t>آداپالن   محلول موضعي 0.1 % 30 mL - داروسازي پاک دارو</t>
        </is>
      </c>
      <c r="C1280" s="25">
        <f>IF(COUNTIF('کدهای پیام‌داروساز'!$A$2:$A$2442,A1280)&gt;0,"بله","خیر")</f>
        <v/>
      </c>
    </row>
    <row r="1281" ht="15" customHeight="1" s="14">
      <c r="A1281" s="24" t="n">
        <v>2746</v>
      </c>
      <c r="B1281" s="24" t="inlineStr">
        <is>
          <t>الازين   قرص خوراکي 15 mg - دارو سازي تهران دارو</t>
        </is>
      </c>
      <c r="C1281" s="25">
        <f>IF(COUNTIF('کدهای پیام‌داروساز'!$A$2:$A$2442,A1281)&gt;0,"بله","خیر")</f>
        <v/>
      </c>
    </row>
    <row r="1282" ht="15" customHeight="1" s="14">
      <c r="A1282" s="24" t="n">
        <v>2751</v>
      </c>
      <c r="B1282" s="24" t="inlineStr">
        <is>
          <t>الازين   قرص خوراکي 2.5 mg - دارو سازي تهران دارو</t>
        </is>
      </c>
      <c r="C1282" s="25">
        <f>IF(COUNTIF('کدهای پیام‌داروساز'!$A$2:$A$2442,A1282)&gt;0,"بله","خیر")</f>
        <v/>
      </c>
    </row>
    <row r="1283" ht="15" customHeight="1" s="14">
      <c r="A1283" s="24" t="n">
        <v>2767</v>
      </c>
      <c r="B1283" s="24" t="inlineStr">
        <is>
          <t>واکسن دوگانه فلج اطفال   سوسپانسيون خوراکي 15 {dose}  {dose} - موسسه تحقيقات واکسن وسرم سازي رازي</t>
        </is>
      </c>
      <c r="C1283" s="25">
        <f>IF(COUNTIF('کدهای پیام‌داروساز'!$A$2:$A$2442,A1283)&gt;0,"بله","خیر")</f>
        <v/>
      </c>
    </row>
    <row r="1284" ht="15" customHeight="1" s="14">
      <c r="A1284" s="24" t="n">
        <v>2844</v>
      </c>
      <c r="B1284" s="24" t="inlineStr">
        <is>
          <t>بکلام (بکلومتازون دي پروپيونات) 50 م ک گ 20 م ل 200 پاف اسپري بيني - رها</t>
        </is>
      </c>
      <c r="C1284" s="25">
        <f>IF(COUNTIF('کدهای پیام‌داروساز'!$A$2:$A$2442,A1284)&gt;0,"بله","خیر")</f>
        <v/>
      </c>
    </row>
    <row r="1285" ht="15" customHeight="1" s="14">
      <c r="A1285" s="24" t="n">
        <v>2865</v>
      </c>
      <c r="B1285" s="24" t="inlineStr">
        <is>
          <t>آب سترون براي تزريق   تزريقي پرنترال 10 mL  mL - داروسازي ثامن</t>
        </is>
      </c>
      <c r="C1285" s="25">
        <f>IF(COUNTIF('کدهای پیام‌داروساز'!$A$2:$A$2442,A1285)&gt;0,"بله","خیر")</f>
        <v/>
      </c>
    </row>
    <row r="1286" ht="15" customHeight="1" s="14">
      <c r="A1286" s="24" t="n">
        <v>2950</v>
      </c>
      <c r="B1286" s="24" t="inlineStr">
        <is>
          <t>بهدوکائين   اسپري موضعي 10 mg/1{dose} 100 mL - لابراتوار هاي دنياي بهداشت</t>
        </is>
      </c>
      <c r="C1286" s="25">
        <f>IF(COUNTIF('کدهای پیام‌داروساز'!$A$2:$A$2442,A1286)&gt;0,"بله","خیر")</f>
        <v/>
      </c>
    </row>
    <row r="1287" ht="15" customHeight="1" s="14">
      <c r="A1287" s="24" t="n">
        <v>2959</v>
      </c>
      <c r="B1287" s="24" t="inlineStr">
        <is>
          <t>آرتيميتر/لومفانترين   قرص خوراکي 20 mg/120 mg - بهسام آرا دارو</t>
        </is>
      </c>
      <c r="C1287" s="25">
        <f>IF(COUNTIF('کدهای پیام‌داروساز'!$A$2:$A$2442,A1287)&gt;0,"بله","خیر")</f>
        <v/>
      </c>
    </row>
    <row r="1288" ht="15" customHeight="1" s="14">
      <c r="A1288" s="24" t="n">
        <v>2962</v>
      </c>
      <c r="B1288" s="24" t="inlineStr">
        <is>
          <t>آرومازين   قرص خوراکي 25 mg</t>
        </is>
      </c>
      <c r="C1288" s="25">
        <f>IF(COUNTIF('کدهای پیام‌داروساز'!$A$2:$A$2442,A1288)&gt;0,"بله","خیر")</f>
        <v/>
      </c>
    </row>
    <row r="1289" ht="15" customHeight="1" s="14">
      <c r="A1289" s="24" t="n">
        <v>3005</v>
      </c>
      <c r="B1289" s="24" t="inlineStr">
        <is>
          <t>جيناتي   قرص واژينال 10 ug - دارو سازي آتي فارمد</t>
        </is>
      </c>
      <c r="C1289" s="25">
        <f>IF(COUNTIF('کدهای پیام‌داروساز'!$A$2:$A$2442,A1289)&gt;0,"بله","خیر")</f>
        <v/>
      </c>
    </row>
    <row r="1290" ht="15" customHeight="1" s="14">
      <c r="A1290" s="24" t="n">
        <v>3016</v>
      </c>
      <c r="B1290" s="24" t="inlineStr">
        <is>
          <t>ريبوتين   کپسول خوراکي 150 mg - اريکه تجارت ويستا</t>
        </is>
      </c>
      <c r="C1290" s="25">
        <f>IF(COUNTIF('کدهای پیام‌داروساز'!$A$2:$A$2442,A1290)&gt;0,"بله","خیر")</f>
        <v/>
      </c>
    </row>
    <row r="1291" ht="15" customHeight="1" s="14">
      <c r="A1291" s="24" t="n">
        <v>3024</v>
      </c>
      <c r="B1291" s="24" t="inlineStr">
        <is>
          <t>گراتريل (گرانيسترون) 3م گ / 3 م ل آمپول - ابوريحان</t>
        </is>
      </c>
      <c r="C1291" s="25">
        <f>IF(COUNTIF('کدهای پیام‌داروساز'!$A$2:$A$2442,A1291)&gt;0,"بله","خیر")</f>
        <v/>
      </c>
    </row>
    <row r="1292" ht="15" customHeight="1" s="14">
      <c r="A1292" s="24" t="n">
        <v>3283</v>
      </c>
      <c r="B1292" s="24" t="inlineStr">
        <is>
          <t>آفاپنم   پودر براي تهيه محلول تزريقي پرنترال 500 mg  mg - آفا شيمي</t>
        </is>
      </c>
      <c r="C1292" s="25">
        <f>IF(COUNTIF('کدهای پیام‌داروساز'!$A$2:$A$2442,A1292)&gt;0,"بله","خیر")</f>
        <v/>
      </c>
    </row>
    <row r="1293" ht="15" customHeight="1" s="14">
      <c r="A1293" s="24" t="n">
        <v>3375</v>
      </c>
      <c r="B1293" s="24" t="inlineStr">
        <is>
          <t>بايوويراپين   قرص خوراکي 200 mg - باختر بيو شيمي</t>
        </is>
      </c>
      <c r="C1293" s="25">
        <f>IF(COUNTIF('کدهای پیام‌داروساز'!$A$2:$A$2442,A1293)&gt;0,"بله","خیر")</f>
        <v/>
      </c>
    </row>
    <row r="1294" ht="15" customHeight="1" s="14">
      <c r="A1294" s="24" t="n">
        <v>3412</v>
      </c>
      <c r="B1294" s="24" t="inlineStr">
        <is>
          <t>هگزوداين 0.12% (کلرهگزيدين) دهانشويه 300 ميلي ليتر - دنياي بهداشت</t>
        </is>
      </c>
      <c r="C1294" s="25">
        <f>IF(COUNTIF('کدهای پیام‌داروساز'!$A$2:$A$2442,A1294)&gt;0,"بله","خیر")</f>
        <v/>
      </c>
    </row>
    <row r="1295" ht="15" customHeight="1" s="14">
      <c r="A1295" s="24" t="n">
        <v>3431</v>
      </c>
      <c r="B1295" s="24" t="inlineStr">
        <is>
          <t>آتراتن   کپسول خوراکي 10 mg - داروسازان سانا فارمد</t>
        </is>
      </c>
      <c r="C1295" s="25">
        <f>IF(COUNTIF('کدهای پیام‌داروساز'!$A$2:$A$2442,A1295)&gt;0,"بله","خیر")</f>
        <v/>
      </c>
    </row>
    <row r="1296" ht="15" customHeight="1" s="14">
      <c r="A1296" s="24" t="n">
        <v>3538</v>
      </c>
      <c r="B1296" s="24" t="inlineStr">
        <is>
          <t>سناگراف 60 م ل شربت - ايران داروک</t>
        </is>
      </c>
      <c r="C1296" s="25">
        <f>IF(COUNTIF('کدهای پیام‌داروساز'!$A$2:$A$2442,A1296)&gt;0,"بله","خیر")</f>
        <v/>
      </c>
    </row>
    <row r="1297" ht="15" customHeight="1" s="14">
      <c r="A1297" s="24" t="n">
        <v>3539</v>
      </c>
      <c r="B1297" s="24" t="inlineStr">
        <is>
          <t>موسيليوم (طعم توت فرنگي) ملين گياهي ساشه -  ايران داروک</t>
        </is>
      </c>
      <c r="C1297" s="25">
        <f>IF(COUNTIF('کدهای پیام‌داروساز'!$A$2:$A$2442,A1297)&gt;0,"بله","خیر")</f>
        <v/>
      </c>
    </row>
    <row r="1298" ht="15" customHeight="1" s="14">
      <c r="A1298" s="24" t="n">
        <v>3540</v>
      </c>
      <c r="B1298" s="24" t="inlineStr">
        <is>
          <t>موسيليوم (طعم پرتقال) ملين گياهي ساشه - ايران داروک</t>
        </is>
      </c>
      <c r="C1298" s="25">
        <f>IF(COUNTIF('کدهای پیام‌داروساز'!$A$2:$A$2442,A1298)&gt;0,"بله","خیر")</f>
        <v/>
      </c>
    </row>
    <row r="1299" ht="15" customHeight="1" s="14">
      <c r="A1299" s="24" t="n">
        <v>3541</v>
      </c>
      <c r="B1299" s="24" t="inlineStr">
        <is>
          <t>موسيليوم (طعم موزي) ملين گياهي ساشه -  ايران داروک</t>
        </is>
      </c>
      <c r="C1299" s="25">
        <f>IF(COUNTIF('کدهای پیام‌داروساز'!$A$2:$A$2442,A1299)&gt;0,"بله","خیر")</f>
        <v/>
      </c>
    </row>
    <row r="1300" ht="15" customHeight="1" s="14">
      <c r="A1300" s="24" t="n">
        <v>3545</v>
      </c>
      <c r="B1300" s="24" t="inlineStr">
        <is>
          <t>اکزگران   کپسول خوراکي 100 mg - پويش دارو گستر برتر فارس</t>
        </is>
      </c>
      <c r="C1300" s="25">
        <f>IF(COUNTIF('کدهای پیام‌داروساز'!$A$2:$A$2442,A1300)&gt;0,"بله","خیر")</f>
        <v/>
      </c>
    </row>
    <row r="1301" ht="15" customHeight="1" s="14">
      <c r="A1301" s="24" t="n">
        <v>3623</v>
      </c>
      <c r="B1301" s="24" t="inlineStr">
        <is>
          <t>مصپورت 500 (بوتولونيوم آ توکسين) ويال - مصون دارو</t>
        </is>
      </c>
      <c r="C1301" s="25">
        <f>IF(COUNTIF('کدهای پیام‌داروساز'!$A$2:$A$2442,A1301)&gt;0,"بله","خیر")</f>
        <v/>
      </c>
    </row>
    <row r="1302" ht="15" customHeight="1" s="14">
      <c r="A1302" s="24" t="n">
        <v>3799</v>
      </c>
      <c r="B1302" s="24" t="inlineStr">
        <is>
          <t>بوپرنورفين   قرص زيرزباني 2 mg - توليد مواد اوليه داروپخش</t>
        </is>
      </c>
      <c r="C1302" s="25">
        <f>IF(COUNTIF('کدهای پیام‌داروساز'!$A$2:$A$2442,A1302)&gt;0,"بله","خیر")</f>
        <v/>
      </c>
    </row>
    <row r="1303" ht="15" customHeight="1" s="14">
      <c r="A1303" s="24" t="n">
        <v>3800</v>
      </c>
      <c r="B1303" s="24" t="inlineStr">
        <is>
          <t>بوپرنورفين   قرص زيرزباني 8 mg - داروسازي فاران شيمي</t>
        </is>
      </c>
      <c r="C1303" s="25">
        <f>IF(COUNTIF('کدهای پیام‌داروساز'!$A$2:$A$2442,A1303)&gt;0,"بله","خیر")</f>
        <v/>
      </c>
    </row>
    <row r="1304" ht="15" customHeight="1" s="14">
      <c r="A1304" s="24" t="n">
        <v>3823</v>
      </c>
      <c r="B1304" s="24" t="inlineStr">
        <is>
          <t>منيزيم سولفات   تزريقي پرنترال 50 % 10 mL - داروسازي ثامن</t>
        </is>
      </c>
      <c r="C1304" s="25">
        <f>IF(COUNTIF('کدهای پیام‌داروساز'!$A$2:$A$2442,A1304)&gt;0,"بله","خیر")</f>
        <v/>
      </c>
    </row>
    <row r="1305" ht="15" customHeight="1" s="14">
      <c r="A1305" s="24" t="n">
        <v>3849</v>
      </c>
      <c r="B1305" s="24" t="inlineStr">
        <is>
          <t>آفاکسيم (سفکسيم) 100 م گ / 5 م ل 50 م ل سوسپانسيون - آفاشيمي</t>
        </is>
      </c>
      <c r="C1305" s="25">
        <f>IF(COUNTIF('کدهای پیام‌داروساز'!$A$2:$A$2442,A1305)&gt;0,"بله","خیر")</f>
        <v/>
      </c>
    </row>
    <row r="1306" ht="15" customHeight="1" s="14">
      <c r="A1306" s="24" t="n">
        <v>3894</v>
      </c>
      <c r="B1306" s="24" t="inlineStr">
        <is>
          <t>ويال پيپراسيلين/تازوباکتام آفا شيمي 4G/500Mg</t>
        </is>
      </c>
      <c r="C1306" s="25">
        <f>IF(COUNTIF('کدهای پیام‌داروساز'!$A$2:$A$2442,A1306)&gt;0,"بله","خیر")</f>
        <v/>
      </c>
    </row>
    <row r="1307" ht="15" customHeight="1" s="14">
      <c r="A1307" s="24" t="n">
        <v>4000</v>
      </c>
      <c r="B1307" s="24" t="inlineStr">
        <is>
          <t>ردوفو   قرص خوراکي 800 mg</t>
        </is>
      </c>
      <c r="C1307" s="25">
        <f>IF(COUNTIF('کدهای پیام‌داروساز'!$A$2:$A$2442,A1307)&gt;0,"بله","خیر")</f>
        <v/>
      </c>
    </row>
    <row r="1308" ht="15" customHeight="1" s="14">
      <c r="A1308" s="24" t="n">
        <v>4003</v>
      </c>
      <c r="B1308" s="24" t="inlineStr">
        <is>
          <t>آمپول اکسوفر 20 ميلي گرم/ميلي ليتر 5 ميلي ليتر ايرون سوکروز</t>
        </is>
      </c>
      <c r="C1308" s="25">
        <f>IF(COUNTIF('کدهای پیام‌داروساز'!$A$2:$A$2442,A1308)&gt;0,"بله","خیر")</f>
        <v/>
      </c>
    </row>
    <row r="1309" ht="15" customHeight="1" s="14">
      <c r="A1309" s="24" t="n">
        <v>4022</v>
      </c>
      <c r="B1309" s="24" t="inlineStr">
        <is>
          <t>راپاميون   قرص خوراکي 1 mg - بازرگاني سها کيش</t>
        </is>
      </c>
      <c r="C1309" s="25">
        <f>IF(COUNTIF('کدهای پیام‌داروساز'!$A$2:$A$2442,A1309)&gt;0,"بله","خیر")</f>
        <v/>
      </c>
    </row>
    <row r="1310" ht="15" customHeight="1" s="14">
      <c r="A1310" s="24" t="n">
        <v>4025</v>
      </c>
      <c r="B1310" s="24" t="inlineStr">
        <is>
          <t>کلاري اسکن محلول تزريقي</t>
        </is>
      </c>
      <c r="C1310" s="25">
        <f>IF(COUNTIF('کدهای پیام‌داروساز'!$A$2:$A$2442,A1310)&gt;0,"بله","خیر")</f>
        <v/>
      </c>
    </row>
    <row r="1311" ht="15" customHeight="1" s="14">
      <c r="A1311" s="24" t="n">
        <v>4098</v>
      </c>
      <c r="B1311" s="24" t="inlineStr">
        <is>
          <t>الوپکس   تزريقي پرنترال 6 mg/1mL 5 mg - نانو فناوران داروئي الوند</t>
        </is>
      </c>
      <c r="C1311" s="25">
        <f>IF(COUNTIF('کدهای پیام‌داروساز'!$A$2:$A$2442,A1311)&gt;0,"بله","خیر")</f>
        <v/>
      </c>
    </row>
    <row r="1312" ht="15" customHeight="1" s="14">
      <c r="A1312" s="24" t="n">
        <v>4150</v>
      </c>
      <c r="B1312" s="24" t="inlineStr">
        <is>
          <t>زوپيرين   قرص انتريک کوتد خوراکي 500 mg - به شاد دارو</t>
        </is>
      </c>
      <c r="C1312" s="25">
        <f>IF(COUNTIF('کدهای پیام‌داروساز'!$A$2:$A$2442,A1312)&gt;0,"بله","خیر")</f>
        <v/>
      </c>
    </row>
    <row r="1313" ht="15" customHeight="1" s="14">
      <c r="A1313" s="24" t="n">
        <v>4159</v>
      </c>
      <c r="B1313" s="24" t="inlineStr">
        <is>
          <t>اوستنيل (هيالورانيک اسيد سديم) 20 م گ 2 م ل آمپول - تي آر بي چمديکا</t>
        </is>
      </c>
      <c r="C1313" s="25">
        <f>IF(COUNTIF('کدهای پیام‌داروساز'!$A$2:$A$2442,A1313)&gt;0,"بله","خیر")</f>
        <v/>
      </c>
    </row>
    <row r="1314" ht="15" customHeight="1" s="14">
      <c r="A1314" s="24" t="n">
        <v>4189</v>
      </c>
      <c r="B1314" s="24" t="inlineStr">
        <is>
          <t>تيووا رتاکپس تيوتروپيوم برومايد 18 م گ کپسول</t>
        </is>
      </c>
      <c r="C1314" s="25">
        <f>IF(COUNTIF('کدهای پیام‌داروساز'!$A$2:$A$2442,A1314)&gt;0,"بله","خیر")</f>
        <v/>
      </c>
    </row>
    <row r="1315" ht="15" customHeight="1" s="14">
      <c r="A1315" s="24" t="n">
        <v>4256</v>
      </c>
      <c r="B1315" s="24" t="inlineStr">
        <is>
          <t>اي تي تن   محلول خوراکي 0.25 mg/1mL 15 mL - بين المللي ياقوت دارو درمان</t>
        </is>
      </c>
      <c r="C1315" s="25">
        <f>IF(COUNTIF('کدهای پیام‌داروساز'!$A$2:$A$2442,A1315)&gt;0,"بله","خیر")</f>
        <v/>
      </c>
    </row>
    <row r="1316" ht="15" customHeight="1" s="14">
      <c r="A1316" s="24" t="n">
        <v>4339</v>
      </c>
      <c r="B1316" s="24" t="inlineStr">
        <is>
          <t>تاليدکس   قرص خوراکي 100 mg  mg - کوبل دارو</t>
        </is>
      </c>
      <c r="C1316" s="25">
        <f>IF(COUNTIF('کدهای پیام‌داروساز'!$A$2:$A$2442,A1316)&gt;0,"بله","خیر")</f>
        <v/>
      </c>
    </row>
    <row r="1317" ht="15" customHeight="1" s="14">
      <c r="A1317" s="24" t="n">
        <v>4482</v>
      </c>
      <c r="B1317" s="24" t="inlineStr">
        <is>
          <t>ملاتونين 3 م گ قرص - جالينوس</t>
        </is>
      </c>
      <c r="C1317" s="25">
        <f>IF(COUNTIF('کدهای پیام‌داروساز'!$A$2:$A$2442,A1317)&gt;0,"بله","خیر")</f>
        <v/>
      </c>
    </row>
    <row r="1318" ht="15" customHeight="1" s="14">
      <c r="A1318" s="24" t="n">
        <v>4486</v>
      </c>
      <c r="B1318" s="24" t="inlineStr">
        <is>
          <t>اپرکس 4000 واحد تزريقي   تزريقي پرنترال 4000 [iU]/1mL 1</t>
        </is>
      </c>
      <c r="C1318" s="25">
        <f>IF(COUNTIF('کدهای پیام‌داروساز'!$A$2:$A$2442,A1318)&gt;0,"بله","خیر")</f>
        <v/>
      </c>
    </row>
    <row r="1319" ht="15" customHeight="1" s="14">
      <c r="A1319" s="24" t="n">
        <v>4538</v>
      </c>
      <c r="B1319" s="24" t="inlineStr">
        <is>
          <t>دوتارم   تزريقي پرنترال 376.9 mg/1mL 10 mL - کوبل دارو</t>
        </is>
      </c>
      <c r="C1319" s="25">
        <f>IF(COUNTIF('کدهای پیام‌داروساز'!$A$2:$A$2442,A1319)&gt;0,"بله","خیر")</f>
        <v/>
      </c>
    </row>
    <row r="1320" ht="15" customHeight="1" s="14">
      <c r="A1320" s="24" t="n">
        <v>4578</v>
      </c>
      <c r="B1320" s="24" t="inlineStr">
        <is>
          <t>تولترودين   قرص خوراکي 1 mg - داروئي و بهداشتي لقمان</t>
        </is>
      </c>
      <c r="C1320" s="25">
        <f>IF(COUNTIF('کدهای پیام‌داروساز'!$A$2:$A$2442,A1320)&gt;0,"بله","خیر")</f>
        <v/>
      </c>
    </row>
    <row r="1321" ht="15" customHeight="1" s="14">
      <c r="A1321" s="24" t="n">
        <v>4579</v>
      </c>
      <c r="B1321" s="24" t="inlineStr">
        <is>
          <t>تولترودين   قرص خوراکي 2 mg - داروئي و بهداشتي لقمان</t>
        </is>
      </c>
      <c r="C1321" s="25">
        <f>IF(COUNTIF('کدهای پیام‌داروساز'!$A$2:$A$2442,A1321)&gt;0,"بله","خیر")</f>
        <v/>
      </c>
    </row>
    <row r="1322" ht="15" customHeight="1" s="14">
      <c r="A1322" s="24" t="n">
        <v>4585</v>
      </c>
      <c r="B1322" s="24" t="inlineStr">
        <is>
          <t>زينک سولفات 5 م گ / 5 م ل 120 م ل شربت - رازک</t>
        </is>
      </c>
      <c r="C1322" s="25">
        <f>IF(COUNTIF('کدهای پیام‌داروساز'!$A$2:$A$2442,A1322)&gt;0,"بله","خیر")</f>
        <v/>
      </c>
    </row>
    <row r="1323" ht="15" customHeight="1" s="14">
      <c r="A1323" s="24" t="n">
        <v>4682</v>
      </c>
      <c r="B1323" s="24" t="inlineStr">
        <is>
          <t>منسوکس   تزريقي پرنترال 10 {dose} 5 mL - بهستان دارو</t>
        </is>
      </c>
      <c r="C1323" s="25">
        <f>IF(COUNTIF('کدهای پیام‌داروساز'!$A$2:$A$2442,A1323)&gt;0,"بله","خیر")</f>
        <v/>
      </c>
    </row>
    <row r="1324" ht="15" customHeight="1" s="14">
      <c r="A1324" s="24" t="n">
        <v>4684</v>
      </c>
      <c r="B1324" s="24" t="inlineStr">
        <is>
          <t xml:space="preserve">اسپري استنشاقي فوشال 250 ميکروگرم/پاف 200 دوز(بکلومتازون دي پروپيونات) اينهالر  </t>
        </is>
      </c>
      <c r="C1324" s="25">
        <f>IF(COUNTIF('کدهای پیام‌داروساز'!$A$2:$A$2442,A1324)&gt;0,"بله","خیر")</f>
        <v/>
      </c>
    </row>
    <row r="1325" ht="15" customHeight="1" s="14">
      <c r="A1325" s="24" t="n">
        <v>4708</v>
      </c>
      <c r="B1325" s="24" t="inlineStr">
        <is>
          <t>بايووکسامين (فلووکسامين) 100 م گ قرص - باختربيوشيمي</t>
        </is>
      </c>
      <c r="C1325" s="25">
        <f>IF(COUNTIF('کدهای پیام‌داروساز'!$A$2:$A$2442,A1325)&gt;0,"بله","خیر")</f>
        <v/>
      </c>
    </row>
    <row r="1326" ht="15" customHeight="1" s="14">
      <c r="A1326" s="24" t="n">
        <v>4757</v>
      </c>
      <c r="B1326" s="24" t="inlineStr">
        <is>
          <t>پکنوگرف   تزريقي پرنترال 270 mg/1mL 50 mg - رويان دارو</t>
        </is>
      </c>
      <c r="C1326" s="25">
        <f>IF(COUNTIF('کدهای پیام‌داروساز'!$A$2:$A$2442,A1326)&gt;0,"بله","خیر")</f>
        <v/>
      </c>
    </row>
    <row r="1327" ht="15" customHeight="1" s="14">
      <c r="A1327" s="24" t="n">
        <v>4768</v>
      </c>
      <c r="B1327" s="24" t="inlineStr">
        <is>
          <t>آوي گانسيک   قرص خوراکي 450 mg - داروسازي آوه سينا</t>
        </is>
      </c>
      <c r="C1327" s="25">
        <f>IF(COUNTIF('کدهای پیام‌داروساز'!$A$2:$A$2442,A1327)&gt;0,"بله","خیر")</f>
        <v/>
      </c>
    </row>
    <row r="1328" ht="15" customHeight="1" s="14">
      <c r="A1328" s="24" t="n">
        <v>4770</v>
      </c>
      <c r="B1328" s="24" t="inlineStr">
        <is>
          <t>آب سترون قابل تزريق 5 ميلي گرم آمپول  - شهيد قاضي</t>
        </is>
      </c>
      <c r="C1328" s="25">
        <f>IF(COUNTIF('کدهای پیام‌داروساز'!$A$2:$A$2442,A1328)&gt;0,"بله","خیر")</f>
        <v/>
      </c>
    </row>
    <row r="1329" ht="15" customHeight="1" s="14">
      <c r="A1329" s="24" t="n">
        <v>4793</v>
      </c>
      <c r="B1329" s="24" t="inlineStr">
        <is>
          <t>SERETIDE 25/250    آئروسل با دوز اندازه گيري شده استنشاقي 25 ug/50 ug/1{dose} 120</t>
        </is>
      </c>
      <c r="C1329" s="25">
        <f>IF(COUNTIF('کدهای پیام‌داروساز'!$A$2:$A$2442,A1329)&gt;0,"بله","خیر")</f>
        <v/>
      </c>
    </row>
    <row r="1330" ht="15" customHeight="1" s="14">
      <c r="A1330" s="24" t="n">
        <v>4795</v>
      </c>
      <c r="B1330" s="24" t="inlineStr">
        <is>
          <t>اسپري استنشاقي ايرپاف 25/125 ميکروگرم/دوز- اير پاف(آئروسل</t>
        </is>
      </c>
      <c r="C1330" s="25">
        <f>IF(COUNTIF('کدهای پیام‌داروساز'!$A$2:$A$2442,A1330)&gt;0,"بله","خیر")</f>
        <v/>
      </c>
    </row>
    <row r="1331" ht="15" customHeight="1" s="14">
      <c r="A1331" s="24" t="n">
        <v>4832</v>
      </c>
      <c r="B1331" s="24" t="inlineStr">
        <is>
          <t>پي دي پويتين 4000(اريتروپويتين آلفا)سرنگ آماده تزريق-پويش دارو</t>
        </is>
      </c>
      <c r="C1331" s="25">
        <f>IF(COUNTIF('کدهای پیام‌داروساز'!$A$2:$A$2442,A1331)&gt;0,"بله","خیر")</f>
        <v/>
      </c>
    </row>
    <row r="1332" ht="15" customHeight="1" s="14">
      <c r="A1332" s="24" t="n">
        <v>4840</v>
      </c>
      <c r="B1332" s="24" t="inlineStr">
        <is>
          <t>ايماتينيب   قرص خوراکي 100 mg - دارو سازي اسوه</t>
        </is>
      </c>
      <c r="C1332" s="25">
        <f>IF(COUNTIF('کدهای پیام‌داروساز'!$A$2:$A$2442,A1332)&gt;0,"بله","خیر")</f>
        <v/>
      </c>
    </row>
    <row r="1333" ht="15" customHeight="1" s="14">
      <c r="A1333" s="24" t="n">
        <v>4864</v>
      </c>
      <c r="B1333" s="24" t="inlineStr">
        <is>
          <t>رينگر    محلول تزريقي داخل وريدي 500 mL - اريکه تجارت ويستا</t>
        </is>
      </c>
      <c r="C1333" s="25">
        <f>IF(COUNTIF('کدهای پیام‌داروساز'!$A$2:$A$2442,A1333)&gt;0,"بله","خیر")</f>
        <v/>
      </c>
    </row>
    <row r="1334" ht="15" customHeight="1" s="14">
      <c r="A1334" s="24" t="n">
        <v>4903</v>
      </c>
      <c r="B1334" s="24" t="inlineStr">
        <is>
          <t>آيوگراف 240 ميلي گرم در ميلي ليتر   تزريقي پرنترال 240 mg/1mL  mL</t>
        </is>
      </c>
      <c r="C1334" s="25">
        <f>IF(COUNTIF('کدهای پیام‌داروساز'!$A$2:$A$2442,A1334)&gt;0,"بله","خیر")</f>
        <v/>
      </c>
    </row>
    <row r="1335" ht="15" customHeight="1" s="14">
      <c r="A1335" s="24" t="n">
        <v>4904</v>
      </c>
      <c r="B1335" s="24" t="inlineStr">
        <is>
          <t>NOVONORM® 1MG TAB   قرص خوراکي 1 mg</t>
        </is>
      </c>
      <c r="C1335" s="25">
        <f>IF(COUNTIF('کدهای پیام‌داروساز'!$A$2:$A$2442,A1335)&gt;0,"بله","خیر")</f>
        <v/>
      </c>
    </row>
    <row r="1336" ht="15" customHeight="1" s="14">
      <c r="A1336" s="24" t="n">
        <v>4905</v>
      </c>
      <c r="B1336" s="24" t="inlineStr">
        <is>
          <t>NOVONORM® 2MG TAB   قرص خوراکي 2 mg</t>
        </is>
      </c>
      <c r="C1336" s="25">
        <f>IF(COUNTIF('کدهای پیام‌داروساز'!$A$2:$A$2442,A1336)&gt;0,"بله","خیر")</f>
        <v/>
      </c>
    </row>
    <row r="1337" ht="15" customHeight="1" s="14">
      <c r="A1337" s="24" t="n">
        <v>4907</v>
      </c>
      <c r="B1337" s="24" t="inlineStr">
        <is>
          <t>ايزوتونيک سديم کلرايد دکستروز   محلول تزريقي داخل وريدي 3.33 %/0.3 % 500 mL</t>
        </is>
      </c>
      <c r="C1337" s="25">
        <f>IF(COUNTIF('کدهای پیام‌داروساز'!$A$2:$A$2442,A1337)&gt;0,"بله","خیر")</f>
        <v/>
      </c>
    </row>
    <row r="1338" ht="15" customHeight="1" s="14">
      <c r="A1338" s="24" t="n">
        <v>4927</v>
      </c>
      <c r="B1338" s="24" t="inlineStr">
        <is>
          <t>Seretide 25/250 mcg    آئروسل با دوز اندازه گيري شده استنشاقي 25 ug/250 ug/1{dose} 120</t>
        </is>
      </c>
      <c r="C1338" s="25">
        <f>IF(COUNTIF('کدهای پیام‌داروساز'!$A$2:$A$2442,A1338)&gt;0,"بله","خیر")</f>
        <v/>
      </c>
    </row>
    <row r="1339" ht="15" customHeight="1" s="14">
      <c r="A1339" s="24" t="n">
        <v>4929</v>
      </c>
      <c r="B1339" s="24" t="inlineStr">
        <is>
          <t>باکلوفن   محلول تزريقي پرنترال 0.5 mg/1mL 20 mg - فوريتهاي سينا آرات گستر</t>
        </is>
      </c>
      <c r="C1339" s="25">
        <f>IF(COUNTIF('کدهای پیام‌داروساز'!$A$2:$A$2442,A1339)&gt;0,"بله","خیر")</f>
        <v/>
      </c>
    </row>
    <row r="1340" ht="15" customHeight="1" s="14">
      <c r="A1340" s="24" t="n">
        <v>4954</v>
      </c>
      <c r="B1340" s="24" t="inlineStr">
        <is>
          <t>آپو-گالانتامين   قرص خوراکي 4 mg - رستا ايمن دارو</t>
        </is>
      </c>
      <c r="C1340" s="25">
        <f>IF(COUNTIF('کدهای پیام‌داروساز'!$A$2:$A$2442,A1340)&gt;0,"بله","خیر")</f>
        <v/>
      </c>
    </row>
    <row r="1341" ht="15" customHeight="1" s="14">
      <c r="A1341" s="24" t="n">
        <v>4955</v>
      </c>
      <c r="B1341" s="24" t="inlineStr">
        <is>
          <t>آپو-گالانتامين   قرص خوراکي 8 mg - رستا ايمن دارو</t>
        </is>
      </c>
      <c r="C1341" s="25">
        <f>IF(COUNTIF('کدهای پیام‌داروساز'!$A$2:$A$2442,A1341)&gt;0,"بله","خیر")</f>
        <v/>
      </c>
    </row>
    <row r="1342" ht="15" customHeight="1" s="14">
      <c r="A1342" s="24" t="n">
        <v>4956</v>
      </c>
      <c r="B1342" s="24" t="inlineStr">
        <is>
          <t>آلزامين   قرص خوراکي 12 mg - داروسازي ابوريحان</t>
        </is>
      </c>
      <c r="C1342" s="25">
        <f>IF(COUNTIF('کدهای پیام‌داروساز'!$A$2:$A$2442,A1342)&gt;0,"بله","خیر")</f>
        <v/>
      </c>
    </row>
    <row r="1343" ht="15" customHeight="1" s="14">
      <c r="A1343" s="24" t="n">
        <v>4963</v>
      </c>
      <c r="B1343" s="24" t="inlineStr">
        <is>
          <t>ميگراجکت (سوماتريپتان) 6 م گ / 5/. م ل آمپول - البرز دارو</t>
        </is>
      </c>
      <c r="C1343" s="25">
        <f>IF(COUNTIF('کدهای پیام‌داروساز'!$A$2:$A$2442,A1343)&gt;0,"بله","خیر")</f>
        <v/>
      </c>
    </row>
    <row r="1344" ht="15" customHeight="1" s="14">
      <c r="A1344" s="24" t="n">
        <v>4965</v>
      </c>
      <c r="B1344" s="24" t="inlineStr">
        <is>
          <t>اپولي رک   تزريقي پرنترال 10000 [iU]/1mL 1 [iU] - توليد مواد داروئي درسا دارو</t>
        </is>
      </c>
      <c r="C1344" s="25">
        <f>IF(COUNTIF('کدهای پیام‌داروساز'!$A$2:$A$2442,A1344)&gt;0,"بله","خیر")</f>
        <v/>
      </c>
    </row>
    <row r="1345" ht="15" customHeight="1" s="14">
      <c r="A1345" s="24" t="n">
        <v>4989</v>
      </c>
      <c r="B1345" s="24" t="inlineStr">
        <is>
          <t>آزيترودر   پودر براي تهيه سوسپانسيون   خوراکي 200 mg/5mL 15 mL - توليد مواد داروئي درسا دارو</t>
        </is>
      </c>
      <c r="C1345" s="25">
        <f>IF(COUNTIF('کدهای پیام‌داروساز'!$A$2:$A$2442,A1345)&gt;0,"بله","خیر")</f>
        <v/>
      </c>
    </row>
    <row r="1346" ht="15" customHeight="1" s="14">
      <c r="A1346" s="24" t="n">
        <v>5005</v>
      </c>
      <c r="B1346" s="24" t="inlineStr">
        <is>
          <t>انکوباين   محلول غليظ تزريقي پرنترال 10 mg/1mL 1 mg - کيميا آرا هرم</t>
        </is>
      </c>
      <c r="C1346" s="25">
        <f>IF(COUNTIF('کدهای پیام‌داروساز'!$A$2:$A$2442,A1346)&gt;0,"بله","خیر")</f>
        <v/>
      </c>
    </row>
    <row r="1347" ht="15" customHeight="1" s="14">
      <c r="A1347" s="24" t="n">
        <v>5006</v>
      </c>
      <c r="B1347" s="24" t="inlineStr">
        <is>
          <t>انکوباين   محلول غليظ تزريقي پرنترال 10 mg/1mL 5 mg - کيميا آرا هرم</t>
        </is>
      </c>
      <c r="C1347" s="25">
        <f>IF(COUNTIF('کدهای پیام‌داروساز'!$A$2:$A$2442,A1347)&gt;0,"بله","خیر")</f>
        <v/>
      </c>
    </row>
    <row r="1348" ht="15" customHeight="1" s="14">
      <c r="A1348" s="24" t="n">
        <v>5078</v>
      </c>
      <c r="B1348" s="24" t="inlineStr">
        <is>
          <t>زيدوودين   کپسول خوراکي 300 mg - پارس دارو</t>
        </is>
      </c>
      <c r="C1348" s="25">
        <f>IF(COUNTIF('کدهای پیام‌داروساز'!$A$2:$A$2442,A1348)&gt;0,"بله","خیر")</f>
        <v/>
      </c>
    </row>
    <row r="1349" ht="15" customHeight="1" s="14">
      <c r="A1349" s="24" t="n">
        <v>5100</v>
      </c>
      <c r="B1349" s="24" t="inlineStr">
        <is>
          <t>پروستام (تامسولوسين پيوسته رهش) 4/. م گ کپسول - کيميدارو</t>
        </is>
      </c>
      <c r="C1349" s="25">
        <f>IF(COUNTIF('کدهای پیام‌داروساز'!$A$2:$A$2442,A1349)&gt;0,"بله","خیر")</f>
        <v/>
      </c>
    </row>
    <row r="1350" ht="15" customHeight="1" s="14">
      <c r="A1350" s="24" t="n">
        <v>5152</v>
      </c>
      <c r="B1350" s="24" t="inlineStr">
        <is>
          <t>پي دي گراستيم (فيلگراستيم ( جي سي اس اف )) 300 ميکروگرم / 0.5 ميلي ليتر سرنگ آماده تزريق پويش دارو</t>
        </is>
      </c>
      <c r="C1350" s="25">
        <f>IF(COUNTIF('کدهای پیام‌داروساز'!$A$2:$A$2442,A1350)&gt;0,"بله","خیر")</f>
        <v/>
      </c>
    </row>
    <row r="1351" ht="15" customHeight="1" s="14">
      <c r="A1351" s="24" t="n">
        <v>5154</v>
      </c>
      <c r="B1351" s="24" t="inlineStr">
        <is>
          <t>ونابيد   کپسول پيوسته رهش خوراکي 150 mg - داروسازي دکتر عبيدي</t>
        </is>
      </c>
      <c r="C1351" s="25">
        <f>IF(COUNTIF('کدهای پیام‌داروساز'!$A$2:$A$2442,A1351)&gt;0,"بله","خیر")</f>
        <v/>
      </c>
    </row>
    <row r="1352" ht="15" customHeight="1" s="14">
      <c r="A1352" s="24" t="n">
        <v>5155</v>
      </c>
      <c r="B1352" s="24" t="inlineStr">
        <is>
          <t>آلونتا (ونلافاکسين) 75 م گ کپسول - اکتوور</t>
        </is>
      </c>
      <c r="C1352" s="25">
        <f>IF(COUNTIF('کدهای پیام‌داروساز'!$A$2:$A$2442,A1352)&gt;0,"بله","خیر")</f>
        <v/>
      </c>
    </row>
    <row r="1353" ht="15" customHeight="1" s="14">
      <c r="A1353" s="24" t="n">
        <v>5170</v>
      </c>
      <c r="B1353" s="24" t="inlineStr">
        <is>
          <t>KYTRIL 3mg/3ml AMP   محلول تزريقي داخل وريدي 1 mg/1mL 1</t>
        </is>
      </c>
      <c r="C1353" s="25">
        <f>IF(COUNTIF('کدهای پیام‌داروساز'!$A$2:$A$2442,A1353)&gt;0,"بله","خیر")</f>
        <v/>
      </c>
    </row>
    <row r="1354" ht="15" customHeight="1" s="14">
      <c r="A1354" s="24" t="n">
        <v>5188</v>
      </c>
      <c r="B1354" s="24" t="inlineStr">
        <is>
          <t>تربينافين 1% محلول - پاک دارو</t>
        </is>
      </c>
      <c r="C1354" s="25">
        <f>IF(COUNTIF('کدهای پیام‌داروساز'!$A$2:$A$2442,A1354)&gt;0,"بله","خیر")</f>
        <v/>
      </c>
    </row>
    <row r="1355" ht="15" customHeight="1" s="14">
      <c r="A1355" s="24" t="n">
        <v>5217</v>
      </c>
      <c r="B1355" s="24" t="inlineStr">
        <is>
          <t>پيتوز 30 (پيوگليتازون) قرص - سامي ساز</t>
        </is>
      </c>
      <c r="C1355" s="25">
        <f>IF(COUNTIF('کدهای پیام‌داروساز'!$A$2:$A$2442,A1355)&gt;0,"بله","خیر")</f>
        <v/>
      </c>
    </row>
    <row r="1356" ht="15" customHeight="1" s="14">
      <c r="A1356" s="24" t="n">
        <v>5279</v>
      </c>
      <c r="B1356" s="24" t="inlineStr">
        <is>
          <t>تين زودکس   قرص خوراکي 500 mg - دارو سازي تهران دارو</t>
        </is>
      </c>
      <c r="C1356" s="25">
        <f>IF(COUNTIF('کدهای پیام‌داروساز'!$A$2:$A$2442,A1356)&gt;0,"بله","خیر")</f>
        <v/>
      </c>
    </row>
    <row r="1357" ht="15" customHeight="1" s="14">
      <c r="A1357" s="24" t="n">
        <v>5283</v>
      </c>
      <c r="B1357" s="24" t="inlineStr">
        <is>
          <t>آريوتراست   پودر لئوفيليزه براي تهيه محلول تزريقي پرنترال 150 mg  mg - آريوژن فارمد</t>
        </is>
      </c>
      <c r="C1357" s="25">
        <f>IF(COUNTIF('کدهای پیام‌داروساز'!$A$2:$A$2442,A1357)&gt;0,"بله","خیر")</f>
        <v/>
      </c>
    </row>
    <row r="1358" ht="15" customHeight="1" s="14">
      <c r="A1358" s="24" t="n">
        <v>5291</v>
      </c>
      <c r="B1358" s="24" t="inlineStr">
        <is>
          <t>ستروتايد (سترورليکس استات) 250 ميکروگرم تزريقى مرک سرونو</t>
        </is>
      </c>
      <c r="C1358" s="25">
        <f>IF(COUNTIF('کدهای پیام‌داروساز'!$A$2:$A$2442,A1358)&gt;0,"بله","خیر")</f>
        <v/>
      </c>
    </row>
    <row r="1359" ht="15" customHeight="1" s="14">
      <c r="A1359" s="24" t="n">
        <v>5292</v>
      </c>
      <c r="B1359" s="24" t="inlineStr">
        <is>
          <t>ستروتايد25/(سترورليکس)سرنگ آماده تزريق-3 عددي</t>
        </is>
      </c>
      <c r="C1359" s="25">
        <f>IF(COUNTIF('کدهای پیام‌داروساز'!$A$2:$A$2442,A1359)&gt;0,"بله","خیر")</f>
        <v/>
      </c>
    </row>
    <row r="1360" ht="15" customHeight="1" s="14">
      <c r="A1360" s="24" t="n">
        <v>5421</v>
      </c>
      <c r="B1360" s="24" t="inlineStr">
        <is>
          <t>اگزيدل 1% (پيمکروليموس) کرم موضعي 30 گرم - ابوريحان</t>
        </is>
      </c>
      <c r="C1360" s="25">
        <f>IF(COUNTIF('کدهای پیام‌داروساز'!$A$2:$A$2442,A1360)&gt;0,"بله","خیر")</f>
        <v/>
      </c>
    </row>
    <row r="1361" ht="15" customHeight="1" s="14">
      <c r="A1361" s="24" t="n">
        <v>5423</v>
      </c>
      <c r="B1361" s="24" t="inlineStr">
        <is>
          <t>آدوان (والسارتان) 80 م گ  قرص - ابوريحان</t>
        </is>
      </c>
      <c r="C1361" s="25">
        <f>IF(COUNTIF('کدهای پیام‌داروساز'!$A$2:$A$2442,A1361)&gt;0,"بله","خیر")</f>
        <v/>
      </c>
    </row>
    <row r="1362" ht="15" customHeight="1" s="14">
      <c r="A1362" s="24" t="n">
        <v>5427</v>
      </c>
      <c r="B1362" s="24" t="inlineStr">
        <is>
          <t>اوکتروتايد   پودر براي تهيه سوسپانسيون تزريقي پيوسته رهش پرنترال 30 mg  mg - سلامت پرداز دارو</t>
        </is>
      </c>
      <c r="C1362" s="25">
        <f>IF(COUNTIF('کدهای پیام‌داروساز'!$A$2:$A$2442,A1362)&gt;0,"بله","خیر")</f>
        <v/>
      </c>
    </row>
    <row r="1363" ht="15" customHeight="1" s="14">
      <c r="A1363" s="24" t="n">
        <v>5437</v>
      </c>
      <c r="B1363" s="24" t="inlineStr">
        <is>
          <t>آنتي فلو   کپسول خوراکي 75 mg</t>
        </is>
      </c>
      <c r="C1363" s="25">
        <f>IF(COUNTIF('کدهای پیام‌داروساز'!$A$2:$A$2442,A1363)&gt;0,"بله","خیر")</f>
        <v/>
      </c>
    </row>
    <row r="1364" ht="15" customHeight="1" s="14">
      <c r="A1364" s="24" t="n">
        <v>5442</v>
      </c>
      <c r="B1364" s="24" t="inlineStr">
        <is>
          <t>آني کلاز   قرص پيوسته رهش خوراکي 30 mg - داروسازي آني درمان</t>
        </is>
      </c>
      <c r="C1364" s="25">
        <f>IF(COUNTIF('کدهای پیام‌داروساز'!$A$2:$A$2442,A1364)&gt;0,"بله","خیر")</f>
        <v/>
      </c>
    </row>
    <row r="1365" ht="15" customHeight="1" s="14">
      <c r="A1365" s="24" t="n">
        <v>5452</v>
      </c>
      <c r="B1365" s="24" t="inlineStr">
        <is>
          <t>روماتوبيک (ملوکسيکام) 7.5 م گ قرص - تهران شيمي</t>
        </is>
      </c>
      <c r="C1365" s="25">
        <f>IF(COUNTIF('کدهای پیام‌داروساز'!$A$2:$A$2442,A1365)&gt;0,"بله","خیر")</f>
        <v/>
      </c>
    </row>
    <row r="1366" ht="15" customHeight="1" s="14">
      <c r="A1366" s="24" t="n">
        <v>5496</v>
      </c>
      <c r="B1366" s="24" t="inlineStr">
        <is>
          <t>لکورکس 50گرم کرم واژينال - باريج اسانس</t>
        </is>
      </c>
      <c r="C1366" s="25">
        <f>IF(COUNTIF('کدهای پیام‌داروساز'!$A$2:$A$2442,A1366)&gt;0,"بله","خیر")</f>
        <v/>
      </c>
    </row>
    <row r="1367" ht="15" customHeight="1" s="14">
      <c r="A1367" s="24" t="n">
        <v>5519</v>
      </c>
      <c r="B1367" s="24" t="inlineStr">
        <is>
          <t>آرپيپرازول 10 م گ قرص - امين</t>
        </is>
      </c>
      <c r="C1367" s="25">
        <f>IF(COUNTIF('کدهای پیام‌داروساز'!$A$2:$A$2442,A1367)&gt;0,"بله","خیر")</f>
        <v/>
      </c>
    </row>
    <row r="1368" ht="15" customHeight="1" s="14">
      <c r="A1368" s="24" t="n">
        <v>5521</v>
      </c>
      <c r="B1368" s="24" t="inlineStr">
        <is>
          <t>آريپيپرازول 15 م گ قرص - امين</t>
        </is>
      </c>
      <c r="C1368" s="25">
        <f>IF(COUNTIF('کدهای پیام‌داروساز'!$A$2:$A$2442,A1368)&gt;0,"بله","خیر")</f>
        <v/>
      </c>
    </row>
    <row r="1369" ht="15" customHeight="1" s="14">
      <c r="A1369" s="24" t="n">
        <v>5526</v>
      </c>
      <c r="B1369" s="24" t="inlineStr">
        <is>
          <t>کوتريموکسازول   قرص خوراکي 800 mg/160 mg - صنعتي کيميدارو</t>
        </is>
      </c>
      <c r="C1369" s="25">
        <f>IF(COUNTIF('کدهای پیام‌داروساز'!$A$2:$A$2442,A1369)&gt;0,"بله","خیر")</f>
        <v/>
      </c>
    </row>
    <row r="1370" ht="15" customHeight="1" s="14">
      <c r="A1370" s="24" t="n">
        <v>5560</v>
      </c>
      <c r="B1370" s="24" t="inlineStr">
        <is>
          <t>والسارتان 80 کپسول - فارابي</t>
        </is>
      </c>
      <c r="C1370" s="25">
        <f>IF(COUNTIF('کدهای پیام‌داروساز'!$A$2:$A$2442,A1370)&gt;0,"بله","خیر")</f>
        <v/>
      </c>
    </row>
    <row r="1371" ht="15" customHeight="1" s="14">
      <c r="A1371" s="24" t="n">
        <v>5561</v>
      </c>
      <c r="B1371" s="24" t="inlineStr">
        <is>
          <t>والسارتان 160 م گ کپسول - فارابي</t>
        </is>
      </c>
      <c r="C1371" s="25">
        <f>IF(COUNTIF('کدهای پیام‌داروساز'!$A$2:$A$2442,A1371)&gt;0,"بله","خیر")</f>
        <v/>
      </c>
    </row>
    <row r="1372" ht="15" customHeight="1" s="14">
      <c r="A1372" s="24" t="n">
        <v>5596</v>
      </c>
      <c r="B1372" s="24" t="inlineStr">
        <is>
          <t>دروژکس-آي اچ   قرص خوراکي 10 mg - ايران هورمون</t>
        </is>
      </c>
      <c r="C1372" s="25">
        <f>IF(COUNTIF('کدهای پیام‌داروساز'!$A$2:$A$2442,A1372)&gt;0,"بله","خیر")</f>
        <v/>
      </c>
    </row>
    <row r="1373" ht="15" customHeight="1" s="14">
      <c r="A1373" s="24" t="n">
        <v>5599</v>
      </c>
      <c r="B1373" s="24" t="inlineStr">
        <is>
          <t>دوتارم   تزريقي پرنترال 376.9 mg/1mL 20 mL - کوبل دارو</t>
        </is>
      </c>
      <c r="C1373" s="25">
        <f>IF(COUNTIF('کدهای پیام‌داروساز'!$A$2:$A$2442,A1373)&gt;0,"بله","خیر")</f>
        <v/>
      </c>
    </row>
    <row r="1374" ht="15" customHeight="1" s="14">
      <c r="A1374" s="24" t="n">
        <v>5615</v>
      </c>
      <c r="B1374" s="24" t="inlineStr">
        <is>
          <t>استيوانت   محلول غليظ تزريقي پرنترال 25 mg/1mL 4 mg - آريوژن فارمد</t>
        </is>
      </c>
      <c r="C1374" s="25">
        <f>IF(COUNTIF('کدهای پیام‌داروساز'!$A$2:$A$2442,A1374)&gt;0,"بله","خیر")</f>
        <v/>
      </c>
    </row>
    <row r="1375" ht="15" customHeight="1" s="14">
      <c r="A1375" s="24" t="n">
        <v>5616</v>
      </c>
      <c r="B1375" s="24" t="inlineStr">
        <is>
          <t>استيوانت   محلول غليظ تزريقي پرنترال 25 mg/1mL 16 mg - آريوژن فارمد</t>
        </is>
      </c>
      <c r="C1375" s="25">
        <f>IF(COUNTIF('کدهای پیام‌داروساز'!$A$2:$A$2442,A1375)&gt;0,"بله","خیر")</f>
        <v/>
      </c>
    </row>
    <row r="1376" ht="15" customHeight="1" s="14">
      <c r="A1376" s="24" t="n">
        <v>5624</v>
      </c>
      <c r="B1376" s="24" t="inlineStr">
        <is>
          <t>پيتوز (پيوگليتازون) 15 م گ قرص - سامي ساز</t>
        </is>
      </c>
      <c r="C1376" s="25">
        <f>IF(COUNTIF('کدهای پیام‌داروساز'!$A$2:$A$2442,A1376)&gt;0,"بله","خیر")</f>
        <v/>
      </c>
    </row>
    <row r="1377" ht="15" customHeight="1" s="14">
      <c r="A1377" s="24" t="n">
        <v>5625</v>
      </c>
      <c r="B1377" s="24" t="inlineStr">
        <is>
          <t>پي توز    قرص خوراکي 45 mg - داروسازي سامي ساز</t>
        </is>
      </c>
      <c r="C1377" s="25">
        <f>IF(COUNTIF('کدهای پیام‌داروساز'!$A$2:$A$2442,A1377)&gt;0,"بله","خیر")</f>
        <v/>
      </c>
    </row>
    <row r="1378" ht="15" customHeight="1" s="14">
      <c r="A1378" s="24" t="n">
        <v>5629</v>
      </c>
      <c r="B1378" s="24" t="inlineStr">
        <is>
          <t>آفاپنم   پودر براي تهيه محلول تزريقي پرنترال 1 g  g - آفا شيمي</t>
        </is>
      </c>
      <c r="C1378" s="25">
        <f>IF(COUNTIF('کدهای پیام‌داروساز'!$A$2:$A$2442,A1378)&gt;0,"بله","خیر")</f>
        <v/>
      </c>
    </row>
    <row r="1379" ht="15" customHeight="1" s="14">
      <c r="A1379" s="24" t="n">
        <v>5635</v>
      </c>
      <c r="B1379" s="24" t="inlineStr">
        <is>
          <t>اسپالکس (تيزانيدين) 4 م گ قرص - ابوريحان</t>
        </is>
      </c>
      <c r="C1379" s="25">
        <f>IF(COUNTIF('کدهای پیام‌داروساز'!$A$2:$A$2442,A1379)&gt;0,"بله","خیر")</f>
        <v/>
      </c>
    </row>
    <row r="1380" ht="15" customHeight="1" s="14">
      <c r="A1380" s="24" t="n">
        <v>5637</v>
      </c>
      <c r="B1380" s="24" t="inlineStr">
        <is>
          <t>قرص ايندالکس 1/5(اينداپاميد)</t>
        </is>
      </c>
      <c r="C1380" s="25">
        <f>IF(COUNTIF('کدهای پیام‌داروساز'!$A$2:$A$2442,A1380)&gt;0,"بله","خیر")</f>
        <v/>
      </c>
    </row>
    <row r="1381" ht="15" customHeight="1" s="14">
      <c r="A1381" s="24" t="n">
        <v>5657</v>
      </c>
      <c r="B1381" s="24" t="inlineStr">
        <is>
          <t>ازتيمايب   قرص خوراکي 10 mg</t>
        </is>
      </c>
      <c r="C1381" s="25">
        <f>IF(COUNTIF('کدهای پیام‌داروساز'!$A$2:$A$2442,A1381)&gt;0,"بله","خیر")</f>
        <v/>
      </c>
    </row>
    <row r="1382" ht="15" customHeight="1" s="14">
      <c r="A1382" s="24" t="n">
        <v>5691</v>
      </c>
      <c r="B1382" s="24" t="inlineStr">
        <is>
          <t>سرترالين   کپسول خوراکي 100 mg - کيش مديفارم</t>
        </is>
      </c>
      <c r="C1382" s="25">
        <f>IF(COUNTIF('کدهای پیام‌داروساز'!$A$2:$A$2442,A1382)&gt;0,"بله","خیر")</f>
        <v/>
      </c>
    </row>
    <row r="1383" ht="15" customHeight="1" s="14">
      <c r="A1383" s="24" t="n">
        <v>5692</v>
      </c>
      <c r="B1383" s="24" t="inlineStr">
        <is>
          <t>سرترالين   کپسول خوراکي 50 mg - کيش مديفارم</t>
        </is>
      </c>
      <c r="C1383" s="25">
        <f>IF(COUNTIF('کدهای پیام‌داروساز'!$A$2:$A$2442,A1383)&gt;0,"بله","خیر")</f>
        <v/>
      </c>
    </row>
    <row r="1384" ht="15" customHeight="1" s="14">
      <c r="A1384" s="24" t="n">
        <v>5702</v>
      </c>
      <c r="B1384" s="24" t="inlineStr">
        <is>
          <t>پيپراتاز   پودر براي تهيه محلول تزريقي پرنترال 3 g/0.375 g  g - داروسازي دانا</t>
        </is>
      </c>
      <c r="C1384" s="25">
        <f>IF(COUNTIF('کدهای پیام‌داروساز'!$A$2:$A$2442,A1384)&gt;0,"بله","خیر")</f>
        <v/>
      </c>
    </row>
    <row r="1385" ht="15" customHeight="1" s="14">
      <c r="A1385" s="24" t="n">
        <v>5716</v>
      </c>
      <c r="B1385" s="24" t="inlineStr">
        <is>
          <t>امگا3- بدون جيوه 50 عدد کپسول زهراوي</t>
        </is>
      </c>
      <c r="C1385" s="25">
        <f>IF(COUNTIF('کدهای پیام‌داروساز'!$A$2:$A$2442,A1385)&gt;0,"بله","خیر")</f>
        <v/>
      </c>
    </row>
    <row r="1386" ht="15" customHeight="1" s="14">
      <c r="A1386" s="24" t="n">
        <v>5728</v>
      </c>
      <c r="B1386" s="24" t="inlineStr">
        <is>
          <t>اکتانيت   پودر لئوفيليزه براي تهيه محلول تزريقي پرنترال 1000 [iU]  [iU] - پالايش و پژوهش خون</t>
        </is>
      </c>
      <c r="C1386" s="25">
        <f>IF(COUNTIF('کدهای پیام‌داروساز'!$A$2:$A$2442,A1386)&gt;0,"بله","خیر")</f>
        <v/>
      </c>
    </row>
    <row r="1387" ht="15" customHeight="1" s="14">
      <c r="A1387" s="24" t="n">
        <v>5746</v>
      </c>
      <c r="B1387" s="24" t="inlineStr">
        <is>
          <t>انرکسو ان اس   محلول تزريقي داخل وريدي 5 % 500 mL - بهداشت و درمان پاسارگاد جابر</t>
        </is>
      </c>
      <c r="C1387" s="25">
        <f>IF(COUNTIF('کدهای پیام‌داروساز'!$A$2:$A$2442,A1387)&gt;0,"بله","خیر")</f>
        <v/>
      </c>
    </row>
    <row r="1388" ht="15" customHeight="1" s="14">
      <c r="A1388" s="24" t="n">
        <v>5760</v>
      </c>
      <c r="B1388" s="24" t="inlineStr">
        <is>
          <t>روديل   کپسول استنشاقي 12 ug</t>
        </is>
      </c>
      <c r="C1388" s="25">
        <f>IF(COUNTIF('کدهای پیام‌داروساز'!$A$2:$A$2442,A1388)&gt;0,"بله","خیر")</f>
        <v/>
      </c>
    </row>
    <row r="1389" ht="15" customHeight="1" s="14">
      <c r="A1389" s="24" t="n">
        <v>5766</v>
      </c>
      <c r="B1389" s="24" t="inlineStr">
        <is>
          <t>آدوان   قرص خوراکي 160 mg - داروسازي ابوريحان</t>
        </is>
      </c>
      <c r="C1389" s="25">
        <f>IF(COUNTIF('کدهای پیام‌داروساز'!$A$2:$A$2442,A1389)&gt;0,"بله","خیر")</f>
        <v/>
      </c>
    </row>
    <row r="1390" ht="15" customHeight="1" s="14">
      <c r="A1390" s="24" t="n">
        <v>5775</v>
      </c>
      <c r="B1390" s="24" t="inlineStr">
        <is>
          <t>آلتلايز   پودر براي تهيه محلول تزريقي پرنترال 50 mg  mg - آرنا حيات دانش</t>
        </is>
      </c>
      <c r="C1390" s="25">
        <f>IF(COUNTIF('کدهای پیام‌داروساز'!$A$2:$A$2442,A1390)&gt;0,"بله","خیر")</f>
        <v/>
      </c>
    </row>
    <row r="1391" ht="15" customHeight="1" s="14">
      <c r="A1391" s="24" t="n">
        <v>5791</v>
      </c>
      <c r="B1391" s="24" t="inlineStr">
        <is>
          <t>آلونتا (ونلافاکسين) 37.5 م گ کپسول - اکتوور</t>
        </is>
      </c>
      <c r="C1391" s="25">
        <f>IF(COUNTIF('کدهای پیام‌داروساز'!$A$2:$A$2442,A1391)&gt;0,"بله","خیر")</f>
        <v/>
      </c>
    </row>
    <row r="1392" ht="15" customHeight="1" s="14">
      <c r="A1392" s="24" t="n">
        <v>5796</v>
      </c>
      <c r="B1392" s="24" t="inlineStr">
        <is>
          <t>آرتلاک 1.6 ميلي گرم در 0/5 ميلي ليتر تک دوز (هايپروميلوز) قطره چشمي - BAUSCH &amp; LOMB</t>
        </is>
      </c>
      <c r="C1392" s="25">
        <f>IF(COUNTIF('کدهای پیام‌داروساز'!$A$2:$A$2442,A1392)&gt;0,"بله","خیر")</f>
        <v/>
      </c>
    </row>
    <row r="1393" ht="15" customHeight="1" s="14">
      <c r="A1393" s="24" t="n">
        <v>5804</v>
      </c>
      <c r="B1393" s="24" t="inlineStr">
        <is>
          <t>ادپورت   کپسول خوراکي 0.5 mg - بهستان دارو</t>
        </is>
      </c>
      <c r="C1393" s="25">
        <f>IF(COUNTIF('کدهای پیام‌داروساز'!$A$2:$A$2442,A1393)&gt;0,"بله","خیر")</f>
        <v/>
      </c>
    </row>
    <row r="1394" ht="15" customHeight="1" s="14">
      <c r="A1394" s="24" t="n">
        <v>5830</v>
      </c>
      <c r="B1394" s="24" t="inlineStr">
        <is>
          <t>رميکيد100(اينفليکسي ماب)ويال-جانسن</t>
        </is>
      </c>
      <c r="C1394" s="25">
        <f>IF(COUNTIF('کدهای پیام‌داروساز'!$A$2:$A$2442,A1394)&gt;0,"بله","خیر")</f>
        <v/>
      </c>
    </row>
    <row r="1395" ht="15" customHeight="1" s="14">
      <c r="A1395" s="24" t="n">
        <v>5831</v>
      </c>
      <c r="B1395" s="24" t="inlineStr">
        <is>
          <t>اينفلکسي مب   پودر براي تهيه محلول تزريقي پرنترال 100 mg  mg - هانيا پرسان دارو</t>
        </is>
      </c>
      <c r="C1395" s="25">
        <f>IF(COUNTIF('کدهای پیام‌داروساز'!$A$2:$A$2442,A1395)&gt;0,"بله","خیر")</f>
        <v/>
      </c>
    </row>
    <row r="1396" ht="15" customHeight="1" s="14">
      <c r="A1396" s="24" t="n">
        <v>5842</v>
      </c>
      <c r="B1396" s="24" t="inlineStr">
        <is>
          <t>آي جي ونا   تزريقي داخل وريدي 50 mg/1mL 100 g - بهستان پلاسما</t>
        </is>
      </c>
      <c r="C1396" s="25">
        <f>IF(COUNTIF('کدهای پیام‌داروساز'!$A$2:$A$2442,A1396)&gt;0,"بله","خیر")</f>
        <v/>
      </c>
    </row>
    <row r="1397" ht="15" customHeight="1" s="14">
      <c r="A1397" s="24" t="n">
        <v>5843</v>
      </c>
      <c r="B1397" s="24" t="inlineStr">
        <is>
          <t>آي جي ونا   تزريقي داخل وريدي 50 mg/1mL 50 g - بهستان دارو</t>
        </is>
      </c>
      <c r="C1397" s="25">
        <f>IF(COUNTIF('کدهای پیام‌داروساز'!$A$2:$A$2442,A1397)&gt;0,"بله","خیر")</f>
        <v/>
      </c>
    </row>
    <row r="1398" ht="15" customHeight="1" s="14">
      <c r="A1398" s="24" t="n">
        <v>5845</v>
      </c>
      <c r="B1398" s="24" t="inlineStr">
        <is>
          <t>آدريامايسين   محلول غليظ تزريقي پرنترال 2 mg/1mL 10 mg - بهستان دارو</t>
        </is>
      </c>
      <c r="C1398" s="25">
        <f>IF(COUNTIF('کدهای پیام‌داروساز'!$A$2:$A$2442,A1398)&gt;0,"بله","خیر")</f>
        <v/>
      </c>
    </row>
    <row r="1399" ht="15" customHeight="1" s="14">
      <c r="A1399" s="24" t="n">
        <v>5883</v>
      </c>
      <c r="B1399" s="24" t="inlineStr">
        <is>
          <t>ZOMETA 4mg/5ml   تزريقي پرنترال 4 mg/5mL</t>
        </is>
      </c>
      <c r="C1399" s="25">
        <f>IF(COUNTIF('کدهای پیام‌داروساز'!$A$2:$A$2442,A1399)&gt;0,"بله","خیر")</f>
        <v/>
      </c>
    </row>
    <row r="1400" ht="15" customHeight="1" s="14">
      <c r="A1400" s="24" t="n">
        <v>5917</v>
      </c>
      <c r="B1400" s="24" t="inlineStr">
        <is>
          <t>ابيکسا 10(ممانتين هيدروکلرايد)قرص-H.LUNDBECK</t>
        </is>
      </c>
      <c r="C1400" s="25">
        <f>IF(COUNTIF('کدهای پیام‌داروساز'!$A$2:$A$2442,A1400)&gt;0,"بله","خیر")</f>
        <v/>
      </c>
    </row>
    <row r="1401" ht="15" customHeight="1" s="14">
      <c r="A1401" s="24" t="n">
        <v>5922</v>
      </c>
      <c r="B1401" s="24" t="inlineStr">
        <is>
          <t>ازوفلاکس   قرص انتريک کوتد خوراکي 20 mg - کوشان فارمد</t>
        </is>
      </c>
      <c r="C1401" s="25">
        <f>IF(COUNTIF('کدهای پیام‌داروساز'!$A$2:$A$2442,A1401)&gt;0,"بله","خیر")</f>
        <v/>
      </c>
    </row>
    <row r="1402" ht="15" customHeight="1" s="14">
      <c r="A1402" s="24" t="n">
        <v>5923</v>
      </c>
      <c r="B1402" s="24" t="inlineStr">
        <is>
          <t xml:space="preserve">نکسيوم اس امپرازول 40 م گ قرص  - کوبل </t>
        </is>
      </c>
      <c r="C1402" s="25">
        <f>IF(COUNTIF('کدهای پیام‌داروساز'!$A$2:$A$2442,A1402)&gt;0,"بله","خیر")</f>
        <v/>
      </c>
    </row>
    <row r="1403" ht="15" customHeight="1" s="14">
      <c r="A1403" s="24" t="n">
        <v>5927</v>
      </c>
      <c r="B1403" s="24" t="inlineStr">
        <is>
          <t>بايوکويتين   قرص خوراکي 100 mg - باختر بيو شيمي</t>
        </is>
      </c>
      <c r="C1403" s="25">
        <f>IF(COUNTIF('کدهای پیام‌داروساز'!$A$2:$A$2442,A1403)&gt;0,"بله","خیر")</f>
        <v/>
      </c>
    </row>
    <row r="1404" ht="15" customHeight="1" s="14">
      <c r="A1404" s="24" t="n">
        <v>5928</v>
      </c>
      <c r="B1404" s="24" t="inlineStr">
        <is>
          <t>آرو-کوئتياپين   قرص خوراکي 200 mg - دارو درمان آرنگ</t>
        </is>
      </c>
      <c r="C1404" s="25">
        <f>IF(COUNTIF('کدهای پیام‌داروساز'!$A$2:$A$2442,A1404)&gt;0,"بله","خیر")</f>
        <v/>
      </c>
    </row>
    <row r="1405" ht="15" customHeight="1" s="14">
      <c r="A1405" s="24" t="n">
        <v>5932</v>
      </c>
      <c r="B1405" s="24" t="inlineStr">
        <is>
          <t>پاروکسات 20 (پاروکستين هيدروکلرايد) قرص - HEXAL</t>
        </is>
      </c>
      <c r="C1405" s="25">
        <f>IF(COUNTIF('کدهای پیام‌داروساز'!$A$2:$A$2442,A1405)&gt;0,"بله","خیر")</f>
        <v/>
      </c>
    </row>
    <row r="1406" ht="15" customHeight="1" s="14">
      <c r="A1406" s="24" t="n">
        <v>5934</v>
      </c>
      <c r="B1406" s="24" t="inlineStr">
        <is>
          <t>سرترالين   قرص خوراکي 25 mg - داروسازي جالينوس</t>
        </is>
      </c>
      <c r="C1406" s="25">
        <f>IF(COUNTIF('کدهای پیام‌داروساز'!$A$2:$A$2442,A1406)&gt;0,"بله","خیر")</f>
        <v/>
      </c>
    </row>
    <row r="1407" ht="15" customHeight="1" s="14">
      <c r="A1407" s="24" t="n">
        <v>5949</v>
      </c>
      <c r="B1407" s="24" t="inlineStr">
        <is>
          <t>آميتزو   کپسول خوراکي 100 mg - نانو فناوران داروئي الوند</t>
        </is>
      </c>
      <c r="C1407" s="25">
        <f>IF(COUNTIF('کدهای پیام‌داروساز'!$A$2:$A$2442,A1407)&gt;0,"بله","خیر")</f>
        <v/>
      </c>
    </row>
    <row r="1408" ht="15" customHeight="1" s="14">
      <c r="A1408" s="24" t="n">
        <v>5950</v>
      </c>
      <c r="B1408" s="24" t="inlineStr">
        <is>
          <t>آميتزو   کپسول خوراکي 250 mg - نانو فناوران داروئي الوند</t>
        </is>
      </c>
      <c r="C1408" s="25">
        <f>IF(COUNTIF('کدهای پیام‌داروساز'!$A$2:$A$2442,A1408)&gt;0,"بله","خیر")</f>
        <v/>
      </c>
    </row>
    <row r="1409" ht="15" customHeight="1" s="14">
      <c r="A1409" s="24" t="n">
        <v>5951</v>
      </c>
      <c r="B1409" s="24" t="inlineStr">
        <is>
          <t>آدالت فلو   قرص خوراکي 325 mg/5 mg/2 mg</t>
        </is>
      </c>
      <c r="C1409" s="25">
        <f>IF(COUNTIF('کدهای پیام‌داروساز'!$A$2:$A$2442,A1409)&gt;0,"بله","خیر")</f>
        <v/>
      </c>
    </row>
    <row r="1410" ht="15" customHeight="1" s="14">
      <c r="A1410" s="24" t="n">
        <v>5962</v>
      </c>
      <c r="B1410" s="24" t="inlineStr">
        <is>
          <t>استرومکتول   قرص خوراکي 3 mg  [Amb'a'1'U]</t>
        </is>
      </c>
      <c r="C1410" s="25">
        <f>IF(COUNTIF('کدهای پیام‌داروساز'!$A$2:$A$2442,A1410)&gt;0,"بله","خیر")</f>
        <v/>
      </c>
    </row>
    <row r="1411" ht="15" customHeight="1" s="14">
      <c r="A1411" s="24" t="n">
        <v>5964</v>
      </c>
      <c r="B1411" s="24" t="inlineStr">
        <is>
          <t>تيموزوپت   محلول، قطره چشمي 2 %/0.5 % 5 mL - داروسازي رها اصفهان</t>
        </is>
      </c>
      <c r="C1411" s="25">
        <f>IF(COUNTIF('کدهای پیام‌داروساز'!$A$2:$A$2442,A1411)&gt;0,"بله","خیر")</f>
        <v/>
      </c>
    </row>
    <row r="1412" ht="15" customHeight="1" s="14">
      <c r="A1412" s="24" t="n">
        <v>5966</v>
      </c>
      <c r="B1412" s="24" t="inlineStr">
        <is>
          <t>آنفلوانزا سه ظرفيتي   تزريقي پرنترال 1 {dose}  {dose} - توسعه مکانيزه نوين آوران</t>
        </is>
      </c>
      <c r="C1412" s="25">
        <f>IF(COUNTIF('کدهای پیام‌داروساز'!$A$2:$A$2442,A1412)&gt;0,"بله","خیر")</f>
        <v/>
      </c>
    </row>
    <row r="1413" ht="15" customHeight="1" s="14">
      <c r="A1413" s="24" t="n">
        <v>5970</v>
      </c>
      <c r="B1413" s="24" t="inlineStr">
        <is>
          <t>دپرسول   کپسول انتريک کوتد خوراکي 60 mg - داروسازي توليد دارو</t>
        </is>
      </c>
      <c r="C1413" s="25">
        <f>IF(COUNTIF('کدهای پیام‌داروساز'!$A$2:$A$2442,A1413)&gt;0,"بله","خیر")</f>
        <v/>
      </c>
    </row>
    <row r="1414" ht="15" customHeight="1" s="14">
      <c r="A1414" s="24" t="n">
        <v>5973</v>
      </c>
      <c r="B1414" s="24" t="inlineStr">
        <is>
          <t>الپرا (لوتيراستام) 250 ميلي گرم</t>
        </is>
      </c>
      <c r="C1414" s="25">
        <f>IF(COUNTIF('کدهای پیام‌داروساز'!$A$2:$A$2442,A1414)&gt;0,"بله","خیر")</f>
        <v/>
      </c>
    </row>
    <row r="1415" ht="15" customHeight="1" s="14">
      <c r="A1415" s="24" t="n">
        <v>5974</v>
      </c>
      <c r="B1415" s="24" t="inlineStr">
        <is>
          <t>آراوا   قرص خوراکي 20 mg</t>
        </is>
      </c>
      <c r="C1415" s="25">
        <f>IF(COUNTIF('کدهای پیام‌داروساز'!$A$2:$A$2442,A1415)&gt;0,"بله","خیر")</f>
        <v/>
      </c>
    </row>
    <row r="1416" ht="15" customHeight="1" s="14">
      <c r="A1416" s="24" t="n">
        <v>5975</v>
      </c>
      <c r="B1416" s="24" t="inlineStr">
        <is>
          <t>تيکوف-آي   محلول، قطره چشمي 0.025 % 5 mL - نوآوري زيستي گويا</t>
        </is>
      </c>
      <c r="C1416" s="25">
        <f>IF(COUNTIF('کدهای پیام‌داروساز'!$A$2:$A$2442,A1416)&gt;0,"بله","خیر")</f>
        <v/>
      </c>
    </row>
    <row r="1417" ht="15" customHeight="1" s="14">
      <c r="A1417" s="24" t="n">
        <v>5977</v>
      </c>
      <c r="B1417" s="24" t="inlineStr">
        <is>
          <t>الپرا (لوتيراستام) 500 ميلي گرم</t>
        </is>
      </c>
      <c r="C1417" s="25">
        <f>IF(COUNTIF('کدهای پیام‌داروساز'!$A$2:$A$2442,A1417)&gt;0,"بله","خیر")</f>
        <v/>
      </c>
    </row>
    <row r="1418" ht="15" customHeight="1" s="14">
      <c r="A1418" s="24" t="n">
        <v>5979</v>
      </c>
      <c r="B1418" s="24" t="inlineStr">
        <is>
          <t>متيبلو   تزريقي پرنترال 10 mg/1mL 5 mg - رايان دارو ايرانيان</t>
        </is>
      </c>
      <c r="C1418" s="25">
        <f>IF(COUNTIF('کدهای پیام‌داروساز'!$A$2:$A$2442,A1418)&gt;0,"بله","خیر")</f>
        <v/>
      </c>
    </row>
    <row r="1419" ht="15" customHeight="1" s="14">
      <c r="A1419" s="24" t="n">
        <v>5992</v>
      </c>
      <c r="B1419" s="24" t="inlineStr">
        <is>
          <t>آني ليپ   کپسول خوراکي 200 mg</t>
        </is>
      </c>
      <c r="C1419" s="25">
        <f>IF(COUNTIF('کدهای پیام‌داروساز'!$A$2:$A$2442,A1419)&gt;0,"بله","خیر")</f>
        <v/>
      </c>
    </row>
    <row r="1420" ht="15" customHeight="1" s="14">
      <c r="A1420" s="24" t="n">
        <v>5997</v>
      </c>
      <c r="B1420" s="24" t="inlineStr">
        <is>
          <t>آزلادرم 20% (آزلائيک اسيد) کرم موضعي 30 گرم - سپيداج</t>
        </is>
      </c>
      <c r="C1420" s="25">
        <f>IF(COUNTIF('کدهای پیام‌داروساز'!$A$2:$A$2442,A1420)&gt;0,"بله","خیر")</f>
        <v/>
      </c>
    </row>
    <row r="1421" ht="15" customHeight="1" s="14">
      <c r="A1421" s="24" t="n">
        <v>6016</v>
      </c>
      <c r="B1421" s="24" t="inlineStr">
        <is>
          <t>پيلومکس   قرص خوراکي 5 mg - دارويي پرسون بام بين الملل</t>
        </is>
      </c>
      <c r="C1421" s="25">
        <f>IF(COUNTIF('کدهای پیام‌داروساز'!$A$2:$A$2442,A1421)&gt;0,"بله","خیر")</f>
        <v/>
      </c>
    </row>
    <row r="1422" ht="15" customHeight="1" s="14">
      <c r="A1422" s="24" t="n">
        <v>6028</v>
      </c>
      <c r="B1422" s="24" t="inlineStr">
        <is>
          <t>استيلنوکس10(زولپيدم )قرص - SANOFI</t>
        </is>
      </c>
      <c r="C1422" s="25">
        <f>IF(COUNTIF('کدهای پیام‌داروساز'!$A$2:$A$2442,A1422)&gt;0,"بله","خیر")</f>
        <v/>
      </c>
    </row>
    <row r="1423" ht="15" customHeight="1" s="14">
      <c r="A1423" s="24" t="n">
        <v>6043</v>
      </c>
      <c r="B1423" s="24" t="inlineStr">
        <is>
          <t>آسمورال   قرص خوراکي 10 mg - دارو سازي آنوشا</t>
        </is>
      </c>
      <c r="C1423" s="25">
        <f>IF(COUNTIF('کدهای پیام‌داروساز'!$A$2:$A$2442,A1423)&gt;0,"بله","خیر")</f>
        <v/>
      </c>
    </row>
    <row r="1424" ht="15" customHeight="1" s="14">
      <c r="A1424" s="24" t="n">
        <v>6049</v>
      </c>
      <c r="B1424" s="24" t="inlineStr">
        <is>
          <t>پارکيسول (پرامي پکسول) 18/. م گ قرص - رها</t>
        </is>
      </c>
      <c r="C1424" s="25">
        <f>IF(COUNTIF('کدهای پیام‌داروساز'!$A$2:$A$2442,A1424)&gt;0,"بله","خیر")</f>
        <v/>
      </c>
    </row>
    <row r="1425" ht="15" customHeight="1" s="14">
      <c r="A1425" s="24" t="n">
        <v>6050</v>
      </c>
      <c r="B1425" s="24" t="inlineStr">
        <is>
          <t>پارکيسول (پرامي پکسول) 7/. م گ قرص - رها</t>
        </is>
      </c>
      <c r="C1425" s="25">
        <f>IF(COUNTIF('کدهای پیام‌داروساز'!$A$2:$A$2442,A1425)&gt;0,"بله","خیر")</f>
        <v/>
      </c>
    </row>
    <row r="1426" ht="15" customHeight="1" s="14">
      <c r="A1426" s="24" t="n">
        <v>6066</v>
      </c>
      <c r="B1426" s="24" t="inlineStr">
        <is>
          <t>دپو-پروورا   سوسپانسيون تزريقي پرنترال 150 mg/1mL 3.3 mg - بهستان دارو</t>
        </is>
      </c>
      <c r="C1426" s="25">
        <f>IF(COUNTIF('کدهای پیام‌داروساز'!$A$2:$A$2442,A1426)&gt;0,"بله","خیر")</f>
        <v/>
      </c>
    </row>
    <row r="1427" ht="15" customHeight="1" s="14">
      <c r="A1427" s="24" t="n">
        <v>6072</v>
      </c>
      <c r="B1427" s="24" t="inlineStr">
        <is>
          <t>فني توئين 30 م گ / 5 م ل 120 م ل سوسپانسيون - الحاوي</t>
        </is>
      </c>
      <c r="C1427" s="25">
        <f>IF(COUNTIF('کدهای پیام‌داروساز'!$A$2:$A$2442,A1427)&gt;0,"بله","خیر")</f>
        <v/>
      </c>
    </row>
    <row r="1428" ht="15" customHeight="1" s="14">
      <c r="A1428" s="24" t="n">
        <v>6078</v>
      </c>
      <c r="B1428" s="24" t="inlineStr">
        <is>
          <t>فلانتادين   قرص خوراکي 6 mg - بازرگاني سها کيش</t>
        </is>
      </c>
      <c r="C1428" s="25">
        <f>IF(COUNTIF('کدهای پیام‌داروساز'!$A$2:$A$2442,A1428)&gt;0,"بله","خیر")</f>
        <v/>
      </c>
    </row>
    <row r="1429" ht="15" customHeight="1" s="14">
      <c r="A1429" s="24" t="n">
        <v>6104</v>
      </c>
      <c r="B1429" s="24" t="inlineStr">
        <is>
          <t>ريزدرونيت   قرص خوراکي 35 mg - داروسازي توليد دارو</t>
        </is>
      </c>
      <c r="C1429" s="25">
        <f>IF(COUNTIF('کدهای پیام‌داروساز'!$A$2:$A$2442,A1429)&gt;0,"بله","خیر")</f>
        <v/>
      </c>
    </row>
    <row r="1430" ht="15" customHeight="1" s="14">
      <c r="A1430" s="24" t="n">
        <v>6119</v>
      </c>
      <c r="B1430" s="24" t="inlineStr">
        <is>
          <t>آلمترا   پودر لئوفيليزه براي تهيه محلول تزريقي پرنترال 500 mg  mg - سه دال نانو</t>
        </is>
      </c>
      <c r="C1430" s="25">
        <f>IF(COUNTIF('کدهای پیام‌داروساز'!$A$2:$A$2442,A1430)&gt;0,"بله","خیر")</f>
        <v/>
      </c>
    </row>
    <row r="1431" ht="15" customHeight="1" s="14">
      <c r="A1431" s="24" t="n">
        <v>6134</v>
      </c>
      <c r="B1431" s="24" t="inlineStr">
        <is>
          <t>آتوبايوکس   کپسول خوراکي 40 mg - باختر بيو شيمي</t>
        </is>
      </c>
      <c r="C1431" s="25">
        <f>IF(COUNTIF('کدهای پیام‌داروساز'!$A$2:$A$2442,A1431)&gt;0,"بله","خیر")</f>
        <v/>
      </c>
    </row>
    <row r="1432" ht="15" customHeight="1" s="14">
      <c r="A1432" s="24" t="n">
        <v>6135</v>
      </c>
      <c r="B1432" s="24" t="inlineStr">
        <is>
          <t>آتوبايوکس   کپسول خوراکي 18 mg - باختر بيو شيمي</t>
        </is>
      </c>
      <c r="C1432" s="25">
        <f>IF(COUNTIF('کدهای پیام‌داروساز'!$A$2:$A$2442,A1432)&gt;0,"بله","خیر")</f>
        <v/>
      </c>
    </row>
    <row r="1433" ht="15" customHeight="1" s="14">
      <c r="A1433" s="24" t="n">
        <v>6136</v>
      </c>
      <c r="B1433" s="24" t="inlineStr">
        <is>
          <t>آتوبايوکس   کپسول خوراکي 25 mg - باختر بيو شيمي</t>
        </is>
      </c>
      <c r="C1433" s="25">
        <f>IF(COUNTIF('کدهای پیام‌داروساز'!$A$2:$A$2442,A1433)&gt;0,"بله","خیر")</f>
        <v/>
      </c>
    </row>
    <row r="1434" ht="15" customHeight="1" s="14">
      <c r="A1434" s="24" t="n">
        <v>6154</v>
      </c>
      <c r="B1434" s="24" t="inlineStr">
        <is>
          <t>آويلوتينيب   قرص خوراکي 150 mg - داروسازي آوه سينا</t>
        </is>
      </c>
      <c r="C1434" s="25">
        <f>IF(COUNTIF('کدهای پیام‌داروساز'!$A$2:$A$2442,A1434)&gt;0,"بله","خیر")</f>
        <v/>
      </c>
    </row>
    <row r="1435" ht="15" customHeight="1" s="14">
      <c r="A1435" s="24" t="n">
        <v>6165</v>
      </c>
      <c r="B1435" s="24" t="inlineStr">
        <is>
          <t>بودزونايد   کپسول انتريک کوتد خوراکي 3 mg - بازرگاني سها کيش</t>
        </is>
      </c>
      <c r="C1435" s="25">
        <f>IF(COUNTIF('کدهای پیام‌داروساز'!$A$2:$A$2442,A1435)&gt;0,"بله","خیر")</f>
        <v/>
      </c>
    </row>
    <row r="1436" ht="15" customHeight="1" s="14">
      <c r="A1436" s="24" t="n">
        <v>6170</v>
      </c>
      <c r="B1436" s="24" t="inlineStr">
        <is>
          <t>اپيليم    شربت خوراکي 200 mg/5mL 300 g</t>
        </is>
      </c>
      <c r="C1436" s="25">
        <f>IF(COUNTIF('کدهای پیام‌داروساز'!$A$2:$A$2442,A1436)&gt;0,"بله","خیر")</f>
        <v/>
      </c>
    </row>
    <row r="1437" ht="15" customHeight="1" s="14">
      <c r="A1437" s="24" t="n">
        <v>6184</v>
      </c>
      <c r="B1437" s="24" t="inlineStr">
        <is>
          <t>ايزوتن (ايزوترتينوئين) 05/. درصد 30 گرمي ژل موضعي - رها</t>
        </is>
      </c>
      <c r="C1437" s="25">
        <f>IF(COUNTIF('کدهای پیام‌داروساز'!$A$2:$A$2442,A1437)&gt;0,"بله","خیر")</f>
        <v/>
      </c>
    </row>
    <row r="1438" ht="15" customHeight="1" s="14">
      <c r="A1438" s="24" t="n">
        <v>6222</v>
      </c>
      <c r="B1438" s="24" t="inlineStr">
        <is>
          <t>رهازل   کپسول انتريک کوتد خوراکي 30 mg - داروسازي رها اصفهان</t>
        </is>
      </c>
      <c r="C1438" s="25">
        <f>IF(COUNTIF('کدهای پیام‌داروساز'!$A$2:$A$2442,A1438)&gt;0,"بله","خیر")</f>
        <v/>
      </c>
    </row>
    <row r="1439" ht="15" customHeight="1" s="14">
      <c r="A1439" s="24" t="n">
        <v>6275</v>
      </c>
      <c r="B1439" s="24" t="inlineStr">
        <is>
          <t>آمي لوپرا (لوپراميد) 1 م گ / 5 م ل 60 م ل شربت - امين</t>
        </is>
      </c>
      <c r="C1439" s="25">
        <f>IF(COUNTIF('کدهای پیام‌داروساز'!$A$2:$A$2442,A1439)&gt;0,"بله","خیر")</f>
        <v/>
      </c>
    </row>
    <row r="1440" ht="15" customHeight="1" s="14">
      <c r="A1440" s="24" t="n">
        <v>6308</v>
      </c>
      <c r="B1440" s="24" t="inlineStr">
        <is>
          <t>آرتروسين   قرص خوراکي 200 mg  [Amb'a'1'U] - فوريتهاي سينا آرات گستر</t>
        </is>
      </c>
      <c r="C1440" s="25">
        <f>IF(COUNTIF('کدهای پیام‌داروساز'!$A$2:$A$2442,A1440)&gt;0,"بله","خیر")</f>
        <v/>
      </c>
    </row>
    <row r="1441" ht="15" customHeight="1" s="14">
      <c r="A1441" s="24" t="n">
        <v>6323</v>
      </c>
      <c r="B1441" s="24" t="inlineStr">
        <is>
          <t>کنتراتيون   پودر براي تهيه محلول تزريقي پرنترال 200 mg  mg - بازرگاني سها کيش</t>
        </is>
      </c>
      <c r="C1441" s="25">
        <f>IF(COUNTIF('کدهای پیام‌داروساز'!$A$2:$A$2442,A1441)&gt;0,"بله","خیر")</f>
        <v/>
      </c>
    </row>
    <row r="1442" ht="15" customHeight="1" s="14">
      <c r="A1442" s="24" t="n">
        <v>6331</v>
      </c>
      <c r="B1442" s="24" t="inlineStr">
        <is>
          <t>سديم فلورايد   قرص خوراکي 25 mg - بازرگاني سها کيش</t>
        </is>
      </c>
      <c r="C1442" s="25">
        <f>IF(COUNTIF('کدهای پیام‌داروساز'!$A$2:$A$2442,A1442)&gt;0,"بله","خیر")</f>
        <v/>
      </c>
    </row>
    <row r="1443" ht="15" customHeight="1" s="14">
      <c r="A1443" s="24" t="n">
        <v>6340</v>
      </c>
      <c r="B1443" s="24" t="inlineStr">
        <is>
          <t>نيتيزينون   کپسول خوراکي 10 mg - توسعه داروسازي دانش</t>
        </is>
      </c>
      <c r="C1443" s="25">
        <f>IF(COUNTIF('کدهای پیام‌داروساز'!$A$2:$A$2442,A1443)&gt;0,"بله","خیر")</f>
        <v/>
      </c>
    </row>
    <row r="1444" ht="15" customHeight="1" s="14">
      <c r="A1444" s="24" t="n">
        <v>6343</v>
      </c>
      <c r="B1444" s="24" t="inlineStr">
        <is>
          <t>نيتيزينون   کپسول خوراکي 2 mg - توسعه داروسازي دانش</t>
        </is>
      </c>
      <c r="C1444" s="25">
        <f>IF(COUNTIF('کدهای پیام‌داروساز'!$A$2:$A$2442,A1444)&gt;0,"بله","خیر")</f>
        <v/>
      </c>
    </row>
    <row r="1445" ht="15" customHeight="1" s="14">
      <c r="A1445" s="24" t="n">
        <v>6346</v>
      </c>
      <c r="B1445" s="24" t="inlineStr">
        <is>
          <t>نيتيزينون   کپسول خوراکي 5 mg - توسعه داروسازي دانش</t>
        </is>
      </c>
      <c r="C1445" s="25">
        <f>IF(COUNTIF('کدهای پیام‌داروساز'!$A$2:$A$2442,A1445)&gt;0,"بله","خیر")</f>
        <v/>
      </c>
    </row>
    <row r="1446" ht="15" customHeight="1" s="14">
      <c r="A1446" s="24" t="n">
        <v>6353</v>
      </c>
      <c r="B1446" s="24" t="inlineStr">
        <is>
          <t>آلدورازايم   تزريقي پرنترال 0.58 mg/1mL 5 [Amb'a'1'U] - گسترش بازرگاني دارو پخش</t>
        </is>
      </c>
      <c r="C1446" s="25">
        <f>IF(COUNTIF('کدهای پیام‌داروساز'!$A$2:$A$2442,A1446)&gt;0,"بله","خیر")</f>
        <v/>
      </c>
    </row>
    <row r="1447" ht="15" customHeight="1" s="14">
      <c r="A1447" s="24" t="n">
        <v>6369</v>
      </c>
      <c r="B1447" s="24" t="inlineStr">
        <is>
          <t>آمبوتيرات   تزريقي پرنترال 200 mg/1mL 10 g - دارويي بهين پاد</t>
        </is>
      </c>
      <c r="C1447" s="25">
        <f>IF(COUNTIF('کدهای پیام‌داروساز'!$A$2:$A$2442,A1447)&gt;0,"بله","خیر")</f>
        <v/>
      </c>
    </row>
    <row r="1448" ht="15" customHeight="1" s="14">
      <c r="A1448" s="24" t="n">
        <v>6370</v>
      </c>
      <c r="B1448" s="24" t="inlineStr">
        <is>
          <t>آمبتايين   پودر براي تهيه محلول خوراکي 1 g/1g 180 g - دارويي بهين پاد</t>
        </is>
      </c>
      <c r="C1448" s="25">
        <f>IF(COUNTIF('کدهای پیام‌داروساز'!$A$2:$A$2442,A1448)&gt;0,"بله","خیر")</f>
        <v/>
      </c>
    </row>
    <row r="1449" ht="15" customHeight="1" s="14">
      <c r="A1449" s="24" t="n">
        <v>6376</v>
      </c>
      <c r="B1449" s="24" t="inlineStr">
        <is>
          <t>گوترون 2.5 (ميدودرين) قرص-بلومد</t>
        </is>
      </c>
      <c r="C1449" s="25">
        <f>IF(COUNTIF('کدهای پیام‌داروساز'!$A$2:$A$2442,A1449)&gt;0,"بله","خیر")</f>
        <v/>
      </c>
    </row>
    <row r="1450" ht="15" customHeight="1" s="14">
      <c r="A1450" s="24" t="n">
        <v>6382</v>
      </c>
      <c r="B1450" s="24" t="inlineStr">
        <is>
          <t>اوي وريکازول   قرص خوراکي 200 mg - داروسازي آوه سينا</t>
        </is>
      </c>
      <c r="C1450" s="25">
        <f>IF(COUNTIF('کدهای پیام‌داروساز'!$A$2:$A$2442,A1450)&gt;0,"بله","خیر")</f>
        <v/>
      </c>
    </row>
    <row r="1451" ht="15" customHeight="1" s="14">
      <c r="A1451" s="24" t="n">
        <v>6383</v>
      </c>
      <c r="B1451" s="24" t="inlineStr">
        <is>
          <t>روفند   پودر براي تهيه محلول تزريقي پرنترال 200 mg  mg - روناک</t>
        </is>
      </c>
      <c r="C1451" s="25">
        <f>IF(COUNTIF('کدهای پیام‌داروساز'!$A$2:$A$2442,A1451)&gt;0,"بله","خیر")</f>
        <v/>
      </c>
    </row>
    <row r="1452" ht="15" customHeight="1" s="14">
      <c r="A1452" s="24" t="n">
        <v>6403</v>
      </c>
      <c r="B1452" s="24" t="inlineStr">
        <is>
          <t>آمبوتيرات   قرص خوراکي 500 mg - دارويي بهين پاد</t>
        </is>
      </c>
      <c r="C1452" s="25">
        <f>IF(COUNTIF('کدهای پیام‌داروساز'!$A$2:$A$2442,A1452)&gt;0,"بله","خیر")</f>
        <v/>
      </c>
    </row>
    <row r="1453" ht="15" customHeight="1" s="14">
      <c r="A1453" s="24" t="n">
        <v>6417</v>
      </c>
      <c r="B1453" s="24" t="inlineStr">
        <is>
          <t>سديم کلرايد   محلول تزريقي پرنترال 0.9 % 250 mL - داروسازي ثامن</t>
        </is>
      </c>
      <c r="C1453" s="25">
        <f>IF(COUNTIF('کدهای پیام‌داروساز'!$A$2:$A$2442,A1453)&gt;0,"بله","خیر")</f>
        <v/>
      </c>
    </row>
    <row r="1454" ht="15" customHeight="1" s="14">
      <c r="A1454" s="24" t="n">
        <v>6423</v>
      </c>
      <c r="B1454" s="24" t="inlineStr">
        <is>
          <t>رينگر    محلول تزريقي داخل وريدي 250 mL - داروسازي ثامن</t>
        </is>
      </c>
      <c r="C1454" s="25">
        <f>IF(COUNTIF('کدهای پیام‌داروساز'!$A$2:$A$2442,A1454)&gt;0,"بله","خیر")</f>
        <v/>
      </c>
    </row>
    <row r="1455" ht="15" customHeight="1" s="14">
      <c r="A1455" s="24" t="n">
        <v>6425</v>
      </c>
      <c r="B1455" s="24" t="inlineStr">
        <is>
          <t>دکستروز   محلول تزريقي داخل وريدي 5 % 250 % - فرآورده هاي تزريقي و دارويي ايران</t>
        </is>
      </c>
      <c r="C1455" s="25">
        <f>IF(COUNTIF('کدهای پیام‌داروساز'!$A$2:$A$2442,A1455)&gt;0,"بله","خیر")</f>
        <v/>
      </c>
    </row>
    <row r="1456" ht="15" customHeight="1" s="14">
      <c r="A1456" s="24" t="n">
        <v>6435</v>
      </c>
      <c r="B1456" s="24" t="inlineStr">
        <is>
          <t>ترينتين   کپسول خوراکي 300 mg  mg - رضا دارو پارس</t>
        </is>
      </c>
      <c r="C1456" s="25">
        <f>IF(COUNTIF('کدهای پیام‌داروساز'!$A$2:$A$2442,A1456)&gt;0,"بله","خیر")</f>
        <v/>
      </c>
    </row>
    <row r="1457" ht="15" customHeight="1" s="14">
      <c r="A1457" s="24" t="n">
        <v>6438</v>
      </c>
      <c r="B1457" s="24" t="inlineStr">
        <is>
          <t>پروتورابکس   قرص انتريک کوتد خوراکي 20 mg - سجاد داروي شرق</t>
        </is>
      </c>
      <c r="C1457" s="25">
        <f>IF(COUNTIF('کدهای پیام‌داروساز'!$A$2:$A$2442,A1457)&gt;0,"بله","خیر")</f>
        <v/>
      </c>
    </row>
    <row r="1458" ht="15" customHeight="1" s="14">
      <c r="A1458" s="24" t="n">
        <v>6453</v>
      </c>
      <c r="B1458" s="24" t="inlineStr">
        <is>
          <t>سيلوستازول 100 ميلي گرم قرص آليود فارما</t>
        </is>
      </c>
      <c r="C1458" s="25">
        <f>IF(COUNTIF('کدهای پیام‌داروساز'!$A$2:$A$2442,A1458)&gt;0,"بله","خیر")</f>
        <v/>
      </c>
    </row>
    <row r="1459" ht="15" customHeight="1" s="14">
      <c r="A1459" s="24" t="n">
        <v>6454</v>
      </c>
      <c r="B1459" s="24" t="inlineStr">
        <is>
          <t>آريستاتين   قرص خوراکي 10 mg - داروسازي آريا</t>
        </is>
      </c>
      <c r="C1459" s="25">
        <f>IF(COUNTIF('کدهای پیام‌داروساز'!$A$2:$A$2442,A1459)&gt;0,"بله","خیر")</f>
        <v/>
      </c>
    </row>
    <row r="1460" ht="15" customHeight="1" s="14">
      <c r="A1460" s="24" t="n">
        <v>6459</v>
      </c>
      <c r="B1460" s="24" t="inlineStr">
        <is>
          <t>آدانکور   قرص خوراکي 10 mg</t>
        </is>
      </c>
      <c r="C1460" s="25">
        <f>IF(COUNTIF('کدهای پیام‌داروساز'!$A$2:$A$2442,A1460)&gt;0,"بله","خیر")</f>
        <v/>
      </c>
    </row>
    <row r="1461" ht="15" customHeight="1" s="14">
      <c r="A1461" s="24" t="n">
        <v>6461</v>
      </c>
      <c r="B1461" s="24" t="inlineStr">
        <is>
          <t>آدانکور   قرص خوراکي 20 mg</t>
        </is>
      </c>
      <c r="C1461" s="25">
        <f>IF(COUNTIF('کدهای پیام‌داروساز'!$A$2:$A$2442,A1461)&gt;0,"بله","خیر")</f>
        <v/>
      </c>
    </row>
    <row r="1462" ht="15" customHeight="1" s="14">
      <c r="A1462" s="24" t="n">
        <v>6478</v>
      </c>
      <c r="B1462" s="24" t="inlineStr">
        <is>
          <t>تريادنت    خمير خوراکي 0.1 % 10 g - داروسازي رها اصفهان</t>
        </is>
      </c>
      <c r="C1462" s="25">
        <f>IF(COUNTIF('کدهای پیام‌داروساز'!$A$2:$A$2442,A1462)&gt;0,"بله","خیر")</f>
        <v/>
      </c>
    </row>
    <row r="1463" ht="15" customHeight="1" s="14">
      <c r="A1463" s="24" t="n">
        <v>6484</v>
      </c>
      <c r="B1463" s="24" t="inlineStr">
        <is>
          <t>ازيپم 20(اس سيتالوپرام)قرص - عبيدي</t>
        </is>
      </c>
      <c r="C1463" s="25">
        <f>IF(COUNTIF('کدهای پیام‌داروساز'!$A$2:$A$2442,A1463)&gt;0,"بله","خیر")</f>
        <v/>
      </c>
    </row>
    <row r="1464" ht="15" customHeight="1" s="14">
      <c r="A1464" s="24" t="n">
        <v>6507</v>
      </c>
      <c r="B1464" s="24" t="inlineStr">
        <is>
          <t>توپو اسپال   پودر لئوفيليزه براي تهيه محلول تزريقي پرنترال 4 mg  mg - هيراد فارمد</t>
        </is>
      </c>
      <c r="C1464" s="25">
        <f>IF(COUNTIF('کدهای پیام‌داروساز'!$A$2:$A$2442,A1464)&gt;0,"بله","خیر")</f>
        <v/>
      </c>
    </row>
    <row r="1465" ht="15" customHeight="1" s="14">
      <c r="A1465" s="24" t="n">
        <v>6523</v>
      </c>
      <c r="B1465" s="24" t="inlineStr">
        <is>
          <t>آفاموکس   پودر براي تهيه سوسپانسيون   خوراکي 200 mg/5 mL 70 mg - آفا شيمي</t>
        </is>
      </c>
      <c r="C1465" s="25">
        <f>IF(COUNTIF('کدهای پیام‌داروساز'!$A$2:$A$2442,A1465)&gt;0,"بله","خیر")</f>
        <v/>
      </c>
    </row>
    <row r="1466" ht="15" customHeight="1" s="14">
      <c r="A1466" s="24" t="n">
        <v>6524</v>
      </c>
      <c r="B1466" s="24" t="inlineStr">
        <is>
          <t>آفاموکس   پودر براي تهيه سوسپانسيون   خوراکي 400 mg/5 mL 70 mg - آفا شيمي</t>
        </is>
      </c>
      <c r="C1466" s="25">
        <f>IF(COUNTIF('کدهای پیام‌داروساز'!$A$2:$A$2442,A1466)&gt;0,"بله","خیر")</f>
        <v/>
      </c>
    </row>
    <row r="1467" ht="15" customHeight="1" s="14">
      <c r="A1467" s="24" t="n">
        <v>6532</v>
      </c>
      <c r="B1467" s="24" t="inlineStr">
        <is>
          <t>آميتزو   کپسول خوراکي 20 mg - نانو فناوران داروئي الوند</t>
        </is>
      </c>
      <c r="C1467" s="25">
        <f>IF(COUNTIF('کدهای پیام‌داروساز'!$A$2:$A$2442,A1467)&gt;0,"بله","خیر")</f>
        <v/>
      </c>
    </row>
    <row r="1468" ht="15" customHeight="1" s="14">
      <c r="A1468" s="24" t="n">
        <v>6536</v>
      </c>
      <c r="B1468" s="24" t="inlineStr">
        <is>
          <t>برينت   محلول تزريقي عضلاني 5 mg/1mL 1 mg - داروسازي اکسير</t>
        </is>
      </c>
      <c r="C1468" s="25">
        <f>IF(COUNTIF('کدهای پیام‌داروساز'!$A$2:$A$2442,A1468)&gt;0,"بله","خیر")</f>
        <v/>
      </c>
    </row>
    <row r="1469" ht="15" customHeight="1" s="14">
      <c r="A1469" s="24" t="n">
        <v>6540</v>
      </c>
      <c r="B1469" s="24" t="inlineStr">
        <is>
          <t>ريبوفلاوين   قرص خوراکي 100 mg  [Amb'a'1'U] - فوريتهاي سينا آرات گستر</t>
        </is>
      </c>
      <c r="C1469" s="25">
        <f>IF(COUNTIF('کدهای پیام‌داروساز'!$A$2:$A$2442,A1469)&gt;0,"بله","خیر")</f>
        <v/>
      </c>
    </row>
    <row r="1470" ht="15" customHeight="1" s="14">
      <c r="A1470" s="24" t="n">
        <v>6548</v>
      </c>
      <c r="B1470" s="24" t="inlineStr">
        <is>
          <t>آيدبکس   قرص خوراکي 45 mg - بازرگاني سها کيش</t>
        </is>
      </c>
      <c r="C1470" s="25">
        <f>IF(COUNTIF('کدهای پیام‌داروساز'!$A$2:$A$2442,A1470)&gt;0,"بله","خیر")</f>
        <v/>
      </c>
    </row>
    <row r="1471" ht="15" customHeight="1" s="14">
      <c r="A1471" s="24" t="n">
        <v>6579</v>
      </c>
      <c r="B1471" s="24" t="inlineStr">
        <is>
          <t>استامود   قرص خوراکي 100 mg - رامو فارمين</t>
        </is>
      </c>
      <c r="C1471" s="25">
        <f>IF(COUNTIF('کدهای پیام‌داروساز'!$A$2:$A$2442,A1471)&gt;0,"بله","خیر")</f>
        <v/>
      </c>
    </row>
    <row r="1472" ht="15" customHeight="1" s="14">
      <c r="A1472" s="24" t="n">
        <v>6583</v>
      </c>
      <c r="B1472" s="24" t="inlineStr">
        <is>
          <t>آلدارا   کرم موضعي 5 % 250 mg - درمان ياب دارو</t>
        </is>
      </c>
      <c r="C1472" s="25">
        <f>IF(COUNTIF('کدهای پیام‌داروساز'!$A$2:$A$2442,A1472)&gt;0,"بله","خیر")</f>
        <v/>
      </c>
    </row>
    <row r="1473" ht="15" customHeight="1" s="14">
      <c r="A1473" s="24" t="n">
        <v>6599</v>
      </c>
      <c r="B1473" s="24" t="inlineStr">
        <is>
          <t>PROTOPIC 0.1% OINT   پماد موضعي 0.1 % 30</t>
        </is>
      </c>
      <c r="C1473" s="25">
        <f>IF(COUNTIF('کدهای پیام‌داروساز'!$A$2:$A$2442,A1473)&gt;0,"بله","خیر")</f>
        <v/>
      </c>
    </row>
    <row r="1474" ht="15" customHeight="1" s="14">
      <c r="A1474" s="24" t="n">
        <v>6631</v>
      </c>
      <c r="B1474" s="24" t="inlineStr">
        <is>
          <t>پنتاکسور   قرص خوراکي 75 mg - دارو سازي سها</t>
        </is>
      </c>
      <c r="C1474" s="25">
        <f>IF(COUNTIF('کدهای پیام‌داروساز'!$A$2:$A$2442,A1474)&gt;0,"بله","خیر")</f>
        <v/>
      </c>
    </row>
    <row r="1475" ht="15" customHeight="1" s="14">
      <c r="A1475" s="24" t="n">
        <v>6659</v>
      </c>
      <c r="B1475" s="24" t="inlineStr">
        <is>
          <t>آوي سيروکس    قرص براي تهيه سوسپانسيون خوراکي 250 mg - داروسازي آوه سينا</t>
        </is>
      </c>
      <c r="C1475" s="25">
        <f>IF(COUNTIF('کدهای پیام‌داروساز'!$A$2:$A$2442,A1475)&gt;0,"بله","خیر")</f>
        <v/>
      </c>
    </row>
    <row r="1476" ht="15" customHeight="1" s="14">
      <c r="A1476" s="24" t="n">
        <v>6685</v>
      </c>
      <c r="B1476" s="24" t="inlineStr">
        <is>
          <t>سانديمون   محلول تزريقي داخل وريدي 50 mg/1mL 5 mg - شفا ياب گستر</t>
        </is>
      </c>
      <c r="C1476" s="25">
        <f>IF(COUNTIF('کدهای پیام‌داروساز'!$A$2:$A$2442,A1476)&gt;0,"بله","خیر")</f>
        <v/>
      </c>
    </row>
    <row r="1477" ht="15" customHeight="1" s="14">
      <c r="A1477" s="24" t="n">
        <v>6700</v>
      </c>
      <c r="B1477" s="24" t="inlineStr">
        <is>
          <t>بوسلون   تزريقي پرنترال 6 mg/1mL 10 mg - سينا پيشگام دارو نوين</t>
        </is>
      </c>
      <c r="C1477" s="25">
        <f>IF(COUNTIF('کدهای پیام‌داروساز'!$A$2:$A$2442,A1477)&gt;0,"بله","خیر")</f>
        <v/>
      </c>
    </row>
    <row r="1478" ht="15" customHeight="1" s="14">
      <c r="A1478" s="24" t="n">
        <v>6735</v>
      </c>
      <c r="B1478" s="24" t="inlineStr">
        <is>
          <t>آوودارت   کپسول حاوي مايع خوراکي 0.5 mg</t>
        </is>
      </c>
      <c r="C1478" s="25">
        <f>IF(COUNTIF('کدهای پیام‌داروساز'!$A$2:$A$2442,A1478)&gt;0,"بله","خیر")</f>
        <v/>
      </c>
    </row>
    <row r="1479" ht="15" customHeight="1" s="14">
      <c r="A1479" s="24" t="n">
        <v>6743</v>
      </c>
      <c r="B1479" s="24" t="inlineStr">
        <is>
          <t>آرو-کوئتياپين   قرص خوراکي 25 mg - دارو درمان آرنگ</t>
        </is>
      </c>
      <c r="C1479" s="25">
        <f>IF(COUNTIF('کدهای پیام‌داروساز'!$A$2:$A$2442,A1479)&gt;0,"بله","خیر")</f>
        <v/>
      </c>
    </row>
    <row r="1480" ht="15" customHeight="1" s="14">
      <c r="A1480" s="24" t="n">
        <v>6750</v>
      </c>
      <c r="B1480" s="24" t="inlineStr">
        <is>
          <t>آلربند   قرص خوراکي 180 mg - دارودرمان پارس</t>
        </is>
      </c>
      <c r="C1480" s="25">
        <f>IF(COUNTIF('کدهای پیام‌داروساز'!$A$2:$A$2442,A1480)&gt;0,"بله","خیر")</f>
        <v/>
      </c>
    </row>
    <row r="1481" ht="15" customHeight="1" s="14">
      <c r="A1481" s="24" t="n">
        <v>6751</v>
      </c>
      <c r="B1481" s="24" t="inlineStr">
        <is>
          <t>آلربند   قرص خوراکي 120 mg - دارودرمان پارس</t>
        </is>
      </c>
      <c r="C1481" s="25">
        <f>IF(COUNTIF('کدهای پیام‌داروساز'!$A$2:$A$2442,A1481)&gt;0,"بله","خیر")</f>
        <v/>
      </c>
    </row>
    <row r="1482" ht="15" customHeight="1" s="14">
      <c r="A1482" s="24" t="n">
        <v>6753</v>
      </c>
      <c r="B1482" s="24" t="inlineStr">
        <is>
          <t>ليويال   قرص خوراکي 2.5 mg - بازرگاني سها کيش</t>
        </is>
      </c>
      <c r="C1482" s="25">
        <f>IF(COUNTIF('کدهای پیام‌داروساز'!$A$2:$A$2442,A1482)&gt;0,"بله","خیر")</f>
        <v/>
      </c>
    </row>
    <row r="1483" ht="15" customHeight="1" s="14">
      <c r="A1483" s="24" t="n">
        <v>6754</v>
      </c>
      <c r="B1483" s="24" t="inlineStr">
        <is>
          <t>دامپرکس   قرص خوراکي 10 mg - باختر بيو شيمي</t>
        </is>
      </c>
      <c r="C1483" s="25">
        <f>IF(COUNTIF('کدهای پیام‌داروساز'!$A$2:$A$2442,A1483)&gt;0,"بله","خیر")</f>
        <v/>
      </c>
    </row>
    <row r="1484" ht="15" customHeight="1" s="14">
      <c r="A1484" s="24" t="n">
        <v>6756</v>
      </c>
      <c r="B1484" s="24" t="inlineStr">
        <is>
          <t>باکتينون   قرص خوراکي 250 mg - داروسازي سامي ساز</t>
        </is>
      </c>
      <c r="C1484" s="25">
        <f>IF(COUNTIF('کدهای پیام‌داروساز'!$A$2:$A$2442,A1484)&gt;0,"بله","خیر")</f>
        <v/>
      </c>
    </row>
    <row r="1485" ht="15" customHeight="1" s="14">
      <c r="A1485" s="24" t="n">
        <v>6757</v>
      </c>
      <c r="B1485" s="24" t="inlineStr">
        <is>
          <t>آروفونجين   پودر براي تهيه محلول تزريقي پرنترال 50 mg  mg - دارو درمان آرنگ</t>
        </is>
      </c>
      <c r="C1485" s="25">
        <f>IF(COUNTIF('کدهای پیام‌داروساز'!$A$2:$A$2442,A1485)&gt;0,"بله","خیر")</f>
        <v/>
      </c>
    </row>
    <row r="1486" ht="15" customHeight="1" s="14">
      <c r="A1486" s="24" t="n">
        <v>6758</v>
      </c>
      <c r="B1486" s="24" t="inlineStr">
        <is>
          <t>آروفونجين   پودر براي تهيه محلول تزريقي پرنترال 70 mg  mg - دارو درمان آرنگ</t>
        </is>
      </c>
      <c r="C1486" s="25">
        <f>IF(COUNTIF('کدهای پیام‌داروساز'!$A$2:$A$2442,A1486)&gt;0,"بله","خیر")</f>
        <v/>
      </c>
    </row>
    <row r="1487" ht="15" customHeight="1" s="14">
      <c r="A1487" s="24" t="n">
        <v>6765</v>
      </c>
      <c r="B1487" s="24" t="inlineStr">
        <is>
          <t>آپو-بيکلوتاميد   قرص خوراکي 50 mg - رستا ايمن دارو</t>
        </is>
      </c>
      <c r="C1487" s="25">
        <f>IF(COUNTIF('کدهای پیام‌داروساز'!$A$2:$A$2442,A1487)&gt;0,"بله","خیر")</f>
        <v/>
      </c>
    </row>
    <row r="1488" ht="15" customHeight="1" s="14">
      <c r="A1488" s="24" t="n">
        <v>6770</v>
      </c>
      <c r="B1488" s="24" t="inlineStr">
        <is>
          <t>سوواسيد   کپسول انتريک کوتد خوراکي 15 mg - سبحان دارو</t>
        </is>
      </c>
      <c r="C1488" s="25">
        <f>IF(COUNTIF('کدهای پیام‌داروساز'!$A$2:$A$2442,A1488)&gt;0,"بله","خیر")</f>
        <v/>
      </c>
    </row>
    <row r="1489" ht="15" customHeight="1" s="14">
      <c r="A1489" s="24" t="n">
        <v>6780</v>
      </c>
      <c r="B1489" s="24" t="inlineStr">
        <is>
          <t>باکلورکس   تزريقي پرنترال 2 mg/1mL 5 mg - مرز گستران فناوري آينده</t>
        </is>
      </c>
      <c r="C1489" s="25">
        <f>IF(COUNTIF('کدهای پیام‌داروساز'!$A$2:$A$2442,A1489)&gt;0,"بله","خیر")</f>
        <v/>
      </c>
    </row>
    <row r="1490" ht="15" customHeight="1" s="14">
      <c r="A1490" s="24" t="n">
        <v>6783</v>
      </c>
      <c r="B1490" s="24" t="inlineStr">
        <is>
          <t>ارگالوتران   تزريقي پرنترال 500 ug/1mL 0.5</t>
        </is>
      </c>
      <c r="C1490" s="25">
        <f>IF(COUNTIF('کدهای پیام‌داروساز'!$A$2:$A$2442,A1490)&gt;0,"بله","خیر")</f>
        <v/>
      </c>
    </row>
    <row r="1491" ht="15" customHeight="1" s="14">
      <c r="A1491" s="24" t="n">
        <v>6788</v>
      </c>
      <c r="B1491" s="24" t="inlineStr">
        <is>
          <t>آريستاتين   قرص خوراکي 20 mg - داروسازي آريا</t>
        </is>
      </c>
      <c r="C1491" s="25">
        <f>IF(COUNTIF('کدهای پیام‌داروساز'!$A$2:$A$2442,A1491)&gt;0,"بله","خیر")</f>
        <v/>
      </c>
    </row>
    <row r="1492" ht="15" customHeight="1" s="14">
      <c r="A1492" s="24" t="n">
        <v>6815</v>
      </c>
      <c r="B1492" s="24" t="inlineStr">
        <is>
          <t>لاکروسپورين 0.05% (سيکلوسپورين) قطره چشمي 10ML- سينا دارو</t>
        </is>
      </c>
      <c r="C1492" s="25">
        <f>IF(COUNTIF('کدهای پیام‌داروساز'!$A$2:$A$2442,A1492)&gt;0,"بله","خیر")</f>
        <v/>
      </c>
    </row>
    <row r="1493" ht="15" customHeight="1" s="14">
      <c r="A1493" s="24" t="n">
        <v>6836</v>
      </c>
      <c r="B1493" s="24" t="inlineStr">
        <is>
          <t>سديم کلرايد  0.45%درصد  250 م ل سرم تزريقي - ثامن</t>
        </is>
      </c>
      <c r="C1493" s="25">
        <f>IF(COUNTIF('کدهای پیام‌داروساز'!$A$2:$A$2442,A1493)&gt;0,"بله","خیر")</f>
        <v/>
      </c>
    </row>
    <row r="1494" ht="15" customHeight="1" s="14">
      <c r="A1494" s="24" t="n">
        <v>6840</v>
      </c>
      <c r="B1494" s="24" t="inlineStr">
        <is>
          <t>زولميگران   قرص خوراکي 2.5 mg - باختر بيو شيمي</t>
        </is>
      </c>
      <c r="C1494" s="25">
        <f>IF(COUNTIF('کدهای پیام‌داروساز'!$A$2:$A$2442,A1494)&gt;0,"بله","خیر")</f>
        <v/>
      </c>
    </row>
    <row r="1495" ht="15" customHeight="1" s="14">
      <c r="A1495" s="24" t="n">
        <v>6853</v>
      </c>
      <c r="B1495" s="24" t="inlineStr">
        <is>
          <t>آدفووير   قرص خوراکي 10 mg - تامين آوا سلامت</t>
        </is>
      </c>
      <c r="C1495" s="25">
        <f>IF(COUNTIF('کدهای پیام‌داروساز'!$A$2:$A$2442,A1495)&gt;0,"بله","خیر")</f>
        <v/>
      </c>
    </row>
    <row r="1496" ht="15" customHeight="1" s="14">
      <c r="A1496" s="24" t="n">
        <v>6854</v>
      </c>
      <c r="B1496" s="24" t="inlineStr">
        <is>
          <t>لوتمکس (لوتپردنول اتابونات) پمادچشمي - BAUSCH &amp; LOMB</t>
        </is>
      </c>
      <c r="C1496" s="25">
        <f>IF(COUNTIF('کدهای پیام‌داروساز'!$A$2:$A$2442,A1496)&gt;0,"بله","خیر")</f>
        <v/>
      </c>
    </row>
    <row r="1497" ht="15" customHeight="1" s="14">
      <c r="A1497" s="24" t="n">
        <v>6855</v>
      </c>
      <c r="B1497" s="24" t="inlineStr">
        <is>
          <t>لوتمکس (لوتپردنول) 5/. درصد 5 م ل قطره چشمي - بوش اند لومب</t>
        </is>
      </c>
      <c r="C1497" s="25">
        <f>IF(COUNTIF('کدهای پیام‌داروساز'!$A$2:$A$2442,A1497)&gt;0,"بله","خیر")</f>
        <v/>
      </c>
    </row>
    <row r="1498" ht="15" customHeight="1" s="14">
      <c r="A1498" s="24" t="n">
        <v>6859</v>
      </c>
      <c r="B1498" s="24" t="inlineStr">
        <is>
          <t>ويزوداين   پودر براي تهيه محلول تزريقي پرنترال 15 mg  [Amb'a'1'U] - درمان ياب آنا</t>
        </is>
      </c>
      <c r="C1498" s="25">
        <f>IF(COUNTIF('کدهای پیام‌داروساز'!$A$2:$A$2442,A1498)&gt;0,"بله","خیر")</f>
        <v/>
      </c>
    </row>
    <row r="1499" ht="15" customHeight="1" s="14">
      <c r="A1499" s="24" t="n">
        <v>6888</v>
      </c>
      <c r="B1499" s="24" t="inlineStr">
        <is>
          <t>آلبوسل   محلول تزريقي پرنترال 20 % 100 mL - دارو درمان سپهر</t>
        </is>
      </c>
      <c r="C1499" s="25">
        <f>IF(COUNTIF('کدهای پیام‌داروساز'!$A$2:$A$2442,A1499)&gt;0,"بله","خیر")</f>
        <v/>
      </c>
    </row>
    <row r="1500" ht="15" customHeight="1" s="14">
      <c r="A1500" s="24" t="n">
        <v>6916</v>
      </c>
      <c r="B1500" s="24" t="inlineStr">
        <is>
          <t>اسبلوک   تزريقي پرنترال 10 mg/1mL 10 mg - پارس بهروزان جم</t>
        </is>
      </c>
      <c r="C1500" s="25">
        <f>IF(COUNTIF('کدهای پیام‌داروساز'!$A$2:$A$2442,A1500)&gt;0,"بله","خیر")</f>
        <v/>
      </c>
    </row>
    <row r="1501" ht="15" customHeight="1" s="14">
      <c r="A1501" s="24" t="n">
        <v>6923</v>
      </c>
      <c r="B1501" s="24" t="inlineStr">
        <is>
          <t>نازوفرين (فنيل افرين هيدروکلرايد) 0.25 درصد 20 م ل اسپري بيني - سينا دارو</t>
        </is>
      </c>
      <c r="C1501" s="25">
        <f>IF(COUNTIF('کدهای پیام‌داروساز'!$A$2:$A$2442,A1501)&gt;0,"بله","خیر")</f>
        <v/>
      </c>
    </row>
    <row r="1502" ht="15" customHeight="1" s="14">
      <c r="A1502" s="24" t="n">
        <v>6927</v>
      </c>
      <c r="B1502" s="24" t="inlineStr">
        <is>
          <t>دکوفن 0.5 درصد 15 ميلي ليتر (فنيل افرين هيدروکلرايد) اسپري بيني - رها فارما</t>
        </is>
      </c>
      <c r="C1502" s="25">
        <f>IF(COUNTIF('کدهای پیام‌داروساز'!$A$2:$A$2442,A1502)&gt;0,"بله","خیر")</f>
        <v/>
      </c>
    </row>
    <row r="1503" ht="15" customHeight="1" s="14">
      <c r="A1503" s="24" t="n">
        <v>6938</v>
      </c>
      <c r="B1503" s="24" t="inlineStr">
        <is>
          <t>آمپي سيلين / سولباکتام 2 گرم / 1گرم تزريقى(آمپي سول 3</t>
        </is>
      </c>
      <c r="C1503" s="25">
        <f>IF(COUNTIF('کدهای پیام‌داروساز'!$A$2:$A$2442,A1503)&gt;0,"بله","خیر")</f>
        <v/>
      </c>
    </row>
    <row r="1504" ht="15" customHeight="1" s="14">
      <c r="A1504" s="24" t="n">
        <v>6939</v>
      </c>
      <c r="B1504" s="24" t="inlineStr">
        <is>
          <t>آمپي سيلين / سولباکتام 1 گرم /ميلي گرم تزريقى 5 (آمپي سول 1/5</t>
        </is>
      </c>
      <c r="C1504" s="25">
        <f>IF(COUNTIF('کدهای پیام‌داروساز'!$A$2:$A$2442,A1504)&gt;0,"بله","خیر")</f>
        <v/>
      </c>
    </row>
    <row r="1505" ht="15" customHeight="1" s="14">
      <c r="A1505" s="24" t="n">
        <v>6968</v>
      </c>
      <c r="B1505" s="24" t="inlineStr">
        <is>
          <t>بالانسد سالت   محلول چشمي 500 mL - داروسازي شهيد قاضي</t>
        </is>
      </c>
      <c r="C1505" s="25">
        <f>IF(COUNTIF('کدهای پیام‌داروساز'!$A$2:$A$2442,A1505)&gt;0,"بله","خیر")</f>
        <v/>
      </c>
    </row>
    <row r="1506" ht="15" customHeight="1" s="14">
      <c r="A1506" s="24" t="n">
        <v>6974</v>
      </c>
      <c r="B1506" s="24" t="inlineStr">
        <is>
          <t>تادارکتيل (تادالافيل) 10 م گ قرص - روز دارو</t>
        </is>
      </c>
      <c r="C1506" s="25">
        <f>IF(COUNTIF('کدهای پیام‌داروساز'!$A$2:$A$2442,A1506)&gt;0,"بله","خیر")</f>
        <v/>
      </c>
    </row>
    <row r="1507" ht="15" customHeight="1" s="14">
      <c r="A1507" s="24" t="n">
        <v>6975</v>
      </c>
      <c r="B1507" s="24" t="inlineStr">
        <is>
          <t>تادارکتيل (تادالافيل) 20 م گ قرص - روز دارو</t>
        </is>
      </c>
      <c r="C1507" s="25">
        <f>IF(COUNTIF('کدهای پیام‌داروساز'!$A$2:$A$2442,A1507)&gt;0,"بله","خیر")</f>
        <v/>
      </c>
    </row>
    <row r="1508" ht="15" customHeight="1" s="14">
      <c r="A1508" s="24" t="n">
        <v>7030</v>
      </c>
      <c r="B1508" s="24" t="inlineStr">
        <is>
          <t>پارساداين   محلول موضعي 10 % 500 mL - پارس مهديس دارو</t>
        </is>
      </c>
      <c r="C1508" s="25">
        <f>IF(COUNTIF('کدهای پیام‌داروساز'!$A$2:$A$2442,A1508)&gt;0,"بله","خیر")</f>
        <v/>
      </c>
    </row>
    <row r="1509" ht="15" customHeight="1" s="14">
      <c r="A1509" s="24" t="n">
        <v>7040</v>
      </c>
      <c r="B1509" s="24" t="inlineStr">
        <is>
          <t>الوگزاتين   محلول غليظ تزريقي پرنترال 5 mg/1mL 20 mg - کوبل دارو</t>
        </is>
      </c>
      <c r="C1509" s="25">
        <f>IF(COUNTIF('کدهای پیام‌داروساز'!$A$2:$A$2442,A1509)&gt;0,"بله","خیر")</f>
        <v/>
      </c>
    </row>
    <row r="1510" ht="15" customHeight="1" s="14">
      <c r="A1510" s="24" t="n">
        <v>7041</v>
      </c>
      <c r="B1510" s="24" t="inlineStr">
        <is>
          <t>الوگزاتين   محلول غليظ تزريقي پرنترال 5 mg/1mL 10 mg - کوبل دارو</t>
        </is>
      </c>
      <c r="C1510" s="25">
        <f>IF(COUNTIF('کدهای پیام‌داروساز'!$A$2:$A$2442,A1510)&gt;0,"بله","خیر")</f>
        <v/>
      </c>
    </row>
    <row r="1511" ht="15" customHeight="1" s="14">
      <c r="A1511" s="24" t="n">
        <v>7054</v>
      </c>
      <c r="B1511" s="24" t="inlineStr">
        <is>
          <t>آوي سيروکس    قرص براي تهيه سوسپانسيون خوراکي 125 mg - داروسازي آوه سينا</t>
        </is>
      </c>
      <c r="C1511" s="25">
        <f>IF(COUNTIF('کدهای پیام‌داروساز'!$A$2:$A$2442,A1511)&gt;0,"بله","خیر")</f>
        <v/>
      </c>
    </row>
    <row r="1512" ht="15" customHeight="1" s="14">
      <c r="A1512" s="24" t="n">
        <v>7058</v>
      </c>
      <c r="B1512" s="24" t="inlineStr">
        <is>
          <t>واکسن هپاتيت بي    تزريقي پرنترال 10 {dose} 5 {dose} - اوين دارو</t>
        </is>
      </c>
      <c r="C1512" s="25">
        <f>IF(COUNTIF('کدهای پیام‌داروساز'!$A$2:$A$2442,A1512)&gt;0,"بله","خیر")</f>
        <v/>
      </c>
    </row>
    <row r="1513" ht="15" customHeight="1" s="14">
      <c r="A1513" s="24" t="n">
        <v>7061</v>
      </c>
      <c r="B1513" s="24" t="inlineStr">
        <is>
          <t>روماتوبيک (ملوکسيکام) 15 م گ قرص - تهران شيمي</t>
        </is>
      </c>
      <c r="C1513" s="25">
        <f>IF(COUNTIF('کدهای پیام‌داروساز'!$A$2:$A$2442,A1513)&gt;0,"بله","خیر")</f>
        <v/>
      </c>
    </row>
    <row r="1514" ht="15" customHeight="1" s="14">
      <c r="A1514" s="24" t="n">
        <v>7066</v>
      </c>
      <c r="B1514" s="24" t="inlineStr">
        <is>
          <t>اينپرال   قرص خوراکي 20 mg - داروسازي آني درمان</t>
        </is>
      </c>
      <c r="C1514" s="25">
        <f>IF(COUNTIF('کدهای پیام‌داروساز'!$A$2:$A$2442,A1514)&gt;0,"بله","خیر")</f>
        <v/>
      </c>
    </row>
    <row r="1515" ht="15" customHeight="1" s="14">
      <c r="A1515" s="24" t="n">
        <v>7083</v>
      </c>
      <c r="B1515" s="24" t="inlineStr">
        <is>
          <t>آميلورايد   قرص خوراکي 5 mg - فوريتهاي سينا آرات گستر</t>
        </is>
      </c>
      <c r="C1515" s="25">
        <f>IF(COUNTIF('کدهای پیام‌داروساز'!$A$2:$A$2442,A1515)&gt;0,"بله","خیر")</f>
        <v/>
      </c>
    </row>
    <row r="1516" ht="15" customHeight="1" s="14">
      <c r="A1516" s="24" t="n">
        <v>7088</v>
      </c>
      <c r="B1516" s="24" t="inlineStr">
        <is>
          <t>الوکيد   پودر لئوفيليزه براي تهيه محلول تزريقي پرنترال 3.5 mg  mg - نانو فناوران داروئي الوند</t>
        </is>
      </c>
      <c r="C1516" s="25">
        <f>IF(COUNTIF('کدهای پیام‌داروساز'!$A$2:$A$2442,A1516)&gt;0,"بله","خیر")</f>
        <v/>
      </c>
    </row>
    <row r="1517" ht="15" customHeight="1" s="14">
      <c r="A1517" s="24" t="n">
        <v>7095</v>
      </c>
      <c r="B1517" s="24" t="inlineStr">
        <is>
          <t xml:space="preserve">والسارتان 40 کپسول </t>
        </is>
      </c>
      <c r="C1517" s="25">
        <f>IF(COUNTIF('کدهای پیام‌داروساز'!$A$2:$A$2442,A1517)&gt;0,"بله","خیر")</f>
        <v/>
      </c>
    </row>
    <row r="1518" ht="15" customHeight="1" s="14">
      <c r="A1518" s="24" t="n">
        <v>7113</v>
      </c>
      <c r="B1518" s="24" t="inlineStr">
        <is>
          <t>الوکوماد   کرم موضعي 0.1 % 30 g - عماد درمان پارس</t>
        </is>
      </c>
      <c r="C1518" s="25">
        <f>IF(COUNTIF('کدهای پیام‌داروساز'!$A$2:$A$2442,A1518)&gt;0,"بله","خیر")</f>
        <v/>
      </c>
    </row>
    <row r="1519" ht="15" customHeight="1" s="14">
      <c r="A1519" s="24" t="n">
        <v>7115</v>
      </c>
      <c r="B1519" s="24" t="inlineStr">
        <is>
          <t>دتروليت .تروتودين (تولترودين تارترات پيوسته رهش) 4 م گ کپسول - تسنيم</t>
        </is>
      </c>
      <c r="C1519" s="25">
        <f>IF(COUNTIF('کدهای پیام‌داروساز'!$A$2:$A$2442,A1519)&gt;0,"بله","خیر")</f>
        <v/>
      </c>
    </row>
    <row r="1520" ht="15" customHeight="1" s="14">
      <c r="A1520" s="24" t="n">
        <v>7125</v>
      </c>
      <c r="B1520" s="24" t="inlineStr">
        <is>
          <t>آرتيبت   قرص خوراکي 5 mg</t>
        </is>
      </c>
      <c r="C1520" s="25">
        <f>IF(COUNTIF('کدهای پیام‌داروساز'!$A$2:$A$2442,A1520)&gt;0,"بله","خیر")</f>
        <v/>
      </c>
    </row>
    <row r="1521" ht="15" customHeight="1" s="14">
      <c r="A1521" s="24" t="n">
        <v>7129</v>
      </c>
      <c r="B1521" s="24" t="inlineStr">
        <is>
          <t>آميرست   کپسول خوراکي 10 mg - داروسازي امين</t>
        </is>
      </c>
      <c r="C1521" s="25">
        <f>IF(COUNTIF('کدهای پیام‌داروساز'!$A$2:$A$2442,A1521)&gt;0,"بله","خیر")</f>
        <v/>
      </c>
    </row>
    <row r="1522" ht="15" customHeight="1" s="14">
      <c r="A1522" s="24" t="n">
        <v>7135</v>
      </c>
      <c r="B1522" s="24" t="inlineStr">
        <is>
          <t>ساروتن   قرص خوراکي 75 mg - بازرگاني سها کيش</t>
        </is>
      </c>
      <c r="C1522" s="25">
        <f>IF(COUNTIF('کدهای پیام‌داروساز'!$A$2:$A$2442,A1522)&gt;0,"بله","خیر")</f>
        <v/>
      </c>
    </row>
    <row r="1523" ht="15" customHeight="1" s="14">
      <c r="A1523" s="24" t="n">
        <v>7178</v>
      </c>
      <c r="B1523" s="24" t="inlineStr">
        <is>
          <t>ابيليفاي   قرص خوراکي 30 mg - بازرگاني سها کيش</t>
        </is>
      </c>
      <c r="C1523" s="25">
        <f>IF(COUNTIF('کدهای پیام‌داروساز'!$A$2:$A$2442,A1523)&gt;0,"بله","خیر")</f>
        <v/>
      </c>
    </row>
    <row r="1524" ht="15" customHeight="1" s="14">
      <c r="A1524" s="24" t="n">
        <v>7183</v>
      </c>
      <c r="B1524" s="24" t="inlineStr">
        <is>
          <t>باکتينون   قرص خوراکي 500 mg - داروسازي سامي ساز</t>
        </is>
      </c>
      <c r="C1524" s="25">
        <f>IF(COUNTIF('کدهای پیام‌داروساز'!$A$2:$A$2442,A1524)&gt;0,"بله","خیر")</f>
        <v/>
      </c>
    </row>
    <row r="1525" ht="15" customHeight="1" s="14">
      <c r="A1525" s="24" t="n">
        <v>7190</v>
      </c>
      <c r="B1525" s="24" t="inlineStr">
        <is>
          <t>ادويفن (ايبوپروفن) 200 م گ کپسول - زهراوي</t>
        </is>
      </c>
      <c r="C1525" s="25">
        <f>IF(COUNTIF('کدهای پیام‌داروساز'!$A$2:$A$2442,A1525)&gt;0,"بله","خیر")</f>
        <v/>
      </c>
    </row>
    <row r="1526" ht="15" customHeight="1" s="14">
      <c r="A1526" s="24" t="n">
        <v>7191</v>
      </c>
      <c r="B1526" s="24" t="inlineStr">
        <is>
          <t>ادويفن 400 (ايبوپروفن) کپسول - زهراوي</t>
        </is>
      </c>
      <c r="C1526" s="25">
        <f>IF(COUNTIF('کدهای پیام‌داروساز'!$A$2:$A$2442,A1526)&gt;0,"بله","خیر")</f>
        <v/>
      </c>
    </row>
    <row r="1527" ht="15" customHeight="1" s="14">
      <c r="A1527" s="24" t="n">
        <v>7196</v>
      </c>
      <c r="B1527" s="24" t="inlineStr">
        <is>
          <t>همودياليز اسيدي II   محلول غليظ   همودياليز 4920 L - صنايع پزشکي فارمد</t>
        </is>
      </c>
      <c r="C1527" s="25">
        <f>IF(COUNTIF('کدهای پیام‌داروساز'!$A$2:$A$2442,A1527)&gt;0,"بله","خیر")</f>
        <v/>
      </c>
    </row>
    <row r="1528" ht="15" customHeight="1" s="14">
      <c r="A1528" s="24" t="n">
        <v>7197</v>
      </c>
      <c r="B1528" s="24" t="inlineStr">
        <is>
          <t>همودياليز I   محلول غليظ   داخل وريدي 4920 mL - داروسازي ثامن</t>
        </is>
      </c>
      <c r="C1528" s="25">
        <f>IF(COUNTIF('کدهای پیام‌داروساز'!$A$2:$A$2442,A1528)&gt;0,"بله","خیر")</f>
        <v/>
      </c>
    </row>
    <row r="1529" ht="15" customHeight="1" s="14">
      <c r="A1529" s="24" t="n">
        <v>7198</v>
      </c>
      <c r="B1529" s="24" t="inlineStr">
        <is>
          <t>همودياليز 2   محلول غليظ   داخل وريدي 4920 mL - داروسازي ثامن</t>
        </is>
      </c>
      <c r="C1529" s="25">
        <f>IF(COUNTIF('کدهای پیام‌داروساز'!$A$2:$A$2442,A1529)&gt;0,"بله","خیر")</f>
        <v/>
      </c>
    </row>
    <row r="1530" ht="15" customHeight="1" s="14">
      <c r="A1530" s="24" t="n">
        <v>7216</v>
      </c>
      <c r="B1530" s="24" t="inlineStr">
        <is>
          <t>رها کلد روز   قرص خوراکي 500 mg/5 mg - داروسازي رها اصفهان</t>
        </is>
      </c>
      <c r="C1530" s="25">
        <f>IF(COUNTIF('کدهای پیام‌داروساز'!$A$2:$A$2442,A1530)&gt;0,"بله","خیر")</f>
        <v/>
      </c>
    </row>
    <row r="1531" ht="15" customHeight="1" s="14">
      <c r="A1531" s="24" t="n">
        <v>7233</v>
      </c>
      <c r="B1531" s="24" t="inlineStr">
        <is>
          <t>نيپنت   پودر براي تهيه محلول تزريقي پرنترال 10 mg  mg - اوزان</t>
        </is>
      </c>
      <c r="C1531" s="25">
        <f>IF(COUNTIF('کدهای پیام‌داروساز'!$A$2:$A$2442,A1531)&gt;0,"بله","خیر")</f>
        <v/>
      </c>
    </row>
    <row r="1532" ht="15" customHeight="1" s="14">
      <c r="A1532" s="24" t="n">
        <v>7239</v>
      </c>
      <c r="B1532" s="24" t="inlineStr">
        <is>
          <t>پرگابالين   کپسول خوراکي 75 mg</t>
        </is>
      </c>
      <c r="C1532" s="25">
        <f>IF(COUNTIF('کدهای پیام‌داروساز'!$A$2:$A$2442,A1532)&gt;0,"بله","خیر")</f>
        <v/>
      </c>
    </row>
    <row r="1533" ht="15" customHeight="1" s="14">
      <c r="A1533" s="24" t="n">
        <v>7251</v>
      </c>
      <c r="B1533" s="24" t="inlineStr">
        <is>
          <t>آلربند   قرص خوراکي 60 mg - دارودرمان پارس</t>
        </is>
      </c>
      <c r="C1533" s="25">
        <f>IF(COUNTIF('کدهای پیام‌داروساز'!$A$2:$A$2442,A1533)&gt;0,"بله","خیر")</f>
        <v/>
      </c>
    </row>
    <row r="1534" ht="15" customHeight="1" s="14">
      <c r="A1534" s="24" t="n">
        <v>7253</v>
      </c>
      <c r="B1534" s="24" t="inlineStr">
        <is>
          <t>امبينوکس   قرص خوراکي 5 mg - روزدارو</t>
        </is>
      </c>
      <c r="C1534" s="25">
        <f>IF(COUNTIF('کدهای پیام‌داروساز'!$A$2:$A$2442,A1534)&gt;0,"بله","خیر")</f>
        <v/>
      </c>
    </row>
    <row r="1535" ht="15" customHeight="1" s="14">
      <c r="A1535" s="24" t="n">
        <v>7259</v>
      </c>
      <c r="B1535" s="24" t="inlineStr">
        <is>
          <t>دي بي-سالين 0.65 درصد 20 ميلي ليتر 150 پاف (سديم کلرايد) اسپري بيني - دنياي بهداشت</t>
        </is>
      </c>
      <c r="C1535" s="25">
        <f>IF(COUNTIF('کدهای پیام‌داروساز'!$A$2:$A$2442,A1535)&gt;0,"بله","خیر")</f>
        <v/>
      </c>
    </row>
    <row r="1536" ht="15" customHeight="1" s="14">
      <c r="A1536" s="24" t="n">
        <v>7287</v>
      </c>
      <c r="B1536" s="24" t="inlineStr">
        <is>
          <t>آتوبايوکس   کپسول خوراکي 60 mg - باختر بيو شيمي</t>
        </is>
      </c>
      <c r="C1536" s="25">
        <f>IF(COUNTIF('کدهای پیام‌داروساز'!$A$2:$A$2442,A1536)&gt;0,"بله","خیر")</f>
        <v/>
      </c>
    </row>
    <row r="1537" ht="15" customHeight="1" s="14">
      <c r="A1537" s="24" t="n">
        <v>7315</v>
      </c>
      <c r="B1537" s="24" t="inlineStr">
        <is>
          <t>آريستاتين   قرص خوراکي 5 mg - داروسازي آريا</t>
        </is>
      </c>
      <c r="C1537" s="25">
        <f>IF(COUNTIF('کدهای پیام‌داروساز'!$A$2:$A$2442,A1537)&gt;0,"بله","خیر")</f>
        <v/>
      </c>
    </row>
    <row r="1538" ht="15" customHeight="1" s="14">
      <c r="A1538" s="24" t="n">
        <v>7316</v>
      </c>
      <c r="B1538" s="24" t="inlineStr">
        <is>
          <t>آريستاتين   قرص خوراکي 40 mg - داروسازي آريا</t>
        </is>
      </c>
      <c r="C1538" s="25">
        <f>IF(COUNTIF('کدهای پیام‌داروساز'!$A$2:$A$2442,A1538)&gt;0,"بله","خیر")</f>
        <v/>
      </c>
    </row>
    <row r="1539" ht="15" customHeight="1" s="14">
      <c r="A1539" s="24" t="n">
        <v>7319</v>
      </c>
      <c r="B1539" s="24" t="inlineStr">
        <is>
          <t>الوکوماد 0.1% (مومتازون) پماد موضعي 30 گرم - عماد</t>
        </is>
      </c>
      <c r="C1539" s="25">
        <f>IF(COUNTIF('کدهای پیام‌داروساز'!$A$2:$A$2442,A1539)&gt;0,"بله","خیر")</f>
        <v/>
      </c>
    </row>
    <row r="1540" ht="15" customHeight="1" s="14">
      <c r="A1540" s="24" t="n">
        <v>7338</v>
      </c>
      <c r="B1540" s="24" t="inlineStr">
        <is>
          <t>LANTUS® 100IU/ML 3ML CARTRIDGE   تزريقي پرنترال 100 [iU]/1mL 3</t>
        </is>
      </c>
      <c r="C1540" s="25">
        <f>IF(COUNTIF('کدهای پیام‌داروساز'!$A$2:$A$2442,A1540)&gt;0,"بله","خیر")</f>
        <v/>
      </c>
    </row>
    <row r="1541" ht="15" customHeight="1" s="14">
      <c r="A1541" s="24" t="n">
        <v>7377</v>
      </c>
      <c r="B1541" s="24" t="inlineStr">
        <is>
          <t>سيمولکت   پودر براي تهيه محلول تزريقي پرنترال 20 mg  mg - بازرگاني سها کيش</t>
        </is>
      </c>
      <c r="C1541" s="25">
        <f>IF(COUNTIF('کدهای پیام‌داروساز'!$A$2:$A$2442,A1541)&gt;0,"بله","خیر")</f>
        <v/>
      </c>
    </row>
    <row r="1542" ht="15" customHeight="1" s="14">
      <c r="A1542" s="24" t="n">
        <v>7384</v>
      </c>
      <c r="B1542" s="24" t="inlineStr">
        <is>
          <t>آميتزو   کپسول خوراکي 5 mg - نانو فناوران داروئي الوند</t>
        </is>
      </c>
      <c r="C1542" s="25">
        <f>IF(COUNTIF('کدهای پیام‌داروساز'!$A$2:$A$2442,A1542)&gt;0,"بله","خیر")</f>
        <v/>
      </c>
    </row>
    <row r="1543" ht="15" customHeight="1" s="14">
      <c r="A1543" s="24" t="n">
        <v>7392</v>
      </c>
      <c r="B1543" s="24" t="inlineStr">
        <is>
          <t>آکوايس قطره چشمي 15ML - ديسوپ</t>
        </is>
      </c>
      <c r="C1543" s="25">
        <f>IF(COUNTIF('کدهای پیام‌داروساز'!$A$2:$A$2442,A1543)&gt;0,"بله","خیر")</f>
        <v/>
      </c>
    </row>
    <row r="1544" ht="15" customHeight="1" s="14">
      <c r="A1544" s="24" t="n">
        <v>7436</v>
      </c>
      <c r="B1544" s="24" t="inlineStr">
        <is>
          <t>آداپالن   ژل موضعي 0.1 % 30 g - پارس بهروزان جم</t>
        </is>
      </c>
      <c r="C1544" s="25">
        <f>IF(COUNTIF('کدهای پیام‌داروساز'!$A$2:$A$2442,A1544)&gt;0,"بله","خیر")</f>
        <v/>
      </c>
    </row>
    <row r="1545" ht="15" customHeight="1" s="14">
      <c r="A1545" s="24" t="n">
        <v>7467</v>
      </c>
      <c r="B1545" s="24" t="inlineStr">
        <is>
          <t>دپوفم   تزريقي پرنترال 50 mg/10 mg/1 mL 0.5 mL - ايران هورمون</t>
        </is>
      </c>
      <c r="C1545" s="25">
        <f>IF(COUNTIF('کدهای پیام‌داروساز'!$A$2:$A$2442,A1545)&gt;0,"بله","خیر")</f>
        <v/>
      </c>
    </row>
    <row r="1546" ht="15" customHeight="1" s="14">
      <c r="A1546" s="24" t="n">
        <v>7468</v>
      </c>
      <c r="B1546" s="24" t="inlineStr">
        <is>
          <t>اسکيزول   شامپو موضعي 2 % 100 mL - گيلارانکو</t>
        </is>
      </c>
      <c r="C1546" s="25">
        <f>IF(COUNTIF('کدهای پیام‌داروساز'!$A$2:$A$2442,A1546)&gt;0,"بله","خیر")</f>
        <v/>
      </c>
    </row>
    <row r="1547" ht="15" customHeight="1" s="14">
      <c r="A1547" s="24" t="n">
        <v>7469</v>
      </c>
      <c r="B1547" s="24" t="inlineStr">
        <is>
          <t>اپتي‌فيباتايد- سدال   محلول تزريقي پرنترال 0.75 mg/1mL 100 mg - سه دال نانو</t>
        </is>
      </c>
      <c r="C1547" s="25">
        <f>IF(COUNTIF('کدهای پیام‌داروساز'!$A$2:$A$2442,A1547)&gt;0,"بله","خیر")</f>
        <v/>
      </c>
    </row>
    <row r="1548" ht="15" customHeight="1" s="14">
      <c r="A1548" s="24" t="n">
        <v>7470</v>
      </c>
      <c r="B1548" s="24" t="inlineStr">
        <is>
          <t>اپتي فيباتايد- سدال   محلول تزريقي پرنترال 2 mg/1mL 10 mg - سه دال نانو</t>
        </is>
      </c>
      <c r="C1548" s="25">
        <f>IF(COUNTIF('کدهای پیام‌داروساز'!$A$2:$A$2442,A1548)&gt;0,"بله","خیر")</f>
        <v/>
      </c>
    </row>
    <row r="1549" ht="15" customHeight="1" s="14">
      <c r="A1549" s="24" t="n">
        <v>7475</v>
      </c>
      <c r="B1549" s="24" t="inlineStr">
        <is>
          <t>بون ويوا   قرص خوراکي 150 mg  mg - يارا طب خاورميانه</t>
        </is>
      </c>
      <c r="C1549" s="25">
        <f>IF(COUNTIF('کدهای پیام‌داروساز'!$A$2:$A$2442,A1549)&gt;0,"بله","خیر")</f>
        <v/>
      </c>
    </row>
    <row r="1550" ht="15" customHeight="1" s="14">
      <c r="A1550" s="24" t="n">
        <v>7495</v>
      </c>
      <c r="B1550" s="24" t="inlineStr">
        <is>
          <t>سفيکسيم 200 ميلي گرم کپسول</t>
        </is>
      </c>
      <c r="C1550" s="25">
        <f>IF(COUNTIF('کدهای پیام‌داروساز'!$A$2:$A$2442,A1550)&gt;0,"بله","خیر")</f>
        <v/>
      </c>
    </row>
    <row r="1551" ht="15" customHeight="1" s="14">
      <c r="A1551" s="24" t="n">
        <v>7502</v>
      </c>
      <c r="B1551" s="24" t="inlineStr">
        <is>
          <t>مگاکورت (مومتازون) 1/. درصد 20 م ل لوسيون - کيش مديفارم</t>
        </is>
      </c>
      <c r="C1551" s="25">
        <f>IF(COUNTIF('کدهای پیام‌داروساز'!$A$2:$A$2442,A1551)&gt;0,"بله","خیر")</f>
        <v/>
      </c>
    </row>
    <row r="1552" ht="15" customHeight="1" s="14">
      <c r="A1552" s="24" t="n">
        <v>7516</v>
      </c>
      <c r="B1552" s="24" t="inlineStr">
        <is>
          <t>سيلاستازول   قرص خوراکي 50 mg  mg - ثمين دارو آرکا</t>
        </is>
      </c>
      <c r="C1552" s="25">
        <f>IF(COUNTIF('کدهای پیام‌داروساز'!$A$2:$A$2442,A1552)&gt;0,"بله","خیر")</f>
        <v/>
      </c>
    </row>
    <row r="1553" ht="15" customHeight="1" s="14">
      <c r="A1553" s="24" t="n">
        <v>7525</v>
      </c>
      <c r="B1553" s="24" t="inlineStr">
        <is>
          <t>زولير   پودر براي تهيه محلول تزريقي پرنترال 150 mg  mg - اريکه تجارت ويستا</t>
        </is>
      </c>
      <c r="C1553" s="25">
        <f>IF(COUNTIF('کدهای پیام‌داروساز'!$A$2:$A$2442,A1553)&gt;0,"بله","خیر")</f>
        <v/>
      </c>
    </row>
    <row r="1554" ht="15" customHeight="1" s="14">
      <c r="A1554" s="24" t="n">
        <v>7543</v>
      </c>
      <c r="B1554" s="24" t="inlineStr">
        <is>
          <t>همودياليز III   محلول غليظ   همودياليز 5 mL - داروسازي ثامن</t>
        </is>
      </c>
      <c r="C1554" s="25">
        <f>IF(COUNTIF('کدهای پیام‌داروساز'!$A$2:$A$2442,A1554)&gt;0,"بله","خیر")</f>
        <v/>
      </c>
    </row>
    <row r="1555" ht="15" customHeight="1" s="14">
      <c r="A1555" s="24" t="n">
        <v>7551</v>
      </c>
      <c r="B1555" s="24" t="inlineStr">
        <is>
          <t>دومتيدون (دومپريدون) 1 م گ / 1 م ل سوسپانسيون - رازان فارمد</t>
        </is>
      </c>
      <c r="C1555" s="25">
        <f>IF(COUNTIF('کدهای پیام‌داروساز'!$A$2:$A$2442,A1555)&gt;0,"بله","خیر")</f>
        <v/>
      </c>
    </row>
    <row r="1556" ht="15" customHeight="1" s="14">
      <c r="A1556" s="24" t="n">
        <v>7558</v>
      </c>
      <c r="B1556" s="24" t="inlineStr">
        <is>
          <t>VESICARE® 5MG TAB   قرص خوراکي 5 mg</t>
        </is>
      </c>
      <c r="C1556" s="25">
        <f>IF(COUNTIF('کدهای پیام‌داروساز'!$A$2:$A$2442,A1556)&gt;0,"بله","خیر")</f>
        <v/>
      </c>
    </row>
    <row r="1557" ht="15" customHeight="1" s="14">
      <c r="A1557" s="24" t="n">
        <v>7559</v>
      </c>
      <c r="B1557" s="24" t="inlineStr">
        <is>
          <t>اوراکسين   قرص خوراکي 10 mg - فرنوش داروطب</t>
        </is>
      </c>
      <c r="C1557" s="25">
        <f>IF(COUNTIF('کدهای پیام‌داروساز'!$A$2:$A$2442,A1557)&gt;0,"بله","خیر")</f>
        <v/>
      </c>
    </row>
    <row r="1558" ht="15" customHeight="1" s="14">
      <c r="A1558" s="24" t="n">
        <v>7564</v>
      </c>
      <c r="B1558" s="24" t="inlineStr">
        <is>
          <t>آپو-کا   قرص پيوسته رهش خوراکي 600 mg - رستا ايمن دارو</t>
        </is>
      </c>
      <c r="C1558" s="25">
        <f>IF(COUNTIF('کدهای پیام‌داروساز'!$A$2:$A$2442,A1558)&gt;0,"بله","خیر")</f>
        <v/>
      </c>
    </row>
    <row r="1559" ht="15" customHeight="1" s="14">
      <c r="A1559" s="24" t="n">
        <v>7582</v>
      </c>
      <c r="B1559" s="24" t="inlineStr">
        <is>
          <t>بيلورون   قرص خوراکي 150 mg - کيميا سلامت ايرانيان</t>
        </is>
      </c>
      <c r="C1559" s="25">
        <f>IF(COUNTIF('کدهای پیام‌داروساز'!$A$2:$A$2442,A1559)&gt;0,"بله","خیر")</f>
        <v/>
      </c>
    </row>
    <row r="1560" ht="15" customHeight="1" s="14">
      <c r="A1560" s="24" t="n">
        <v>7601</v>
      </c>
      <c r="B1560" s="24" t="inlineStr">
        <is>
          <t>سديم بي کربنات   تزريقي پرنترال 8.4 % 50 mL - کارخانجات دارو پخش</t>
        </is>
      </c>
      <c r="C1560" s="25">
        <f>IF(COUNTIF('کدهای پیام‌داروساز'!$A$2:$A$2442,A1560)&gt;0,"بله","خیر")</f>
        <v/>
      </c>
    </row>
    <row r="1561" ht="15" customHeight="1" s="14">
      <c r="A1561" s="24" t="n">
        <v>7629</v>
      </c>
      <c r="B1561" s="24" t="inlineStr">
        <is>
          <t>واکسن ام ام آر دو   پودر لئوفيليزه براي تهيه محلول تزريقي پرنترال 1 {dose} 0.5 mL - بهستان دارو</t>
        </is>
      </c>
      <c r="C1561" s="25">
        <f>IF(COUNTIF('کدهای پیام‌داروساز'!$A$2:$A$2442,A1561)&gt;0,"بله","خیر")</f>
        <v/>
      </c>
    </row>
    <row r="1562" ht="15" customHeight="1" s="14">
      <c r="A1562" s="24" t="n">
        <v>7659</v>
      </c>
      <c r="B1562" s="24" t="inlineStr">
        <is>
          <t>آگرليز   کپسول خوراکي 500 ug - زيست تخمير</t>
        </is>
      </c>
      <c r="C1562" s="25">
        <f>IF(COUNTIF('کدهای پیام‌داروساز'!$A$2:$A$2442,A1562)&gt;0,"بله","خیر")</f>
        <v/>
      </c>
    </row>
    <row r="1563" ht="15" customHeight="1" s="14">
      <c r="A1563" s="24" t="n">
        <v>7662</v>
      </c>
      <c r="B1563" s="24" t="inlineStr">
        <is>
          <t>ريزدرونيت   قرص خوراکي 5 mg - داروسازي فاتک شيمي پارس</t>
        </is>
      </c>
      <c r="C1563" s="25">
        <f>IF(COUNTIF('کدهای پیام‌داروساز'!$A$2:$A$2442,A1563)&gt;0,"بله","خیر")</f>
        <v/>
      </c>
    </row>
    <row r="1564" ht="15" customHeight="1" s="14">
      <c r="A1564" s="24" t="n">
        <v>7669</v>
      </c>
      <c r="B1564" s="24" t="inlineStr">
        <is>
          <t>سديم والپروات   شربت خوراکي 200 mg/5mL 120 mL - لابراتوار هاي دنياي بهداشت</t>
        </is>
      </c>
      <c r="C1564" s="25">
        <f>IF(COUNTIF('کدهای پیام‌داروساز'!$A$2:$A$2442,A1564)&gt;0,"بله","خیر")</f>
        <v/>
      </c>
    </row>
    <row r="1565" ht="15" customHeight="1" s="14">
      <c r="A1565" s="24" t="n">
        <v>7684</v>
      </c>
      <c r="B1565" s="24" t="inlineStr">
        <is>
          <t>زونيسامايد   کپسول خوراکي 25 mg - داروسازي فاتک شيمي پارس</t>
        </is>
      </c>
      <c r="C1565" s="25">
        <f>IF(COUNTIF('کدهای پیام‌داروساز'!$A$2:$A$2442,A1565)&gt;0,"بله","خیر")</f>
        <v/>
      </c>
    </row>
    <row r="1566" ht="15" customHeight="1" s="14">
      <c r="A1566" s="24" t="n">
        <v>7760</v>
      </c>
      <c r="B1566" s="24" t="inlineStr">
        <is>
          <t xml:space="preserve">پيمودرم 1% (پيمکروليموس) کرم موضعي 15 گ </t>
        </is>
      </c>
      <c r="C1566" s="25">
        <f>IF(COUNTIF('کدهای پیام‌داروساز'!$A$2:$A$2442,A1566)&gt;0,"بله","خیر")</f>
        <v/>
      </c>
    </row>
    <row r="1567" ht="15" customHeight="1" s="14">
      <c r="A1567" s="24" t="n">
        <v>7804</v>
      </c>
      <c r="B1567" s="24" t="inlineStr">
        <is>
          <t>اويسانيب   کپسول خوراکي 50 mg - داروسازي آوه سينا</t>
        </is>
      </c>
      <c r="C1567" s="25">
        <f>IF(COUNTIF('کدهای پیام‌داروساز'!$A$2:$A$2442,A1567)&gt;0,"بله","خیر")</f>
        <v/>
      </c>
    </row>
    <row r="1568" ht="15" customHeight="1" s="14">
      <c r="A1568" s="24" t="n">
        <v>7830</v>
      </c>
      <c r="B1568" s="24" t="inlineStr">
        <is>
          <t>فنتانيل   تزريقي پرنترال 50 ug/1mL 2 mL - کارخانجات دارو پخش</t>
        </is>
      </c>
      <c r="C1568" s="25">
        <f>IF(COUNTIF('کدهای پیام‌داروساز'!$A$2:$A$2442,A1568)&gt;0,"بله","خیر")</f>
        <v/>
      </c>
    </row>
    <row r="1569" ht="15" customHeight="1" s="14">
      <c r="A1569" s="24" t="n">
        <v>7845</v>
      </c>
      <c r="B1569" s="24" t="inlineStr">
        <is>
          <t>دپرسول   کپسول انتريک کوتد خوراکي 30 mg - داروسازي توليد دارو</t>
        </is>
      </c>
      <c r="C1569" s="25">
        <f>IF(COUNTIF('کدهای پیام‌داروساز'!$A$2:$A$2442,A1569)&gt;0,"بله","خیر")</f>
        <v/>
      </c>
    </row>
    <row r="1570" ht="15" customHeight="1" s="14">
      <c r="A1570" s="24" t="n">
        <v>7848</v>
      </c>
      <c r="B1570" s="24" t="inlineStr">
        <is>
          <t>بوتکريل   قرص خوراکي 125 mg - دارو سازي اسوه</t>
        </is>
      </c>
      <c r="C1570" s="25">
        <f>IF(COUNTIF('کدهای پیام‌داروساز'!$A$2:$A$2442,A1570)&gt;0,"بله","خیر")</f>
        <v/>
      </c>
    </row>
    <row r="1571" ht="15" customHeight="1" s="14">
      <c r="A1571" s="24" t="n">
        <v>7854</v>
      </c>
      <c r="B1571" s="24" t="inlineStr">
        <is>
          <t>بايوسامايد   کپسول خوراکي 50 mg - باختر بيو شيمي</t>
        </is>
      </c>
      <c r="C1571" s="25">
        <f>IF(COUNTIF('کدهای پیام‌داروساز'!$A$2:$A$2442,A1571)&gt;0,"بله","خیر")</f>
        <v/>
      </c>
    </row>
    <row r="1572" ht="15" customHeight="1" s="14">
      <c r="A1572" s="24" t="n">
        <v>7913</v>
      </c>
      <c r="B1572" s="24" t="inlineStr">
        <is>
          <t>سوکام   کپسول خوراکي 200 mg - دارويي پرسون بام بين الملل</t>
        </is>
      </c>
      <c r="C1572" s="25">
        <f>IF(COUNTIF('کدهای پیام‌داروساز'!$A$2:$A$2442,A1572)&gt;0,"بله","خیر")</f>
        <v/>
      </c>
    </row>
    <row r="1573" ht="15" customHeight="1" s="14">
      <c r="A1573" s="24" t="n">
        <v>7928</v>
      </c>
      <c r="B1573" s="24" t="inlineStr">
        <is>
          <t>پرگابالين   کپسول خوراکي 150 mg  {dose} - داروسازي و مکملهاي غذايي حياتي کارن</t>
        </is>
      </c>
      <c r="C1573" s="25">
        <f>IF(COUNTIF('کدهای پیام‌داروساز'!$A$2:$A$2442,A1573)&gt;0,"بله","خیر")</f>
        <v/>
      </c>
    </row>
    <row r="1574" ht="15" customHeight="1" s="14">
      <c r="A1574" s="24" t="n">
        <v>7932</v>
      </c>
      <c r="B1574" s="24" t="inlineStr">
        <is>
          <t>پنتاکسور   قرص خوراکي 37.5 mg - دارو سازي سها</t>
        </is>
      </c>
      <c r="C1574" s="25">
        <f>IF(COUNTIF('کدهای پیام‌داروساز'!$A$2:$A$2442,A1574)&gt;0,"بله","خیر")</f>
        <v/>
      </c>
    </row>
    <row r="1575" ht="15" customHeight="1" s="14">
      <c r="A1575" s="24" t="n">
        <v>7938</v>
      </c>
      <c r="B1575" s="24" t="inlineStr">
        <is>
          <t>يوتيد   قرص خوراکي 25 ug - دارويي البرز زاگرس</t>
        </is>
      </c>
      <c r="C1575" s="25">
        <f>IF(COUNTIF('کدهای پیام‌داروساز'!$A$2:$A$2442,A1575)&gt;0,"بله","خیر")</f>
        <v/>
      </c>
    </row>
    <row r="1576" ht="15" customHeight="1" s="14">
      <c r="A1576" s="24" t="n">
        <v>7986</v>
      </c>
      <c r="B1576" s="24" t="inlineStr">
        <is>
          <t>آزيترومايسين 200 ميلي گرم / 5ميلي ليتر 22.5 ميلي ليتر پودر برايتهيه سوسپانسيون خوراکي</t>
        </is>
      </c>
      <c r="C1576" s="25">
        <f>IF(COUNTIF('کدهای پیام‌داروساز'!$A$2:$A$2442,A1576)&gt;0,"بله","خیر")</f>
        <v/>
      </c>
    </row>
    <row r="1577" ht="15" customHeight="1" s="14">
      <c r="A1577" s="24" t="n">
        <v>7991</v>
      </c>
      <c r="B1577" s="24" t="inlineStr">
        <is>
          <t>استيمديت   قرص پيوسته رهش خوراکي 20 mg - مهردارو</t>
        </is>
      </c>
      <c r="C1577" s="25">
        <f>IF(COUNTIF('کدهای پیام‌داروساز'!$A$2:$A$2442,A1577)&gt;0,"بله","خیر")</f>
        <v/>
      </c>
    </row>
    <row r="1578" ht="15" customHeight="1" s="14">
      <c r="A1578" s="24" t="n">
        <v>8000</v>
      </c>
      <c r="B1578" s="24" t="inlineStr">
        <is>
          <t>اتانول   محلول غير قابل مصرف 70 % 1 L - الين الکل کاسپين</t>
        </is>
      </c>
      <c r="C1578" s="25">
        <f>IF(COUNTIF('کدهای پیام‌داروساز'!$A$2:$A$2442,A1578)&gt;0,"بله","خیر")</f>
        <v/>
      </c>
    </row>
    <row r="1579" ht="15" customHeight="1" s="14">
      <c r="A1579" s="24" t="n">
        <v>8004</v>
      </c>
      <c r="B1579" s="24" t="inlineStr">
        <is>
          <t>بتاسين   تزريقي پرنترال 5 mg/1mL 20 mL - نسيم دارو سلامت</t>
        </is>
      </c>
      <c r="C1579" s="25">
        <f>IF(COUNTIF('کدهای پیام‌داروساز'!$A$2:$A$2442,A1579)&gt;0,"بله","خیر")</f>
        <v/>
      </c>
    </row>
    <row r="1580" ht="15" customHeight="1" s="14">
      <c r="A1580" s="24" t="n">
        <v>8021</v>
      </c>
      <c r="B1580" s="24" t="inlineStr">
        <is>
          <t>آريمدکس   قرص خوراکي 1 mg  [Amb'a'1'U] - فوريتهاي سينا آرات گستر</t>
        </is>
      </c>
      <c r="C1580" s="25">
        <f>IF(COUNTIF('کدهای پیام‌داروساز'!$A$2:$A$2442,A1580)&gt;0,"بله","خیر")</f>
        <v/>
      </c>
    </row>
    <row r="1581" ht="15" customHeight="1" s="14">
      <c r="A1581" s="24" t="n">
        <v>8024</v>
      </c>
      <c r="B1581" s="24" t="inlineStr">
        <is>
          <t>آپو-وارفارين   قرص خوراکي 1 mg - رستا ايمن دارو</t>
        </is>
      </c>
      <c r="C1581" s="25">
        <f>IF(COUNTIF('کدهای پیام‌داروساز'!$A$2:$A$2442,A1581)&gt;0,"بله","خیر")</f>
        <v/>
      </c>
    </row>
    <row r="1582" ht="15" customHeight="1" s="14">
      <c r="A1582" s="24" t="n">
        <v>8028</v>
      </c>
      <c r="B1582" s="24" t="inlineStr">
        <is>
          <t>تلفست   قرص خوراکي 30 mg - کوبل دارو</t>
        </is>
      </c>
      <c r="C1582" s="25">
        <f>IF(COUNTIF('کدهای پیام‌داروساز'!$A$2:$A$2442,A1582)&gt;0,"بله","خیر")</f>
        <v/>
      </c>
    </row>
    <row r="1583" ht="15" customHeight="1" s="14">
      <c r="A1583" s="24" t="n">
        <v>8040</v>
      </c>
      <c r="B1583" s="24" t="inlineStr">
        <is>
          <t>موس   استيک پيشابراهي 1000 ug  [Amb'a'1'U] - فوريتهاي سينا آرات گستر</t>
        </is>
      </c>
      <c r="C1583" s="25">
        <f>IF(COUNTIF('کدهای پیام‌داروساز'!$A$2:$A$2442,A1583)&gt;0,"بله","خیر")</f>
        <v/>
      </c>
    </row>
    <row r="1584" ht="15" customHeight="1" s="14">
      <c r="A1584" s="24" t="n">
        <v>8066</v>
      </c>
      <c r="B1584" s="24" t="inlineStr">
        <is>
          <t>پاراکلست   قرص خوراکي 30 mg - داروسازي تهران شيمي</t>
        </is>
      </c>
      <c r="C1584" s="25">
        <f>IF(COUNTIF('کدهای پیام‌داروساز'!$A$2:$A$2442,A1584)&gt;0,"بله","خیر")</f>
        <v/>
      </c>
    </row>
    <row r="1585" ht="15" customHeight="1" s="14">
      <c r="A1585" s="24" t="n">
        <v>8074</v>
      </c>
      <c r="B1585" s="24" t="inlineStr">
        <is>
          <t>تازادپ 30(ميرتازاپين)قرص - اکتوور</t>
        </is>
      </c>
      <c r="C1585" s="25">
        <f>IF(COUNTIF('کدهای پیام‌داروساز'!$A$2:$A$2442,A1585)&gt;0,"بله","خیر")</f>
        <v/>
      </c>
    </row>
    <row r="1586" ht="15" customHeight="1" s="14">
      <c r="A1586" s="24" t="n">
        <v>8079</v>
      </c>
      <c r="B1586" s="24" t="inlineStr">
        <is>
          <t>پروبنسيد   قرص خوراکي 500 mg - بازرگاني سها کيش</t>
        </is>
      </c>
      <c r="C1586" s="25">
        <f>IF(COUNTIF('کدهای پیام‌داروساز'!$A$2:$A$2442,A1586)&gt;0,"بله","خیر")</f>
        <v/>
      </c>
    </row>
    <row r="1587" ht="15" customHeight="1" s="14">
      <c r="A1587" s="24" t="n">
        <v>8081</v>
      </c>
      <c r="B1587" s="24" t="inlineStr">
        <is>
          <t>پولموزايم   محلول استنشاقي 1 mg/1mL 2.5 [Amb'a'1'U] - فوريتهاي سينا آرات گستر</t>
        </is>
      </c>
      <c r="C1587" s="25">
        <f>IF(COUNTIF('کدهای پیام‌داروساز'!$A$2:$A$2442,A1587)&gt;0,"بله","خیر")</f>
        <v/>
      </c>
    </row>
    <row r="1588" ht="15" customHeight="1" s="14">
      <c r="A1588" s="24" t="n">
        <v>8095</v>
      </c>
      <c r="B1588" s="24" t="inlineStr">
        <is>
          <t>سايتوتک   قرص خوراکي 200 ug  ug - رايان دارو ايرانيان</t>
        </is>
      </c>
      <c r="C1588" s="25">
        <f>IF(COUNTIF('کدهای پیام‌داروساز'!$A$2:$A$2442,A1588)&gt;0,"بله","خیر")</f>
        <v/>
      </c>
    </row>
    <row r="1589" ht="15" customHeight="1" s="14">
      <c r="A1589" s="24" t="n">
        <v>8108</v>
      </c>
      <c r="B1589" s="24" t="inlineStr">
        <is>
          <t>ايرسا   قرص خوراکي 250 mg  mg - شفاياب فردا</t>
        </is>
      </c>
      <c r="C1589" s="25">
        <f>IF(COUNTIF('کدهای پیام‌داروساز'!$A$2:$A$2442,A1589)&gt;0,"بله","خیر")</f>
        <v/>
      </c>
    </row>
    <row r="1590" ht="15" customHeight="1" s="14">
      <c r="A1590" s="24" t="n">
        <v>8127</v>
      </c>
      <c r="B1590" s="24" t="inlineStr">
        <is>
          <t>ريسپردال کنستا   پودر براي تهيه سوسپانسيون تزريقي پيوسته رهش پرنترال 25 mg  mg - بهستان دارو</t>
        </is>
      </c>
      <c r="C1590" s="25">
        <f>IF(COUNTIF('کدهای پیام‌داروساز'!$A$2:$A$2442,A1590)&gt;0,"بله","خیر")</f>
        <v/>
      </c>
    </row>
    <row r="1591" ht="15" customHeight="1" s="14">
      <c r="A1591" s="24" t="n">
        <v>8133</v>
      </c>
      <c r="B1591" s="24" t="inlineStr">
        <is>
          <t>سانارلبين   کپسول حاوي مايع خوراکي 30 mg - داروسازان سانا فارمد</t>
        </is>
      </c>
      <c r="C1591" s="25">
        <f>IF(COUNTIF('کدهای پیام‌داروساز'!$A$2:$A$2442,A1591)&gt;0,"بله","خیر")</f>
        <v/>
      </c>
    </row>
    <row r="1592" ht="15" customHeight="1" s="14">
      <c r="A1592" s="24" t="n">
        <v>8170</v>
      </c>
      <c r="B1592" s="24" t="inlineStr">
        <is>
          <t>آلتبرل   محلول تزريقي زير جلدي 50 mg/1mL 1 mg - آريوژن فارمد</t>
        </is>
      </c>
      <c r="C1592" s="25">
        <f>IF(COUNTIF('کدهای پیام‌داروساز'!$A$2:$A$2442,A1592)&gt;0,"بله","خیر")</f>
        <v/>
      </c>
    </row>
    <row r="1593" ht="15" customHeight="1" s="14">
      <c r="A1593" s="24" t="n">
        <v>8209</v>
      </c>
      <c r="B1593" s="24" t="inlineStr">
        <is>
          <t>آفيزونايد   اسپري از راه بيني 64 ug/1{dose} 120 mL - ايران آوند فر</t>
        </is>
      </c>
      <c r="C1593" s="25">
        <f>IF(COUNTIF('کدهای پیام‌داروساز'!$A$2:$A$2442,A1593)&gt;0,"بله","خیر")</f>
        <v/>
      </c>
    </row>
    <row r="1594" ht="15" customHeight="1" s="14">
      <c r="A1594" s="24" t="n">
        <v>8210</v>
      </c>
      <c r="B1594" s="24" t="inlineStr">
        <is>
          <t>بودنا 64 ميکروگرم 120 پاف (بودزونايد) اسپري بيني - ALDO</t>
        </is>
      </c>
      <c r="C1594" s="25">
        <f>IF(COUNTIF('کدهای پیام‌داروساز'!$A$2:$A$2442,A1594)&gt;0,"بله","خیر")</f>
        <v/>
      </c>
    </row>
    <row r="1595" ht="15" customHeight="1" s="14">
      <c r="A1595" s="24" t="n">
        <v>8256</v>
      </c>
      <c r="B1595" s="24" t="inlineStr">
        <is>
          <t>ايم کارديو   قرص خوراکي 50 mg/12.5 mg</t>
        </is>
      </c>
      <c r="C1595" s="25">
        <f>IF(COUNTIF('کدهای پیام‌داروساز'!$A$2:$A$2442,A1595)&gt;0,"بله","خیر")</f>
        <v/>
      </c>
    </row>
    <row r="1596" ht="15" customHeight="1" s="14">
      <c r="A1596" s="24" t="n">
        <v>8269</v>
      </c>
      <c r="B1596" s="24" t="inlineStr">
        <is>
          <t>منيزيم سولفات   تزريقي پرنترال 20 % 10 mL - داروسازي ثامن</t>
        </is>
      </c>
      <c r="C1596" s="25">
        <f>IF(COUNTIF('کدهای پیام‌داروساز'!$A$2:$A$2442,A1596)&gt;0,"بله","خیر")</f>
        <v/>
      </c>
    </row>
    <row r="1597" ht="15" customHeight="1" s="14">
      <c r="A1597" s="24" t="n">
        <v>8277</v>
      </c>
      <c r="B1597" s="24" t="inlineStr">
        <is>
          <t>مدوکساسين   قرص خوراکي 400 mg - داروسازي ثنامد</t>
        </is>
      </c>
      <c r="C1597" s="25">
        <f>IF(COUNTIF('کدهای پیام‌داروساز'!$A$2:$A$2442,A1597)&gt;0,"بله","خیر")</f>
        <v/>
      </c>
    </row>
    <row r="1598" ht="15" customHeight="1" s="14">
      <c r="A1598" s="24" t="n">
        <v>8300</v>
      </c>
      <c r="B1598" s="24" t="inlineStr">
        <is>
          <t>ZYVOX 600 MG TAB   قرص خوراکي 600 mg</t>
        </is>
      </c>
      <c r="C1598" s="25">
        <f>IF(COUNTIF('کدهای پیام‌داروساز'!$A$2:$A$2442,A1598)&gt;0,"بله","خیر")</f>
        <v/>
      </c>
    </row>
    <row r="1599" ht="15" customHeight="1" s="14">
      <c r="A1599" s="24" t="n">
        <v>8358</v>
      </c>
      <c r="B1599" s="24" t="inlineStr">
        <is>
          <t>سديم فوزيدات -عماد   پماد موضعي 2 % 15 g - عماد درمان پارس</t>
        </is>
      </c>
      <c r="C1599" s="25">
        <f>IF(COUNTIF('کدهای پیام‌داروساز'!$A$2:$A$2442,A1599)&gt;0,"بله","خیر")</f>
        <v/>
      </c>
    </row>
    <row r="1600" ht="15" customHeight="1" s="14">
      <c r="A1600" s="24" t="n">
        <v>8360</v>
      </c>
      <c r="B1600" s="24" t="inlineStr">
        <is>
          <t>ارليستات 120 م گ کپسول - مرهم دارو</t>
        </is>
      </c>
      <c r="C1600" s="25">
        <f>IF(COUNTIF('کدهای پیام‌داروساز'!$A$2:$A$2442,A1600)&gt;0,"بله","خیر")</f>
        <v/>
      </c>
    </row>
    <row r="1601" ht="15" customHeight="1" s="14">
      <c r="A1601" s="24" t="n">
        <v>8390</v>
      </c>
      <c r="B1601" s="24" t="inlineStr">
        <is>
          <t>فازلودکس   محلول تزريقي پرنترال 50 mg/1mL 5 [Amb'a'1'U] - فوريتهاي سينا آرات گستر</t>
        </is>
      </c>
      <c r="C1601" s="25">
        <f>IF(COUNTIF('کدهای پیام‌داروساز'!$A$2:$A$2442,A1601)&gt;0,"بله","خیر")</f>
        <v/>
      </c>
    </row>
    <row r="1602" ht="15" customHeight="1" s="14">
      <c r="A1602" s="24" t="n">
        <v>8394</v>
      </c>
      <c r="B1602" s="24" t="inlineStr">
        <is>
          <t>آتوبايوکس   کپسول خوراکي 10 mg - باختر بيو شيمي</t>
        </is>
      </c>
      <c r="C1602" s="25">
        <f>IF(COUNTIF('کدهای پیام‌داروساز'!$A$2:$A$2442,A1602)&gt;0,"بله","خیر")</f>
        <v/>
      </c>
    </row>
    <row r="1603" ht="15" customHeight="1" s="14">
      <c r="A1603" s="24" t="n">
        <v>8396</v>
      </c>
      <c r="B1603" s="24" t="inlineStr">
        <is>
          <t>دپاکين   پودر براي تهيه محلول تزريقي پرنترال 400 mg  mg - کوبل دارو</t>
        </is>
      </c>
      <c r="C1603" s="25">
        <f>IF(COUNTIF('کدهای پیام‌داروساز'!$A$2:$A$2442,A1603)&gt;0,"بله","خیر")</f>
        <v/>
      </c>
    </row>
    <row r="1604" ht="15" customHeight="1" s="14">
      <c r="A1604" s="24" t="n">
        <v>8426</v>
      </c>
      <c r="B1604" s="24" t="inlineStr">
        <is>
          <t>سيناکتن   تزريقي پرنترال 250 ug/1mL  mg - رضا دارو پارس</t>
        </is>
      </c>
      <c r="C1604" s="25">
        <f>IF(COUNTIF('کدهای پیام‌داروساز'!$A$2:$A$2442,A1604)&gt;0,"بله","خیر")</f>
        <v/>
      </c>
    </row>
    <row r="1605" ht="15" customHeight="1" s="14">
      <c r="A1605" s="24" t="n">
        <v>8444</v>
      </c>
      <c r="B1605" s="24" t="inlineStr">
        <is>
          <t>رواتينکس کپسول-روا</t>
        </is>
      </c>
      <c r="C1605" s="25">
        <f>IF(COUNTIF('کدهای پیام‌داروساز'!$A$2:$A$2442,A1605)&gt;0,"بله","خیر")</f>
        <v/>
      </c>
    </row>
    <row r="1606" ht="15" customHeight="1" s="14">
      <c r="A1606" s="24" t="n">
        <v>8448</v>
      </c>
      <c r="B1606" s="24" t="inlineStr">
        <is>
          <t>رافنکس   قرص خوراکي 200 mg - اکترو خاورميانه</t>
        </is>
      </c>
      <c r="C1606" s="25">
        <f>IF(COUNTIF('کدهای پیام‌داروساز'!$A$2:$A$2442,A1606)&gt;0,"بله","خیر")</f>
        <v/>
      </c>
    </row>
    <row r="1607" ht="15" customHeight="1" s="14">
      <c r="A1607" s="24" t="n">
        <v>8455</v>
      </c>
      <c r="B1607" s="24" t="inlineStr">
        <is>
          <t>اس سيتالوپرام    قرص خوراکي 5 mg - داروسازي جابرابن حيان</t>
        </is>
      </c>
      <c r="C1607" s="25">
        <f>IF(COUNTIF('کدهای پیام‌داروساز'!$A$2:$A$2442,A1607)&gt;0,"بله","خیر")</f>
        <v/>
      </c>
    </row>
    <row r="1608" ht="15" customHeight="1" s="14">
      <c r="A1608" s="24" t="n">
        <v>8501</v>
      </c>
      <c r="B1608" s="24" t="inlineStr">
        <is>
          <t>کوروسرف   تزريقي داخل تراشه اي 80 mg/1mL 3 mg - درمان ياب دارو</t>
        </is>
      </c>
      <c r="C1608" s="25">
        <f>IF(COUNTIF('کدهای پیام‌داروساز'!$A$2:$A$2442,A1608)&gt;0,"بله","خیر")</f>
        <v/>
      </c>
    </row>
    <row r="1609" ht="15" customHeight="1" s="14">
      <c r="A1609" s="24" t="n">
        <v>8504</v>
      </c>
      <c r="B1609" s="24" t="inlineStr">
        <is>
          <t>استامود   قرص خوراکي 200 mg - رامو فارمين</t>
        </is>
      </c>
      <c r="C1609" s="25">
        <f>IF(COUNTIF('کدهای پیام‌داروساز'!$A$2:$A$2442,A1609)&gt;0,"بله","خیر")</f>
        <v/>
      </c>
    </row>
    <row r="1610" ht="15" customHeight="1" s="14">
      <c r="A1610" s="24" t="n">
        <v>8525</v>
      </c>
      <c r="B1610" s="24" t="inlineStr">
        <is>
          <t>پرگابالين   کپسول خوراکي 300 mg</t>
        </is>
      </c>
      <c r="C1610" s="25">
        <f>IF(COUNTIF('کدهای پیام‌داروساز'!$A$2:$A$2442,A1610)&gt;0,"بله","خیر")</f>
        <v/>
      </c>
    </row>
    <row r="1611" ht="15" customHeight="1" s="14">
      <c r="A1611" s="24" t="n">
        <v>8526</v>
      </c>
      <c r="B1611" s="24" t="inlineStr">
        <is>
          <t>پرگابالين   کپسول خوراکي 50 mg</t>
        </is>
      </c>
      <c r="C1611" s="25">
        <f>IF(COUNTIF('کدهای پیام‌داروساز'!$A$2:$A$2442,A1611)&gt;0,"بله","خیر")</f>
        <v/>
      </c>
    </row>
    <row r="1612" ht="15" customHeight="1" s="14">
      <c r="A1612" s="24" t="n">
        <v>8529</v>
      </c>
      <c r="B1612" s="24" t="inlineStr">
        <is>
          <t>اگزوفلوکان   تزريقي پرنترال 2 mg/1mL 100 mL - داروسازي تهران شيمي</t>
        </is>
      </c>
      <c r="C1612" s="25">
        <f>IF(COUNTIF('کدهای پیام‌داروساز'!$A$2:$A$2442,A1612)&gt;0,"بله","خیر")</f>
        <v/>
      </c>
    </row>
    <row r="1613" ht="15" customHeight="1" s="14">
      <c r="A1613" s="24" t="n">
        <v>8530</v>
      </c>
      <c r="B1613" s="24" t="inlineStr">
        <is>
          <t>فلوکونازول بيو اينداستريا   تزريقي پرنترال 2 mg/1mL 50 mg - سينا پيشگام دارو نوين</t>
        </is>
      </c>
      <c r="C1613" s="25">
        <f>IF(COUNTIF('کدهای پیام‌داروساز'!$A$2:$A$2442,A1613)&gt;0,"بله","خیر")</f>
        <v/>
      </c>
    </row>
    <row r="1614" ht="15" customHeight="1" s="14">
      <c r="A1614" s="24" t="n">
        <v>8581</v>
      </c>
      <c r="B1614" s="24" t="inlineStr">
        <is>
          <t>پروستويژن- پي بي اي   محلول، قطره چشمي 0.01 % 3 mL - سلامت سازان پارس بوعلي</t>
        </is>
      </c>
      <c r="C1614" s="25">
        <f>IF(COUNTIF('کدهای پیام‌داروساز'!$A$2:$A$2442,A1614)&gt;0,"بله","خیر")</f>
        <v/>
      </c>
    </row>
    <row r="1615" ht="15" customHeight="1" s="14">
      <c r="A1615" s="24" t="n">
        <v>8601</v>
      </c>
      <c r="B1615" s="24" t="inlineStr">
        <is>
          <t>اورفريل سافت (والپروات سديم) 300 م گ / 5 م ل 250 م ل شربت - DESITIN</t>
        </is>
      </c>
      <c r="C1615" s="25">
        <f>IF(COUNTIF('کدهای پیام‌داروساز'!$A$2:$A$2442,A1615)&gt;0,"بله","خیر")</f>
        <v/>
      </c>
    </row>
    <row r="1616" ht="15" customHeight="1" s="14">
      <c r="A1616" s="24" t="n">
        <v>8613</v>
      </c>
      <c r="B1616" s="24" t="inlineStr">
        <is>
          <t>اسپريسل   قرص خوراکي 70 mg  [Amb'a'1'U] - فوريتهاي سينا آرات گستر</t>
        </is>
      </c>
      <c r="C1616" s="25">
        <f>IF(COUNTIF('کدهای پیام‌داروساز'!$A$2:$A$2442,A1616)&gt;0,"بله","خیر")</f>
        <v/>
      </c>
    </row>
    <row r="1617" ht="15" customHeight="1" s="14">
      <c r="A1617" s="24" t="n">
        <v>8620</v>
      </c>
      <c r="B1617" s="24" t="inlineStr">
        <is>
          <t>ويبسيکس   تزريقي پرنترال 100 mg/1mL 3 mL</t>
        </is>
      </c>
      <c r="C1617" s="25">
        <f>IF(COUNTIF('کدهای پیام‌داروساز'!$A$2:$A$2442,A1617)&gt;0,"بله","خیر")</f>
        <v/>
      </c>
    </row>
    <row r="1618" ht="15" customHeight="1" s="14">
      <c r="A1618" s="24" t="n">
        <v>8634</v>
      </c>
      <c r="B1618" s="24" t="inlineStr">
        <is>
          <t>آنتابوس   قرص خوراکي 250 mg  [Amb'a'1'U] - سينا پيشگام دارو نوين</t>
        </is>
      </c>
      <c r="C1618" s="25">
        <f>IF(COUNTIF('کدهای پیام‌داروساز'!$A$2:$A$2442,A1618)&gt;0,"بله","خیر")</f>
        <v/>
      </c>
    </row>
    <row r="1619" ht="15" customHeight="1" s="14">
      <c r="A1619" s="24" t="n">
        <v>8636</v>
      </c>
      <c r="B1619" s="24" t="inlineStr">
        <is>
          <t>افلوزين   قرص خوراکي 400 mg - دارو سازي تهران دارو</t>
        </is>
      </c>
      <c r="C1619" s="25">
        <f>IF(COUNTIF('کدهای پیام‌داروساز'!$A$2:$A$2442,A1619)&gt;0,"بله","خیر")</f>
        <v/>
      </c>
    </row>
    <row r="1620" ht="15" customHeight="1" s="14">
      <c r="A1620" s="24" t="n">
        <v>8646</v>
      </c>
      <c r="B1620" s="24" t="inlineStr">
        <is>
          <t>هومالوگ   تزريقي پرنترال 100 [iU]/1mL 10 [iU] - بازرگاني سها کيش</t>
        </is>
      </c>
      <c r="C1620" s="25">
        <f>IF(COUNTIF('کدهای پیام‌داروساز'!$A$2:$A$2442,A1620)&gt;0,"بله","خیر")</f>
        <v/>
      </c>
    </row>
    <row r="1621" ht="15" customHeight="1" s="14">
      <c r="A1621" s="24" t="n">
        <v>8667</v>
      </c>
      <c r="B1621" s="24" t="inlineStr">
        <is>
          <t>زاروکسولين   قرص خوراکي 5 mg - بازرگاني سها کيش</t>
        </is>
      </c>
      <c r="C1621" s="25">
        <f>IF(COUNTIF('کدهای پیام‌داروساز'!$A$2:$A$2442,A1621)&gt;0,"بله","خیر")</f>
        <v/>
      </c>
    </row>
    <row r="1622" ht="15" customHeight="1" s="14">
      <c r="A1622" s="24" t="n">
        <v>8681</v>
      </c>
      <c r="B1622" s="24" t="inlineStr">
        <is>
          <t>موس   استيک پيشابراهي 500 ug  ug - گسترش بازرگاني دارو پخش</t>
        </is>
      </c>
      <c r="C1622" s="25">
        <f>IF(COUNTIF('کدهای پیام‌داروساز'!$A$2:$A$2442,A1622)&gt;0,"بله","خیر")</f>
        <v/>
      </c>
    </row>
    <row r="1623" ht="15" customHeight="1" s="14">
      <c r="A1623" s="24" t="n">
        <v>8699</v>
      </c>
      <c r="B1623" s="24" t="inlineStr">
        <is>
          <t>افدرين   قرص خوراکي 30 mg  [Amb'a'1'U] - فوريتهاي سينا آرات گستر</t>
        </is>
      </c>
      <c r="C1623" s="25">
        <f>IF(COUNTIF('کدهای پیام‌داروساز'!$A$2:$A$2442,A1623)&gt;0,"بله","خیر")</f>
        <v/>
      </c>
    </row>
    <row r="1624" ht="15" customHeight="1" s="14">
      <c r="A1624" s="24" t="n">
        <v>8777</v>
      </c>
      <c r="B1624" s="24" t="inlineStr">
        <is>
          <t>کاورجکت(آلپروستاديل)20 ميلي</t>
        </is>
      </c>
      <c r="C1624" s="25">
        <f>IF(COUNTIF('کدهای پیام‌داروساز'!$A$2:$A$2442,A1624)&gt;0,"بله","خیر")</f>
        <v/>
      </c>
    </row>
    <row r="1625" ht="15" customHeight="1" s="14">
      <c r="A1625" s="24" t="n">
        <v>8813</v>
      </c>
      <c r="B1625" s="24" t="inlineStr">
        <is>
          <t>فوموتيزوکس   اسپري با دوز اندازه گيري شده استنشاقي 4.5 ug/1{Puff} 100 ug - داروسازي جابرابن حيان</t>
        </is>
      </c>
      <c r="C1625" s="25">
        <f>IF(COUNTIF('کدهای پیام‌داروساز'!$A$2:$A$2442,A1625)&gt;0,"بله","خیر")</f>
        <v/>
      </c>
    </row>
    <row r="1626" ht="15" customHeight="1" s="14">
      <c r="A1626" s="24" t="n">
        <v>8826</v>
      </c>
      <c r="B1626" s="24" t="inlineStr">
        <is>
          <t>قرص آربيکور-پلاس 80/25 ميلي گرم</t>
        </is>
      </c>
      <c r="C1626" s="25">
        <f>IF(COUNTIF('کدهای پیام‌داروساز'!$A$2:$A$2442,A1626)&gt;0,"بله","خیر")</f>
        <v/>
      </c>
    </row>
    <row r="1627" ht="15" customHeight="1" s="14">
      <c r="A1627" s="24" t="n">
        <v>8828</v>
      </c>
      <c r="B1627" s="24" t="inlineStr">
        <is>
          <t>آفاسرک   قرص خوراکي 16 mg - آفا شيمي</t>
        </is>
      </c>
      <c r="C1627" s="25">
        <f>IF(COUNTIF('کدهای پیام‌داروساز'!$A$2:$A$2442,A1627)&gt;0,"بله","خیر")</f>
        <v/>
      </c>
    </row>
    <row r="1628" ht="15" customHeight="1" s="14">
      <c r="A1628" s="24" t="n">
        <v>8838</v>
      </c>
      <c r="B1628" s="24" t="inlineStr">
        <is>
          <t>کتوتيفن   محلول، قطره خوراکي 1 mg/1mL 15 mL - لابراتوار هاي دنياي بهداشت</t>
        </is>
      </c>
      <c r="C1628" s="25">
        <f>IF(COUNTIF('کدهای پیام‌داروساز'!$A$2:$A$2442,A1628)&gt;0,"بله","خیر")</f>
        <v/>
      </c>
    </row>
    <row r="1629" ht="15" customHeight="1" s="14">
      <c r="A1629" s="24" t="n">
        <v>8884</v>
      </c>
      <c r="B1629" s="24" t="inlineStr">
        <is>
          <t>پالميکورت    پودر با دوز اندازه گيري شده استنشاقي 100 ug/1{dose} 200 mg - کوبل دارو</t>
        </is>
      </c>
      <c r="C1629" s="25">
        <f>IF(COUNTIF('کدهای پیام‌داروساز'!$A$2:$A$2442,A1629)&gt;0,"بله","خیر")</f>
        <v/>
      </c>
    </row>
    <row r="1630" ht="15" customHeight="1" s="14">
      <c r="A1630" s="24" t="n">
        <v>8889</v>
      </c>
      <c r="B1630" s="24" t="inlineStr">
        <is>
          <t>پالميکورت (بودزونايد) 0.5 ميليگرم / 2 ميلي ليتر سوسپانسيونستنشاقي استرازنکا</t>
        </is>
      </c>
      <c r="C1630" s="25">
        <f>IF(COUNTIF('کدهای پیام‌داروساز'!$A$2:$A$2442,A1630)&gt;0,"بله","خیر")</f>
        <v/>
      </c>
    </row>
    <row r="1631" ht="15" customHeight="1" s="14">
      <c r="A1631" s="24" t="n">
        <v>8891</v>
      </c>
      <c r="B1631" s="24" t="inlineStr">
        <is>
          <t>بودکورت 0.5 (بودزونايد) سوسپانسيون استنشاقي - سيپلا</t>
        </is>
      </c>
      <c r="C1631" s="25">
        <f>IF(COUNTIF('کدهای پیام‌داروساز'!$A$2:$A$2442,A1631)&gt;0,"بله","خیر")</f>
        <v/>
      </c>
    </row>
    <row r="1632" ht="15" customHeight="1" s="14">
      <c r="A1632" s="24" t="n">
        <v>8904</v>
      </c>
      <c r="B1632" s="24" t="inlineStr">
        <is>
          <t>آرتيبت   قرص خوراکي 10 mg</t>
        </is>
      </c>
      <c r="C1632" s="25">
        <f>IF(COUNTIF('کدهای پیام‌داروساز'!$A$2:$A$2442,A1632)&gt;0,"بله","خیر")</f>
        <v/>
      </c>
    </row>
    <row r="1633" ht="15" customHeight="1" s="14">
      <c r="A1633" s="24" t="n">
        <v>8927</v>
      </c>
      <c r="B1633" s="24" t="inlineStr">
        <is>
          <t>دوکسي ترکس 500 (کلسيم دوبيسيلات مونوهيدرات) کپسول-يوني فارما</t>
        </is>
      </c>
      <c r="C1633" s="25">
        <f>IF(COUNTIF('کدهای پیام‌داروساز'!$A$2:$A$2442,A1633)&gt;0,"بله","خیر")</f>
        <v/>
      </c>
    </row>
    <row r="1634" ht="15" customHeight="1" s="14">
      <c r="A1634" s="24" t="n">
        <v>8968</v>
      </c>
      <c r="B1634" s="24" t="inlineStr">
        <is>
          <t>ازيپم (اس سيتالوپرام) 10 م گ قرص - عبيدي</t>
        </is>
      </c>
      <c r="C1634" s="25">
        <f>IF(COUNTIF('کدهای پیام‌داروساز'!$A$2:$A$2442,A1634)&gt;0,"بله","خیر")</f>
        <v/>
      </c>
    </row>
    <row r="1635" ht="15" customHeight="1" s="14">
      <c r="A1635" s="24" t="n">
        <v>8979</v>
      </c>
      <c r="B1635" s="24" t="inlineStr">
        <is>
          <t>آريافن (استامينوفن+ايبوپروفن+کافئين) کپسول - آريا</t>
        </is>
      </c>
      <c r="C1635" s="25">
        <f>IF(COUNTIF('کدهای پیام‌داروساز'!$A$2:$A$2442,A1635)&gt;0,"بله","خیر")</f>
        <v/>
      </c>
    </row>
    <row r="1636" ht="15" customHeight="1" s="14">
      <c r="A1636" s="24" t="n">
        <v>8988</v>
      </c>
      <c r="B1636" s="24" t="inlineStr">
        <is>
          <t>سديم کلرايد   محلول تزريقي پرنترال 0.9 % 10 mL - داروسازي ثامن</t>
        </is>
      </c>
      <c r="C1636" s="25">
        <f>IF(COUNTIF('کدهای پیام‌داروساز'!$A$2:$A$2442,A1636)&gt;0,"بله","خیر")</f>
        <v/>
      </c>
    </row>
    <row r="1637" ht="15" customHeight="1" s="14">
      <c r="A1637" s="24" t="n">
        <v>8997</v>
      </c>
      <c r="B1637" s="24" t="inlineStr">
        <is>
          <t>آوي سيروکس    قرص براي تهيه سوسپانسيون خوراکي 500 mg - داروسازي آوه سينا</t>
        </is>
      </c>
      <c r="C1637" s="25">
        <f>IF(COUNTIF('کدهای پیام‌داروساز'!$A$2:$A$2442,A1637)&gt;0,"بله","خیر")</f>
        <v/>
      </c>
    </row>
    <row r="1638" ht="15" customHeight="1" s="14">
      <c r="A1638" s="24" t="n">
        <v>9037</v>
      </c>
      <c r="B1638" s="24" t="inlineStr">
        <is>
          <t>آسپاروا   پودر براي تهيه محلول تزريقي پرنترال 3750 [iU]  mL - کي بي سي</t>
        </is>
      </c>
      <c r="C1638" s="25">
        <f>IF(COUNTIF('کدهای پیام‌داروساز'!$A$2:$A$2442,A1638)&gt;0,"بله","خیر")</f>
        <v/>
      </c>
    </row>
    <row r="1639" ht="15" customHeight="1" s="14">
      <c r="A1639" s="24" t="n">
        <v>9090</v>
      </c>
      <c r="B1639" s="24" t="inlineStr">
        <is>
          <t>دروسبلين   قرص خوراکي 3 mg/0.03 mg - دارو سازي آتي فارمد</t>
        </is>
      </c>
      <c r="C1639" s="25">
        <f>IF(COUNTIF('کدهای پیام‌داروساز'!$A$2:$A$2442,A1639)&gt;0,"بله","خیر")</f>
        <v/>
      </c>
    </row>
    <row r="1640" ht="15" customHeight="1" s="14">
      <c r="A1640" s="24" t="n">
        <v>9141</v>
      </c>
      <c r="B1640" s="24" t="inlineStr">
        <is>
          <t>روپينيرول   قرص خوراکي 0.5 mg - داروسازي تهران شيمي</t>
        </is>
      </c>
      <c r="C1640" s="25">
        <f>IF(COUNTIF('کدهای پیام‌داروساز'!$A$2:$A$2442,A1640)&gt;0,"بله","خیر")</f>
        <v/>
      </c>
    </row>
    <row r="1641" ht="15" customHeight="1" s="14">
      <c r="A1641" s="24" t="n">
        <v>9161</v>
      </c>
      <c r="B1641" s="24" t="inlineStr">
        <is>
          <t>آوي ويرال   قرص خوراکي 500 mg - داروسازي آوه سينا</t>
        </is>
      </c>
      <c r="C1641" s="25">
        <f>IF(COUNTIF('کدهای پیام‌داروساز'!$A$2:$A$2442,A1641)&gt;0,"بله","خیر")</f>
        <v/>
      </c>
    </row>
    <row r="1642" ht="15" customHeight="1" s="14">
      <c r="A1642" s="24" t="n">
        <v>9203</v>
      </c>
      <c r="B1642" s="24" t="inlineStr">
        <is>
          <t>آلزانتين   قرص خوراکي 5 mg - سبحان دارو</t>
        </is>
      </c>
      <c r="C1642" s="25">
        <f>IF(COUNTIF('کدهای پیام‌داروساز'!$A$2:$A$2442,A1642)&gt;0,"بله","خیر")</f>
        <v/>
      </c>
    </row>
    <row r="1643" ht="15" customHeight="1" s="14">
      <c r="A1643" s="24" t="n">
        <v>9212</v>
      </c>
      <c r="B1643" s="24" t="inlineStr">
        <is>
          <t>فيژان 120 م ل شربت - رازک</t>
        </is>
      </c>
      <c r="C1643" s="25">
        <f>IF(COUNTIF('کدهای پیام‌داروساز'!$A$2:$A$2442,A1643)&gt;0,"بله","خیر")</f>
        <v/>
      </c>
    </row>
    <row r="1644" ht="15" customHeight="1" s="14">
      <c r="A1644" s="24" t="n">
        <v>9238</v>
      </c>
      <c r="B1644" s="24" t="inlineStr">
        <is>
          <t>پرامي پکسول-عبيدي   قرص خوراکي 0.088 mg - داروسازي دکتر عبيدي</t>
        </is>
      </c>
      <c r="C1644" s="25">
        <f>IF(COUNTIF('کدهای پیام‌داروساز'!$A$2:$A$2442,A1644)&gt;0,"بله","خیر")</f>
        <v/>
      </c>
    </row>
    <row r="1645" ht="15" customHeight="1" s="14">
      <c r="A1645" s="24" t="n">
        <v>9245</v>
      </c>
      <c r="B1645" s="24" t="inlineStr">
        <is>
          <t>آکاليسم   قرص انتريک کوتد خوراکي 300 mg - داروسازي کوثر</t>
        </is>
      </c>
      <c r="C1645" s="25">
        <f>IF(COUNTIF('کدهای پیام‌داروساز'!$A$2:$A$2442,A1645)&gt;0,"بله","خیر")</f>
        <v/>
      </c>
    </row>
    <row r="1646" ht="15" customHeight="1" s="14">
      <c r="A1646" s="24" t="n">
        <v>9248</v>
      </c>
      <c r="B1646" s="24" t="inlineStr">
        <is>
          <t>آزي   پودر براي تهيه محلول تزريقي پرنترال 500 mg  mg - فوريتهاي سينا آرات گستر</t>
        </is>
      </c>
      <c r="C1646" s="25">
        <f>IF(COUNTIF('کدهای پیام‌داروساز'!$A$2:$A$2442,A1646)&gt;0,"بله","خیر")</f>
        <v/>
      </c>
    </row>
    <row r="1647" ht="15" customHeight="1" s="14">
      <c r="A1647" s="24" t="n">
        <v>9255</v>
      </c>
      <c r="B1647" s="24" t="inlineStr">
        <is>
          <t>آتورميکس-سبحان   قرص خوراکي 5 mg/20 mg - سبحان دارو</t>
        </is>
      </c>
      <c r="C1647" s="25">
        <f>IF(COUNTIF('کدهای پیام‌داروساز'!$A$2:$A$2442,A1647)&gt;0,"بله","خیر")</f>
        <v/>
      </c>
    </row>
    <row r="1648" ht="15" customHeight="1" s="14">
      <c r="A1648" s="24" t="n">
        <v>9300</v>
      </c>
      <c r="B1648" s="24" t="inlineStr">
        <is>
          <t>کلاريترومايسين   پودر براي تهيه سوسپانسيون   خوراکي 250 mg/5 mL 60 mL - دارويي پرسون بام بين الملل</t>
        </is>
      </c>
      <c r="C1648" s="25">
        <f>IF(COUNTIF('کدهای پیام‌داروساز'!$A$2:$A$2442,A1648)&gt;0,"بله","خیر")</f>
        <v/>
      </c>
    </row>
    <row r="1649" ht="15" customHeight="1" s="14">
      <c r="A1649" s="24" t="n">
        <v>9366</v>
      </c>
      <c r="B1649" s="24" t="inlineStr">
        <is>
          <t>توتن   قرص خوراکي 600 mg - بهستان دارو</t>
        </is>
      </c>
      <c r="C1649" s="25">
        <f>IF(COUNTIF('کدهای پیام‌داروساز'!$A$2:$A$2442,A1649)&gt;0,"بله","خیر")</f>
        <v/>
      </c>
    </row>
    <row r="1650" ht="15" customHeight="1" s="14">
      <c r="A1650" s="24" t="n">
        <v>9391</v>
      </c>
      <c r="B1650" s="24" t="inlineStr">
        <is>
          <t>اندوکسان   پودر براي تهيه محلول تزريقي پرنترال 1 g  g - پويش دارو گستر برتر فارس</t>
        </is>
      </c>
      <c r="C1650" s="25">
        <f>IF(COUNTIF('کدهای پیام‌داروساز'!$A$2:$A$2442,A1650)&gt;0,"بله","خیر")</f>
        <v/>
      </c>
    </row>
    <row r="1651" ht="15" customHeight="1" s="14">
      <c r="A1651" s="24" t="n">
        <v>9399</v>
      </c>
      <c r="B1651" s="24" t="inlineStr">
        <is>
          <t>ويزوديکس   تزريقي پرنترال 320 mg/1mL 20 mL - کارخانجات دارو پخش</t>
        </is>
      </c>
      <c r="C1651" s="25">
        <f>IF(COUNTIF('کدهای پیام‌داروساز'!$A$2:$A$2442,A1651)&gt;0,"بله","خیر")</f>
        <v/>
      </c>
    </row>
    <row r="1652" ht="15" customHeight="1" s="14">
      <c r="A1652" s="24" t="n">
        <v>9415</v>
      </c>
      <c r="B1652" s="24" t="inlineStr">
        <is>
          <t>آفيکايين   کرم موضعي 2.5 %/2.5 % 30 g - ايران آوند فر</t>
        </is>
      </c>
      <c r="C1652" s="25">
        <f>IF(COUNTIF('کدهای پیام‌داروساز'!$A$2:$A$2442,A1652)&gt;0,"بله","خیر")</f>
        <v/>
      </c>
    </row>
    <row r="1653" ht="15" customHeight="1" s="14">
      <c r="A1653" s="24" t="n">
        <v>9417</v>
      </c>
      <c r="B1653" s="24" t="inlineStr">
        <is>
          <t>پرگابالين   کپسول خوراکي 100 mg</t>
        </is>
      </c>
      <c r="C1653" s="25">
        <f>IF(COUNTIF('کدهای پیام‌داروساز'!$A$2:$A$2442,A1653)&gt;0,"بله","خیر")</f>
        <v/>
      </c>
    </row>
    <row r="1654" ht="15" customHeight="1" s="14">
      <c r="A1654" s="24" t="n">
        <v>9431</v>
      </c>
      <c r="B1654" s="24" t="inlineStr">
        <is>
          <t>دي بي ال متوترکسات   تزريقي پرنترال 2.5 mg/1mL 2 mg - سينا پيشگام دارو نوين</t>
        </is>
      </c>
      <c r="C1654" s="25">
        <f>IF(COUNTIF('کدهای پیام‌داروساز'!$A$2:$A$2442,A1654)&gt;0,"بله","خیر")</f>
        <v/>
      </c>
    </row>
    <row r="1655" ht="15" customHeight="1" s="14">
      <c r="A1655" s="24" t="n">
        <v>9437</v>
      </c>
      <c r="B1655" s="24" t="inlineStr">
        <is>
          <t>تگاتارد100(کاربامازپين)سوسپانسيون 250ميلي ليتر - رها</t>
        </is>
      </c>
      <c r="C1655" s="25">
        <f>IF(COUNTIF('کدهای پیام‌داروساز'!$A$2:$A$2442,A1655)&gt;0,"بله","خیر")</f>
        <v/>
      </c>
    </row>
    <row r="1656" ht="15" customHeight="1" s="14">
      <c r="A1656" s="24" t="n">
        <v>9448</v>
      </c>
      <c r="B1656" s="24" t="inlineStr">
        <is>
          <t xml:space="preserve">ساشه اکتولوکاست </t>
        </is>
      </c>
      <c r="C1656" s="25">
        <f>IF(COUNTIF('کدهای پیام‌داروساز'!$A$2:$A$2442,A1656)&gt;0,"بله","خیر")</f>
        <v/>
      </c>
    </row>
    <row r="1657" ht="15" customHeight="1" s="14">
      <c r="A1657" s="24" t="n">
        <v>9464</v>
      </c>
      <c r="B1657" s="24" t="inlineStr">
        <is>
          <t>داتيسين (کليندامايسين) 300 م گ کپسول - تهران شيمي</t>
        </is>
      </c>
      <c r="C1657" s="25">
        <f>IF(COUNTIF('کدهای پیام‌داروساز'!$A$2:$A$2442,A1657)&gt;0,"بله","خیر")</f>
        <v/>
      </c>
    </row>
    <row r="1658" ht="15" customHeight="1" s="14">
      <c r="A1658" s="24" t="n">
        <v>9486</v>
      </c>
      <c r="B1658" s="24" t="inlineStr">
        <is>
          <t>آزاسيتيدين سدال   پودر لئوفيليزه براي تهيه فرآورده تزريقي پرنترال 100 mg  mg - سه دال نانو</t>
        </is>
      </c>
      <c r="C1658" s="25">
        <f>IF(COUNTIF('کدهای پیام‌داروساز'!$A$2:$A$2442,A1658)&gt;0,"بله","خیر")</f>
        <v/>
      </c>
    </row>
    <row r="1659" ht="15" customHeight="1" s="14">
      <c r="A1659" s="24" t="n">
        <v>9500</v>
      </c>
      <c r="B1659" s="24" t="inlineStr">
        <is>
          <t>زونيسامايد   قرص خوراکي 100 mg - پور سينا</t>
        </is>
      </c>
      <c r="C1659" s="25">
        <f>IF(COUNTIF('کدهای پیام‌داروساز'!$A$2:$A$2442,A1659)&gt;0,"بله","خیر")</f>
        <v/>
      </c>
    </row>
    <row r="1660" ht="15" customHeight="1" s="14">
      <c r="A1660" s="24" t="n">
        <v>9532</v>
      </c>
      <c r="B1660" s="24" t="inlineStr">
        <is>
          <t>آنيفک   کپسول پيوسته رهش خوراکي 200 mg</t>
        </is>
      </c>
      <c r="C1660" s="25">
        <f>IF(COUNTIF('کدهای پیام‌داروساز'!$A$2:$A$2442,A1660)&gt;0,"بله","خیر")</f>
        <v/>
      </c>
    </row>
    <row r="1661" ht="15" customHeight="1" s="14">
      <c r="A1661" s="24" t="n">
        <v>9533</v>
      </c>
      <c r="B1661" s="24" t="inlineStr">
        <is>
          <t>الپرا   قرص خوراکي 1000 mg - اکتوورکو</t>
        </is>
      </c>
      <c r="C1661" s="25">
        <f>IF(COUNTIF('کدهای پیام‌داروساز'!$A$2:$A$2442,A1661)&gt;0,"بله","خیر")</f>
        <v/>
      </c>
    </row>
    <row r="1662" ht="15" customHeight="1" s="14">
      <c r="A1662" s="24" t="n">
        <v>9534</v>
      </c>
      <c r="B1662" s="24" t="inlineStr">
        <is>
          <t>الپرا (لوتيراستام) 750 ميلي گرم</t>
        </is>
      </c>
      <c r="C1662" s="25">
        <f>IF(COUNTIF('کدهای پیام‌داروساز'!$A$2:$A$2442,A1662)&gt;0,"بله","خیر")</f>
        <v/>
      </c>
    </row>
    <row r="1663" ht="15" customHeight="1" s="14">
      <c r="A1663" s="24" t="n">
        <v>9563</v>
      </c>
      <c r="B1663" s="24" t="inlineStr">
        <is>
          <t>هيوميت پي   پودر لئوفيليزه براي تهيه محلول تزريقي پرنترال 500 [iU]/1200 [iU]  [iU] - نوآوران دارويي و سلامت آراد</t>
        </is>
      </c>
      <c r="C1663" s="25">
        <f>IF(COUNTIF('کدهای پیام‌داروساز'!$A$2:$A$2442,A1663)&gt;0,"بله","خیر")</f>
        <v/>
      </c>
    </row>
    <row r="1664" ht="15" customHeight="1" s="14">
      <c r="A1664" s="24" t="n">
        <v>9572</v>
      </c>
      <c r="B1664" s="24" t="inlineStr">
        <is>
          <t>روفولين   تزريقي پرنترال 10 mg/1mL 20 mL - روناک</t>
        </is>
      </c>
      <c r="C1664" s="25">
        <f>IF(COUNTIF('کدهای پیام‌داروساز'!$A$2:$A$2442,A1664)&gt;0,"بله","خیر")</f>
        <v/>
      </c>
    </row>
    <row r="1665" ht="15" customHeight="1" s="14">
      <c r="A1665" s="24" t="n">
        <v>9575</v>
      </c>
      <c r="B1665" s="24" t="inlineStr">
        <is>
          <t>واکسن زنده تخفيف حدت يافته سرخک، اوريون و سرخجه   پودر لئوفيليزه براي تهيه محلول تزريقي پرنترال 2 {dose}  {dose} - موسسه تحقيقات واکسن وسرم سازي رازي</t>
        </is>
      </c>
      <c r="C1665" s="25">
        <f>IF(COUNTIF('کدهای پیام‌داروساز'!$A$2:$A$2442,A1665)&gt;0,"بله","خیر")</f>
        <v/>
      </c>
    </row>
    <row r="1666" ht="15" customHeight="1" s="14">
      <c r="A1666" s="24" t="n">
        <v>9576</v>
      </c>
      <c r="B1666" s="24" t="inlineStr">
        <is>
          <t>اومن کمپلکس   پودر لئوفيليزه براي تهيه محلول تزريقي پرنترال 500 [iU]  [iU] - بهستان پلاسما</t>
        </is>
      </c>
      <c r="C1666" s="25">
        <f>IF(COUNTIF('کدهای پیام‌داروساز'!$A$2:$A$2442,A1666)&gt;0,"بله","خیر")</f>
        <v/>
      </c>
    </row>
    <row r="1667" ht="15" customHeight="1" s="14">
      <c r="A1667" s="24" t="n">
        <v>9586</v>
      </c>
      <c r="B1667" s="24" t="inlineStr">
        <is>
          <t>لووکسين   قرص خوراکي 75 ug - ايران هورمون</t>
        </is>
      </c>
      <c r="C1667" s="25">
        <f>IF(COUNTIF('کدهای پیام‌داروساز'!$A$2:$A$2442,A1667)&gt;0,"بله","خیر")</f>
        <v/>
      </c>
    </row>
    <row r="1668" ht="15" customHeight="1" s="14">
      <c r="A1668" s="24" t="n">
        <v>9604</v>
      </c>
      <c r="B1668" s="24" t="inlineStr">
        <is>
          <t>اوي وريکازول   قرص خوراکي 50 mg - داروسازي آوه سينا</t>
        </is>
      </c>
      <c r="C1668" s="25">
        <f>IF(COUNTIF('کدهای پیام‌داروساز'!$A$2:$A$2442,A1668)&gt;0,"بله","خیر")</f>
        <v/>
      </c>
    </row>
    <row r="1669" ht="15" customHeight="1" s="14">
      <c r="A1669" s="24" t="n">
        <v>9606</v>
      </c>
      <c r="B1669" s="24" t="inlineStr">
        <is>
          <t>دسموپرسين   قرص زيرزباني 60 ug</t>
        </is>
      </c>
      <c r="C1669" s="25">
        <f>IF(COUNTIF('کدهای پیام‌داروساز'!$A$2:$A$2442,A1669)&gt;0,"بله","خیر")</f>
        <v/>
      </c>
    </row>
    <row r="1670" ht="15" customHeight="1" s="14">
      <c r="A1670" s="24" t="n">
        <v>9607</v>
      </c>
      <c r="B1670" s="24" t="inlineStr">
        <is>
          <t>دسموپرسين   قرص زيرزباني 120 ug</t>
        </is>
      </c>
      <c r="C1670" s="25">
        <f>IF(COUNTIF('کدهای پیام‌داروساز'!$A$2:$A$2442,A1670)&gt;0,"بله","خیر")</f>
        <v/>
      </c>
    </row>
    <row r="1671" ht="15" customHeight="1" s="14">
      <c r="A1671" s="24" t="n">
        <v>9619</v>
      </c>
      <c r="B1671" s="24" t="inlineStr">
        <is>
          <t>رواکل کپسول-روا</t>
        </is>
      </c>
      <c r="C1671" s="25">
        <f>IF(COUNTIF('کدهای پیام‌داروساز'!$A$2:$A$2442,A1671)&gt;0,"بله","خیر")</f>
        <v/>
      </c>
    </row>
    <row r="1672" ht="15" customHeight="1" s="14">
      <c r="A1672" s="24" t="n">
        <v>9626</v>
      </c>
      <c r="B1672" s="24" t="inlineStr">
        <is>
          <t>آلدرون (اپلرون) 25 م گ قرص -ابوريحان</t>
        </is>
      </c>
      <c r="C1672" s="25">
        <f>IF(COUNTIF('کدهای پیام‌داروساز'!$A$2:$A$2442,A1672)&gt;0,"بله","خیر")</f>
        <v/>
      </c>
    </row>
    <row r="1673" ht="15" customHeight="1" s="14">
      <c r="A1673" s="24" t="n">
        <v>9637</v>
      </c>
      <c r="B1673" s="24" t="inlineStr">
        <is>
          <t>بايووالزاکس-اچ   قرص خوراکي 80 mg/12.5 mg - باختر بيو شيمي</t>
        </is>
      </c>
      <c r="C1673" s="25">
        <f>IF(COUNTIF('کدهای پیام‌داروساز'!$A$2:$A$2442,A1673)&gt;0,"بله","خیر")</f>
        <v/>
      </c>
    </row>
    <row r="1674" ht="15" customHeight="1" s="14">
      <c r="A1674" s="24" t="n">
        <v>9638</v>
      </c>
      <c r="B1674" s="24" t="inlineStr">
        <is>
          <t>بايووالزاکس-اچ   قرص خوراکي 160 mg/25 mg - باختر بيو شيمي</t>
        </is>
      </c>
      <c r="C1674" s="25">
        <f>IF(COUNTIF('کدهای پیام‌داروساز'!$A$2:$A$2442,A1674)&gt;0,"بله","خیر")</f>
        <v/>
      </c>
    </row>
    <row r="1675" ht="15" customHeight="1" s="14">
      <c r="A1675" s="24" t="n">
        <v>9640</v>
      </c>
      <c r="B1675" s="24" t="inlineStr">
        <is>
          <t>ستيزوکس   قرص خوراکي 5 mg - داروسازي آريا</t>
        </is>
      </c>
      <c r="C1675" s="25">
        <f>IF(COUNTIF('کدهای پیام‌داروساز'!$A$2:$A$2442,A1675)&gt;0,"بله","خیر")</f>
        <v/>
      </c>
    </row>
    <row r="1676" ht="15" customHeight="1" s="14">
      <c r="A1676" s="24" t="n">
        <v>9642</v>
      </c>
      <c r="B1676" s="24" t="inlineStr">
        <is>
          <t>بايووالزاکس-اچ   قرص خوراکي 160 mg/12.5 mg - باختر بيو شيمي</t>
        </is>
      </c>
      <c r="C1676" s="25">
        <f>IF(COUNTIF('کدهای پیام‌داروساز'!$A$2:$A$2442,A1676)&gt;0,"بله","خیر")</f>
        <v/>
      </c>
    </row>
    <row r="1677" ht="15" customHeight="1" s="14">
      <c r="A1677" s="24" t="n">
        <v>9644</v>
      </c>
      <c r="B1677" s="24" t="inlineStr">
        <is>
          <t xml:space="preserve">آلدرون 50 م گ ( اپلرون ) قرص </t>
        </is>
      </c>
      <c r="C1677" s="25">
        <f>IF(COUNTIF('کدهای پیام‌داروساز'!$A$2:$A$2442,A1677)&gt;0,"بله","خیر")</f>
        <v/>
      </c>
    </row>
    <row r="1678" ht="15" customHeight="1" s="14">
      <c r="A1678" s="24" t="n">
        <v>9646</v>
      </c>
      <c r="B1678" s="24" t="inlineStr">
        <is>
          <t>رانيتيدين   قرص خوراکي 300 mg - لابراتوارهاي شهردارو</t>
        </is>
      </c>
      <c r="C1678" s="25">
        <f>IF(COUNTIF('کدهای پیام‌داروساز'!$A$2:$A$2442,A1678)&gt;0,"بله","خیر")</f>
        <v/>
      </c>
    </row>
    <row r="1679" ht="15" customHeight="1" s="14">
      <c r="A1679" s="24" t="n">
        <v>9709</v>
      </c>
      <c r="B1679" s="24" t="inlineStr">
        <is>
          <t>ميزوتک   قرص خوراکي 100 ug - داروسازي ابوريحان</t>
        </is>
      </c>
      <c r="C1679" s="25">
        <f>IF(COUNTIF('کدهای پیام‌داروساز'!$A$2:$A$2442,A1679)&gt;0,"بله","خیر")</f>
        <v/>
      </c>
    </row>
    <row r="1680" ht="15" customHeight="1" s="14">
      <c r="A1680" s="24" t="n">
        <v>9747</v>
      </c>
      <c r="B1680" s="24" t="inlineStr">
        <is>
          <t>تارگوسيد   پودر براي تهيه محلول تزريقي پرنترال 200 mg  mg - کوبل دارو</t>
        </is>
      </c>
      <c r="C1680" s="25">
        <f>IF(COUNTIF('کدهای پیام‌داروساز'!$A$2:$A$2442,A1680)&gt;0,"بله","خیر")</f>
        <v/>
      </c>
    </row>
    <row r="1681" ht="15" customHeight="1" s="14">
      <c r="A1681" s="24" t="n">
        <v>9753</v>
      </c>
      <c r="B1681" s="24" t="inlineStr">
        <is>
          <t>اويسانيب   کپسول خوراکي 25 mg - داروسازي آوه سينا</t>
        </is>
      </c>
      <c r="C1681" s="25">
        <f>IF(COUNTIF('کدهای پیام‌داروساز'!$A$2:$A$2442,A1681)&gt;0,"بله","خیر")</f>
        <v/>
      </c>
    </row>
    <row r="1682" ht="15" customHeight="1" s="14">
      <c r="A1682" s="24" t="n">
        <v>9801</v>
      </c>
      <c r="B1682" s="24" t="inlineStr">
        <is>
          <t>آدوان   قرص خوراکي 40 mg - داروسازي ابوريحان</t>
        </is>
      </c>
      <c r="C1682" s="25">
        <f>IF(COUNTIF('کدهای پیام‌داروساز'!$A$2:$A$2442,A1682)&gt;0,"بله","خیر")</f>
        <v/>
      </c>
    </row>
    <row r="1683" ht="15" customHeight="1" s="14">
      <c r="A1683" s="24" t="n">
        <v>9805</v>
      </c>
      <c r="B1683" s="24" t="inlineStr">
        <is>
          <t>آمبتايين   پودر براي تهيه محلول خوراکي 1 g/1g 100 g - دارويي بهين پاد</t>
        </is>
      </c>
      <c r="C1683" s="25">
        <f>IF(COUNTIF('کدهای پیام‌داروساز'!$A$2:$A$2442,A1683)&gt;0,"بله","خیر")</f>
        <v/>
      </c>
    </row>
    <row r="1684" ht="15" customHeight="1" s="14">
      <c r="A1684" s="24" t="n">
        <v>9887</v>
      </c>
      <c r="B1684" s="24" t="inlineStr">
        <is>
          <t>آپراکلونيدين   محلول، قطره چشمي 5 mg/1mL 5 mL - بازرگاني سها کيش</t>
        </is>
      </c>
      <c r="C1684" s="25">
        <f>IF(COUNTIF('کدهای پیام‌داروساز'!$A$2:$A$2442,A1684)&gt;0,"بله","خیر")</f>
        <v/>
      </c>
    </row>
    <row r="1685" ht="15" customHeight="1" s="14">
      <c r="A1685" s="24" t="n">
        <v>9897</v>
      </c>
      <c r="B1685" s="24" t="inlineStr">
        <is>
          <t>آستالين رسپيول   محلول استنشاقي 2.5 mg/2.5mL  mg</t>
        </is>
      </c>
      <c r="C1685" s="25">
        <f>IF(COUNTIF('کدهای پیام‌داروساز'!$A$2:$A$2442,A1685)&gt;0,"بله","خیر")</f>
        <v/>
      </c>
    </row>
    <row r="1686" ht="15" customHeight="1" s="14">
      <c r="A1686" s="24" t="n">
        <v>9903</v>
      </c>
      <c r="B1686" s="24" t="inlineStr">
        <is>
          <t>پسيليوم با طعم موز ساشه ملين گياهي - ايران داروک</t>
        </is>
      </c>
      <c r="C1686" s="25">
        <f>IF(COUNTIF('کدهای پیام‌داروساز'!$A$2:$A$2442,A1686)&gt;0,"بله","خیر")</f>
        <v/>
      </c>
    </row>
    <row r="1687" ht="15" customHeight="1" s="14">
      <c r="A1687" s="24" t="n">
        <v>9916</v>
      </c>
      <c r="B1687" s="24" t="inlineStr">
        <is>
          <t>آساکول   قرص انتريک کوتد خوراکي 800 mg</t>
        </is>
      </c>
      <c r="C1687" s="25">
        <f>IF(COUNTIF('کدهای پیام‌داروساز'!$A$2:$A$2442,A1687)&gt;0,"بله","خیر")</f>
        <v/>
      </c>
    </row>
    <row r="1688" ht="15" customHeight="1" s="14">
      <c r="A1688" s="24" t="n">
        <v>9939</v>
      </c>
      <c r="B1688" s="24" t="inlineStr">
        <is>
          <t>آيوپاميدول   تزريقي پرنترال 300 mg/1mL 50 mL - داروسازي شهيد قاضي</t>
        </is>
      </c>
      <c r="C1688" s="25">
        <f>IF(COUNTIF('کدهای پیام‌داروساز'!$A$2:$A$2442,A1688)&gt;0,"بله","خیر")</f>
        <v/>
      </c>
    </row>
    <row r="1689" ht="15" customHeight="1" s="14">
      <c r="A1689" s="24" t="n">
        <v>9940</v>
      </c>
      <c r="B1689" s="24" t="inlineStr">
        <is>
          <t>آيوپاميدول   تزريقي پرنترال 370 mg/1mL 50 mL - داروسازي شهيد قاضي</t>
        </is>
      </c>
      <c r="C1689" s="25">
        <f>IF(COUNTIF('کدهای پیام‌داروساز'!$A$2:$A$2442,A1689)&gt;0,"بله","خیر")</f>
        <v/>
      </c>
    </row>
    <row r="1690" ht="15" customHeight="1" s="14">
      <c r="A1690" s="24" t="n">
        <v>9941</v>
      </c>
      <c r="B1690" s="24" t="inlineStr">
        <is>
          <t>اسکن لوکس   تزريقي پرنترال 300 mg/1mL 100 g - ان بي اس کيش</t>
        </is>
      </c>
      <c r="C1690" s="25">
        <f>IF(COUNTIF('کدهای پیام‌داروساز'!$A$2:$A$2442,A1690)&gt;0,"بله","خیر")</f>
        <v/>
      </c>
    </row>
    <row r="1691" ht="15" customHeight="1" s="14">
      <c r="A1691" s="24" t="n">
        <v>9942</v>
      </c>
      <c r="B1691" s="24" t="inlineStr">
        <is>
          <t>آيوپاميدول   تزريقي پرنترال 370 mg/1mL 100 mL - داروسازي شهيد قاضي</t>
        </is>
      </c>
      <c r="C1691" s="25">
        <f>IF(COUNTIF('کدهای پیام‌داروساز'!$A$2:$A$2442,A1691)&gt;0,"بله","خیر")</f>
        <v/>
      </c>
    </row>
    <row r="1692" ht="15" customHeight="1" s="14">
      <c r="A1692" s="24" t="n">
        <v>9946</v>
      </c>
      <c r="B1692" s="24" t="inlineStr">
        <is>
          <t>افابايووير   قرص خوراکي 600 mg - باختر بيو شيمي</t>
        </is>
      </c>
      <c r="C1692" s="25">
        <f>IF(COUNTIF('کدهای پیام‌داروساز'!$A$2:$A$2442,A1692)&gt;0,"بله","خیر")</f>
        <v/>
      </c>
    </row>
    <row r="1693" ht="15" customHeight="1" s="14">
      <c r="A1693" s="24" t="n">
        <v>9947</v>
      </c>
      <c r="B1693" s="24" t="inlineStr">
        <is>
          <t>افاويرنز   کپسول خوراکي 50 mg - ماه داروي حکيم</t>
        </is>
      </c>
      <c r="C1693" s="25">
        <f>IF(COUNTIF('کدهای پیام‌داروساز'!$A$2:$A$2442,A1693)&gt;0,"بله","خیر")</f>
        <v/>
      </c>
    </row>
    <row r="1694" ht="15" customHeight="1" s="14">
      <c r="A1694" s="24" t="n">
        <v>9949</v>
      </c>
      <c r="B1694" s="24" t="inlineStr">
        <is>
          <t>افاويرنز   کپسول خوراکي 200 mg - بهر سان فرتاک دارو</t>
        </is>
      </c>
      <c r="C1694" s="25">
        <f>IF(COUNTIF('کدهای پیام‌داروساز'!$A$2:$A$2442,A1694)&gt;0,"بله","خیر")</f>
        <v/>
      </c>
    </row>
    <row r="1695" ht="15" customHeight="1" s="14">
      <c r="A1695" s="24" t="n">
        <v>9988</v>
      </c>
      <c r="B1695" s="24" t="inlineStr">
        <is>
          <t>تايسونا   کپسول خوراکي 12.5 mg - نانو فناوران داروئي الوند</t>
        </is>
      </c>
      <c r="C1695" s="25">
        <f>IF(COUNTIF('کدهای پیام‌داروساز'!$A$2:$A$2442,A1695)&gt;0,"بله","خیر")</f>
        <v/>
      </c>
    </row>
    <row r="1696" ht="15" customHeight="1" s="14">
      <c r="A1696" s="24" t="n">
        <v>10006</v>
      </c>
      <c r="B1696" s="24" t="inlineStr">
        <is>
          <t>پرووکولين   اينهالر استنشاقي 5 mg/1mL 20 mg - فراسامهر</t>
        </is>
      </c>
      <c r="C1696" s="25">
        <f>IF(COUNTIF('کدهای پیام‌داروساز'!$A$2:$A$2442,A1696)&gt;0,"بله","خیر")</f>
        <v/>
      </c>
    </row>
    <row r="1697" ht="15" customHeight="1" s="14">
      <c r="A1697" s="24" t="n">
        <v>10014</v>
      </c>
      <c r="B1697" s="24" t="inlineStr">
        <is>
          <t>مونونيترال 50  (ايزوسوربايد مونونيترات) کپسول - البرز دارو</t>
        </is>
      </c>
      <c r="C1697" s="25">
        <f>IF(COUNTIF('کدهای پیام‌داروساز'!$A$2:$A$2442,A1697)&gt;0,"بله","خیر")</f>
        <v/>
      </c>
    </row>
    <row r="1698" ht="15" customHeight="1" s="14">
      <c r="A1698" s="24" t="n">
        <v>10016</v>
      </c>
      <c r="B1698" s="24" t="inlineStr">
        <is>
          <t>افکيور   قرص خوراکي 200 mg - يارا طب خاورميانه</t>
        </is>
      </c>
      <c r="C1698" s="25">
        <f>IF(COUNTIF('کدهای پیام‌داروساز'!$A$2:$A$2442,A1698)&gt;0,"بله","خیر")</f>
        <v/>
      </c>
    </row>
    <row r="1699" ht="15" customHeight="1" s="14">
      <c r="A1699" s="24" t="n">
        <v>10018</v>
      </c>
      <c r="B1699" s="24" t="inlineStr">
        <is>
          <t>متوترکسات   پودر لئوفيليزه براي تهيه محلول تزريقي پرنترال 5 mg  mg - يارا طب خاورميانه</t>
        </is>
      </c>
      <c r="C1699" s="25">
        <f>IF(COUNTIF('کدهای پیام‌داروساز'!$A$2:$A$2442,A1699)&gt;0,"بله","خیر")</f>
        <v/>
      </c>
    </row>
    <row r="1700" ht="15" customHeight="1" s="14">
      <c r="A1700" s="24" t="n">
        <v>10019</v>
      </c>
      <c r="B1700" s="24" t="inlineStr">
        <is>
          <t>پرامي پکسول-حکيم   قرص خوراکي 0.35 mg - دارو سازي حکيم</t>
        </is>
      </c>
      <c r="C1700" s="25">
        <f>IF(COUNTIF('کدهای پیام‌داروساز'!$A$2:$A$2442,A1700)&gt;0,"بله","خیر")</f>
        <v/>
      </c>
    </row>
    <row r="1701" ht="15" customHeight="1" s="14">
      <c r="A1701" s="24" t="n">
        <v>10029</v>
      </c>
      <c r="B1701" s="24" t="inlineStr">
        <is>
          <t>پنتوبست   کپسول انتريک کوتد خوراکي 40 mg - دارو سازي تهران دارو</t>
        </is>
      </c>
      <c r="C1701" s="25">
        <f>IF(COUNTIF('کدهای پیام‌داروساز'!$A$2:$A$2442,A1701)&gt;0,"بله","خیر")</f>
        <v/>
      </c>
    </row>
    <row r="1702" ht="15" customHeight="1" s="14">
      <c r="A1702" s="24" t="n">
        <v>10031</v>
      </c>
      <c r="B1702" s="24" t="inlineStr">
        <is>
          <t>پنتوبست   کپسول انتريک کوتد خوراکي 20 mg - دارو سازي تهران دارو</t>
        </is>
      </c>
      <c r="C1702" s="25">
        <f>IF(COUNTIF('کدهای پیام‌داروساز'!$A$2:$A$2442,A1702)&gt;0,"بله","خیر")</f>
        <v/>
      </c>
    </row>
    <row r="1703" ht="15" customHeight="1" s="14">
      <c r="A1703" s="24" t="n">
        <v>10046</v>
      </c>
      <c r="B1703" s="24" t="inlineStr">
        <is>
          <t>آکنالن   کرم موضعي 0.1 % 30 g - داروسازي ابوريحان</t>
        </is>
      </c>
      <c r="C1703" s="25">
        <f>IF(COUNTIF('کدهای پیام‌داروساز'!$A$2:$A$2442,A1703)&gt;0,"بله","خیر")</f>
        <v/>
      </c>
    </row>
    <row r="1704" ht="15" customHeight="1" s="14">
      <c r="A1704" s="24" t="n">
        <v>10058</v>
      </c>
      <c r="B1704" s="24" t="inlineStr">
        <is>
          <t>لراوا   قرص خوراکي 10 mg - آرنا حيات دانش</t>
        </is>
      </c>
      <c r="C1704" s="25">
        <f>IF(COUNTIF('کدهای پیام‌داروساز'!$A$2:$A$2442,A1704)&gt;0,"بله","خیر")</f>
        <v/>
      </c>
    </row>
    <row r="1705" ht="15" customHeight="1" s="14">
      <c r="A1705" s="24" t="n">
        <v>10062</v>
      </c>
      <c r="B1705" s="24" t="inlineStr">
        <is>
          <t>بايودوپاکس-بي   قرص خوراکي 50 mg/12.5 mg - باختر بيو شيمي</t>
        </is>
      </c>
      <c r="C1705" s="25">
        <f>IF(COUNTIF('کدهای پیام‌داروساز'!$A$2:$A$2442,A1705)&gt;0,"بله","خیر")</f>
        <v/>
      </c>
    </row>
    <row r="1706" ht="15" customHeight="1" s="14">
      <c r="A1706" s="24" t="n">
        <v>10064</v>
      </c>
      <c r="B1706" s="24" t="inlineStr">
        <is>
          <t>آوي ويرال   قرص خوراکي 1000 mg - داروسازي آوه سينا</t>
        </is>
      </c>
      <c r="C1706" s="25">
        <f>IF(COUNTIF('کدهای پیام‌داروساز'!$A$2:$A$2442,A1706)&gt;0,"بله","خیر")</f>
        <v/>
      </c>
    </row>
    <row r="1707" ht="15" customHeight="1" s="14">
      <c r="A1707" s="24" t="n">
        <v>10083</v>
      </c>
      <c r="B1707" s="24" t="inlineStr">
        <is>
          <t>دکستروز   محلول تزريقي داخل وريدي 10 % 250 mL - داروسازي شهيد قاضي</t>
        </is>
      </c>
      <c r="C1707" s="25">
        <f>IF(COUNTIF('کدهای پیام‌داروساز'!$A$2:$A$2442,A1707)&gt;0,"بله","خیر")</f>
        <v/>
      </c>
    </row>
    <row r="1708" ht="15" customHeight="1" s="14">
      <c r="A1708" s="24" t="n">
        <v>10097</v>
      </c>
      <c r="B1708" s="24" t="inlineStr">
        <is>
          <t>وارفارين   قرص خوراکي 3 mg - کيميا آرا هرم</t>
        </is>
      </c>
      <c r="C1708" s="25">
        <f>IF(COUNTIF('کدهای پیام‌داروساز'!$A$2:$A$2442,A1708)&gt;0,"بله","خیر")</f>
        <v/>
      </c>
    </row>
    <row r="1709" ht="15" customHeight="1" s="14">
      <c r="A1709" s="24" t="n">
        <v>10141</v>
      </c>
      <c r="B1709" s="24" t="inlineStr">
        <is>
          <t>فنونيز   اسپري از راه بيني 0.5 % 20 mL - داروسازي آني درمان</t>
        </is>
      </c>
      <c r="C1709" s="25">
        <f>IF(COUNTIF('کدهای پیام‌داروساز'!$A$2:$A$2442,A1709)&gt;0,"بله","خیر")</f>
        <v/>
      </c>
    </row>
    <row r="1710" ht="15" customHeight="1" s="14">
      <c r="A1710" s="24" t="n">
        <v>10188</v>
      </c>
      <c r="B1710" s="24" t="inlineStr">
        <is>
          <t>رانيتيدين   محلول خوراکي 75 mg/5mL 240 mL</t>
        </is>
      </c>
      <c r="C1710" s="25">
        <f>IF(COUNTIF('کدهای پیام‌داروساز'!$A$2:$A$2442,A1710)&gt;0,"بله","خیر")</f>
        <v/>
      </c>
    </row>
    <row r="1711" ht="15" customHeight="1" s="14">
      <c r="A1711" s="24" t="n">
        <v>10214</v>
      </c>
      <c r="B1711" s="24" t="inlineStr">
        <is>
          <t>سوفيجکت   تزريقي پرنترال 5 ug/1mL 2 mL - داروسازي ابوريحان</t>
        </is>
      </c>
      <c r="C1711" s="25">
        <f>IF(COUNTIF('کدهای پیام‌داروساز'!$A$2:$A$2442,A1711)&gt;0,"بله","خیر")</f>
        <v/>
      </c>
    </row>
    <row r="1712" ht="15" customHeight="1" s="14">
      <c r="A1712" s="24" t="n">
        <v>10216</v>
      </c>
      <c r="B1712" s="24" t="inlineStr">
        <is>
          <t>سوفيجکت   تزريقي پرنترال 5 ug/1mL 5 mL - داروسازي ابوريحان</t>
        </is>
      </c>
      <c r="C1712" s="25">
        <f>IF(COUNTIF('کدهای پیام‌داروساز'!$A$2:$A$2442,A1712)&gt;0,"بله","خیر")</f>
        <v/>
      </c>
    </row>
    <row r="1713" ht="15" customHeight="1" s="14">
      <c r="A1713" s="24" t="n">
        <v>10284</v>
      </c>
      <c r="B1713" s="24" t="inlineStr">
        <is>
          <t>آفي کلوزون   لوسيون موضعي 1 %/0.05 % 30 mL - ايران آوند فر</t>
        </is>
      </c>
      <c r="C1713" s="25">
        <f>IF(COUNTIF('کدهای پیام‌داروساز'!$A$2:$A$2442,A1713)&gt;0,"بله","خیر")</f>
        <v/>
      </c>
    </row>
    <row r="1714" ht="15" customHeight="1" s="14">
      <c r="A1714" s="24" t="n">
        <v>10309</v>
      </c>
      <c r="B1714" s="24" t="inlineStr">
        <is>
          <t>پاپيلوگارد 5/. م ل واکسن - نويان پژوهان زيست دارو</t>
        </is>
      </c>
      <c r="C1714" s="25">
        <f>IF(COUNTIF('کدهای پیام‌داروساز'!$A$2:$A$2442,A1714)&gt;0,"بله","خیر")</f>
        <v/>
      </c>
    </row>
    <row r="1715" ht="15" customHeight="1" s="14">
      <c r="A1715" s="24" t="n">
        <v>10319</v>
      </c>
      <c r="B1715" s="24" t="inlineStr">
        <is>
          <t>پاپيلوگارد (واکسن ويروس پاپيلوماانساني) 4 ظرفيتي 0.5 ميلي ليترتزريقى نويان پژوه زيست دارو</t>
        </is>
      </c>
      <c r="C1715" s="25">
        <f>IF(COUNTIF('کدهای پیام‌داروساز'!$A$2:$A$2442,A1715)&gt;0,"بله","خیر")</f>
        <v/>
      </c>
    </row>
    <row r="1716" ht="15" customHeight="1" s="14">
      <c r="A1716" s="24" t="n">
        <v>10392</v>
      </c>
      <c r="B1716" s="24" t="inlineStr">
        <is>
          <t>آرپيپرازول 5 م گ قرص - امين</t>
        </is>
      </c>
      <c r="C1716" s="25">
        <f>IF(COUNTIF('کدهای پیام‌داروساز'!$A$2:$A$2442,A1716)&gt;0,"بله","خیر")</f>
        <v/>
      </c>
    </row>
    <row r="1717" ht="15" customHeight="1" s="14">
      <c r="A1717" s="24" t="n">
        <v>10427</v>
      </c>
      <c r="B1717" s="24" t="inlineStr">
        <is>
          <t>بنوروويت ( ويتامين ب 1/ب6/ب12)  آمپول - ايران هورمون</t>
        </is>
      </c>
      <c r="C1717" s="25">
        <f>IF(COUNTIF('کدهای پیام‌داروساز'!$A$2:$A$2442,A1717)&gt;0,"بله","خیر")</f>
        <v/>
      </c>
    </row>
    <row r="1718" ht="15" customHeight="1" s="14">
      <c r="A1718" s="24" t="n">
        <v>10484</v>
      </c>
      <c r="B1718" s="24" t="inlineStr">
        <is>
          <t>آدرنالين رقيق شده   تزريقي پرنترال 0.1 mg/1mL 10 mL - اوزان</t>
        </is>
      </c>
      <c r="C1718" s="25">
        <f>IF(COUNTIF('کدهای پیام‌داروساز'!$A$2:$A$2442,A1718)&gt;0,"بله","خیر")</f>
        <v/>
      </c>
    </row>
    <row r="1719" ht="15" customHeight="1" s="14">
      <c r="A1719" s="24" t="n">
        <v>10488</v>
      </c>
      <c r="B1719" s="24" t="inlineStr">
        <is>
          <t>تارگوسيد   پودر براي تهيه محلول تزريقي پرنترال 400 mg  mg - کوبل دارو</t>
        </is>
      </c>
      <c r="C1719" s="25">
        <f>IF(COUNTIF('کدهای پیام‌داروساز'!$A$2:$A$2442,A1719)&gt;0,"بله","خیر")</f>
        <v/>
      </c>
    </row>
    <row r="1720" ht="15" customHeight="1" s="14">
      <c r="A1720" s="24" t="n">
        <v>10541</v>
      </c>
      <c r="B1720" s="24" t="inlineStr">
        <is>
          <t>دايمتيکون   کپسول حاوي مايع خوراکي 125 mg</t>
        </is>
      </c>
      <c r="C1720" s="25">
        <f>IF(COUNTIF('کدهای پیام‌داروساز'!$A$2:$A$2442,A1720)&gt;0,"بله","خیر")</f>
        <v/>
      </c>
    </row>
    <row r="1721" ht="15" customHeight="1" s="14">
      <c r="A1721" s="24" t="n">
        <v>10635</v>
      </c>
      <c r="B1721" s="24" t="inlineStr">
        <is>
          <t>اکسازار   قرص خوراکي 5 mg - آذر زيست دارو</t>
        </is>
      </c>
      <c r="C1721" s="25">
        <f>IF(COUNTIF('کدهای پیام‌داروساز'!$A$2:$A$2442,A1721)&gt;0,"بله","خیر")</f>
        <v/>
      </c>
    </row>
    <row r="1722" ht="15" customHeight="1" s="14">
      <c r="A1722" s="24" t="n">
        <v>10653</v>
      </c>
      <c r="B1722" s="24" t="inlineStr">
        <is>
          <t>پسيليوم ساشه - دينه</t>
        </is>
      </c>
      <c r="C1722" s="25">
        <f>IF(COUNTIF('کدهای پیام‌داروساز'!$A$2:$A$2442,A1722)&gt;0,"بله","خیر")</f>
        <v/>
      </c>
    </row>
    <row r="1723" ht="15" customHeight="1" s="14">
      <c r="A1723" s="24" t="n">
        <v>10665</v>
      </c>
      <c r="B1723" s="24" t="inlineStr">
        <is>
          <t>آملوديپين   قرص خوراکي 2.5 mg - داروسازي جالينوس</t>
        </is>
      </c>
      <c r="C1723" s="25">
        <f>IF(COUNTIF('کدهای پیام‌داروساز'!$A$2:$A$2442,A1723)&gt;0,"بله","خیر")</f>
        <v/>
      </c>
    </row>
    <row r="1724" ht="15" customHeight="1" s="14">
      <c r="A1724" s="24" t="n">
        <v>10666</v>
      </c>
      <c r="B1724" s="24" t="inlineStr">
        <is>
          <t>انالاپريل-عبيدي   قرص خوراکي 10 mg - داروسازي دکتر عبيدي</t>
        </is>
      </c>
      <c r="C1724" s="25">
        <f>IF(COUNTIF('کدهای پیام‌داروساز'!$A$2:$A$2442,A1724)&gt;0,"بله","خیر")</f>
        <v/>
      </c>
    </row>
    <row r="1725" ht="15" customHeight="1" s="14">
      <c r="A1725" s="24" t="n">
        <v>10674</v>
      </c>
      <c r="B1725" s="24" t="inlineStr">
        <is>
          <t>وارنيکلين   قرص خوراکي 1 mg - داروسازي کوثر</t>
        </is>
      </c>
      <c r="C1725" s="25">
        <f>IF(COUNTIF('کدهای پیام‌داروساز'!$A$2:$A$2442,A1725)&gt;0,"بله","خیر")</f>
        <v/>
      </c>
    </row>
    <row r="1726" ht="15" customHeight="1" s="14">
      <c r="A1726" s="24" t="n">
        <v>10675</v>
      </c>
      <c r="B1726" s="24" t="inlineStr">
        <is>
          <t>وارنيکلين   قرص خوراکي 0.5 mg - لابراتوارهاي شهردارو</t>
        </is>
      </c>
      <c r="C1726" s="25">
        <f>IF(COUNTIF('کدهای پیام‌داروساز'!$A$2:$A$2442,A1726)&gt;0,"بله","خیر")</f>
        <v/>
      </c>
    </row>
    <row r="1727" ht="15" customHeight="1" s="14">
      <c r="A1727" s="24" t="n">
        <v>10683</v>
      </c>
      <c r="B1727" s="24" t="inlineStr">
        <is>
          <t>اسويمر   محلول تزريقي پرنترال 20 mg/1mL  mL - دارو سازي اسوه</t>
        </is>
      </c>
      <c r="C1727" s="25">
        <f>IF(COUNTIF('کدهای پیام‌داروساز'!$A$2:$A$2442,A1727)&gt;0,"بله","خیر")</f>
        <v/>
      </c>
    </row>
    <row r="1728" ht="15" customHeight="1" s="14">
      <c r="A1728" s="24" t="n">
        <v>10691</v>
      </c>
      <c r="B1728" s="24" t="inlineStr">
        <is>
          <t>آملوتد   قرص خوراکي 10 mg - دارو سازي تهران دارو</t>
        </is>
      </c>
      <c r="C1728" s="25">
        <f>IF(COUNTIF('کدهای پیام‌داروساز'!$A$2:$A$2442,A1728)&gt;0,"بله","خیر")</f>
        <v/>
      </c>
    </row>
    <row r="1729" ht="15" customHeight="1" s="14">
      <c r="A1729" s="24" t="n">
        <v>10726</v>
      </c>
      <c r="B1729" s="24" t="inlineStr">
        <is>
          <t>اپتي مکس   اسپري موضعي 10 mg/1{dose} 65 mL - آراسته گستران پاسارگاد</t>
        </is>
      </c>
      <c r="C1729" s="25">
        <f>IF(COUNTIF('کدهای پیام‌داروساز'!$A$2:$A$2442,A1729)&gt;0,"بله","خیر")</f>
        <v/>
      </c>
    </row>
    <row r="1730" ht="15" customHeight="1" s="14">
      <c r="A1730" s="24" t="n">
        <v>10730</v>
      </c>
      <c r="B1730" s="24" t="inlineStr">
        <is>
          <t>بي دي کوليست   پودر براي تهيه محلول تزريقي پرنترال 1000000 [iU]  [iU] - ليو آناهيتا فارمد</t>
        </is>
      </c>
      <c r="C1730" s="25">
        <f>IF(COUNTIF('کدهای پیام‌داروساز'!$A$2:$A$2442,A1730)&gt;0,"بله","خیر")</f>
        <v/>
      </c>
    </row>
    <row r="1731" ht="15" customHeight="1" s="14">
      <c r="A1731" s="24" t="n">
        <v>10757</v>
      </c>
      <c r="B1731" s="24" t="inlineStr">
        <is>
          <t>اينفيو-لوکساسين   محلول تزريقي داخل وريدي 2 mg/1mL 100 mL - داروسازي شهيد قاضي</t>
        </is>
      </c>
      <c r="C1731" s="25">
        <f>IF(COUNTIF('کدهای پیام‌داروساز'!$A$2:$A$2442,A1731)&gt;0,"بله","خیر")</f>
        <v/>
      </c>
    </row>
    <row r="1732" ht="15" customHeight="1" s="14">
      <c r="A1732" s="24" t="n">
        <v>10764</v>
      </c>
      <c r="B1732" s="24" t="inlineStr">
        <is>
          <t>آب سترون براي تزريق   تزريقي پرنترال 1000 mL  mL - فرآورده هاي تزريقي و دارويي ايران</t>
        </is>
      </c>
      <c r="C1732" s="25">
        <f>IF(COUNTIF('کدهای پیام‌داروساز'!$A$2:$A$2442,A1732)&gt;0,"بله","خیر")</f>
        <v/>
      </c>
    </row>
    <row r="1733" ht="15" customHeight="1" s="14">
      <c r="A1733" s="24" t="n">
        <v>10765</v>
      </c>
      <c r="B1733" s="24" t="inlineStr">
        <is>
          <t>آب سترون براي تزريق   تزريقي پرنترال 500 mL  mL - فرآورده هاي تزريقي و دارويي ايران</t>
        </is>
      </c>
      <c r="C1733" s="25">
        <f>IF(COUNTIF('کدهای پیام‌داروساز'!$A$2:$A$2442,A1733)&gt;0,"بله","خیر")</f>
        <v/>
      </c>
    </row>
    <row r="1734" ht="15" customHeight="1" s="14">
      <c r="A1734" s="24" t="n">
        <v>10783</v>
      </c>
      <c r="B1734" s="24" t="inlineStr">
        <is>
          <t>ميگراجکت   تزريقي پرنترال 12 mg/1mL 0.5 mL - البرز دارو</t>
        </is>
      </c>
      <c r="C1734" s="25">
        <f>IF(COUNTIF('کدهای پیام‌داروساز'!$A$2:$A$2442,A1734)&gt;0,"بله","خیر")</f>
        <v/>
      </c>
    </row>
    <row r="1735" ht="15" customHeight="1" s="14">
      <c r="A1735" s="24" t="n">
        <v>10786</v>
      </c>
      <c r="B1735" s="24" t="inlineStr">
        <is>
          <t>لووريس   پودر براي تهيه محلول تزريقي پرنترال 75 [iU]  [iU] - اکتوورکو</t>
        </is>
      </c>
      <c r="C1735" s="25">
        <f>IF(COUNTIF('کدهای پیام‌داروساز'!$A$2:$A$2442,A1735)&gt;0,"بله","خیر")</f>
        <v/>
      </c>
    </row>
    <row r="1736" ht="15" customHeight="1" s="14">
      <c r="A1736" s="24" t="n">
        <v>10792</v>
      </c>
      <c r="B1736" s="24" t="inlineStr">
        <is>
          <t>ممورال 30 عدد کپسول گل دارو</t>
        </is>
      </c>
      <c r="C1736" s="25">
        <f>IF(COUNTIF('کدهای پیام‌داروساز'!$A$2:$A$2442,A1736)&gt;0,"بله","خیر")</f>
        <v/>
      </c>
    </row>
    <row r="1737" ht="15" customHeight="1" s="14">
      <c r="A1737" s="24" t="n">
        <v>10915</v>
      </c>
      <c r="B1737" s="24" t="inlineStr">
        <is>
          <t>METFORMIN 1000 MG TAB   قرص خوراکي 1000 mg</t>
        </is>
      </c>
      <c r="C1737" s="25">
        <f>IF(COUNTIF('کدهای پیام‌داروساز'!$A$2:$A$2442,A1737)&gt;0,"بله","خیر")</f>
        <v/>
      </c>
    </row>
    <row r="1738" ht="15" customHeight="1" s="14">
      <c r="A1738" s="24" t="n">
        <v>10932</v>
      </c>
      <c r="B1738" s="24" t="inlineStr">
        <is>
          <t>آني ليپ   کپسول خوراکي 100 mg</t>
        </is>
      </c>
      <c r="C1738" s="25">
        <f>IF(COUNTIF('کدهای پیام‌داروساز'!$A$2:$A$2442,A1738)&gt;0,"بله","خیر")</f>
        <v/>
      </c>
    </row>
    <row r="1739" ht="15" customHeight="1" s="14">
      <c r="A1739" s="24" t="n">
        <v>11020</v>
      </c>
      <c r="B1739" s="24" t="inlineStr">
        <is>
          <t>بروين   قرص خوراکي 10 mg - روناک</t>
        </is>
      </c>
      <c r="C1739" s="25">
        <f>IF(COUNTIF('کدهای پیام‌داروساز'!$A$2:$A$2442,A1739)&gt;0,"بله","خیر")</f>
        <v/>
      </c>
    </row>
    <row r="1740" ht="15" customHeight="1" s="14">
      <c r="A1740" s="24" t="n">
        <v>11045</v>
      </c>
      <c r="B1740" s="24" t="inlineStr">
        <is>
          <t>اگزاکلد روز و شب   قرص خوراکي 325 mg/15 mg/5 mg - داروسازي اکسير</t>
        </is>
      </c>
      <c r="C1740" s="25">
        <f>IF(COUNTIF('کدهای پیام‌داروساز'!$A$2:$A$2442,A1740)&gt;0,"بله","خیر")</f>
        <v/>
      </c>
    </row>
    <row r="1741" ht="15" customHeight="1" s="14">
      <c r="A1741" s="24" t="n">
        <v>11114</v>
      </c>
      <c r="B1741" s="24" t="inlineStr">
        <is>
          <t>آتيموس   آئروسل با دوز اندازه گيري شده استنشاقي 12 ug/1{dose} 100 {Puff} - درمان ياب دارو</t>
        </is>
      </c>
      <c r="C1741" s="25">
        <f>IF(COUNTIF('کدهای پیام‌داروساز'!$A$2:$A$2442,A1741)&gt;0,"بله","خیر")</f>
        <v/>
      </c>
    </row>
    <row r="1742" ht="15" customHeight="1" s="14">
      <c r="A1742" s="24" t="n">
        <v>11147</v>
      </c>
      <c r="B1742" s="24" t="inlineStr">
        <is>
          <t>بوپرنورفين/نالوکسان   قرص زيرزباني 2 mg/0.5 mg - داروسازي فاران شيمي</t>
        </is>
      </c>
      <c r="C1742" s="25">
        <f>IF(COUNTIF('کدهای پیام‌داروساز'!$A$2:$A$2442,A1742)&gt;0,"بله","خیر")</f>
        <v/>
      </c>
    </row>
    <row r="1743" ht="15" customHeight="1" s="14">
      <c r="A1743" s="24" t="n">
        <v>11149</v>
      </c>
      <c r="B1743" s="24" t="inlineStr">
        <is>
          <t>بوپرنورفين/نالوکسان   قرص زيرزباني 8 mg/2 mg - داروسازي فاران شيمي</t>
        </is>
      </c>
      <c r="C1743" s="25">
        <f>IF(COUNTIF('کدهای پیام‌داروساز'!$A$2:$A$2442,A1743)&gt;0,"بله","خیر")</f>
        <v/>
      </c>
    </row>
    <row r="1744" ht="15" customHeight="1" s="14">
      <c r="A1744" s="24" t="n">
        <v>11151</v>
      </c>
      <c r="B1744" s="24" t="inlineStr">
        <is>
          <t>آلفنتانيل   تزريقي پرنترال 0.5 mg/1mL 5 mL - کارخانجات دارو پخش</t>
        </is>
      </c>
      <c r="C1744" s="25">
        <f>IF(COUNTIF('کدهای پیام‌داروساز'!$A$2:$A$2442,A1744)&gt;0,"بله","خیر")</f>
        <v/>
      </c>
    </row>
    <row r="1745" ht="15" customHeight="1" s="14">
      <c r="A1745" s="24" t="n">
        <v>11156</v>
      </c>
      <c r="B1745" s="24" t="inlineStr">
        <is>
          <t>آرگال   قرص خوراکي 200 mg/50 mg   - يارا طب خاورميانه</t>
        </is>
      </c>
      <c r="C1745" s="25">
        <f>IF(COUNTIF('کدهای پیام‌داروساز'!$A$2:$A$2442,A1745)&gt;0,"بله","خیر")</f>
        <v/>
      </c>
    </row>
    <row r="1746" ht="15" customHeight="1" s="14">
      <c r="A1746" s="24" t="n">
        <v>11281</v>
      </c>
      <c r="B1746" s="24" t="inlineStr">
        <is>
          <t>اوتيسپت (هيدروکورتيزون/استيک اسيد) قطره گوشي 10ML- سينا دارو</t>
        </is>
      </c>
      <c r="C1746" s="25">
        <f>IF(COUNTIF('کدهای پیام‌داروساز'!$A$2:$A$2442,A1746)&gt;0,"بله","خیر")</f>
        <v/>
      </c>
    </row>
    <row r="1747" ht="15" customHeight="1" s="14">
      <c r="A1747" s="24" t="n">
        <v>11366</v>
      </c>
      <c r="B1747" s="24" t="inlineStr">
        <is>
          <t>اورفيريل   تزريقي پرنترال 100 mg/1mL 10 mg - شفا ياب گستر</t>
        </is>
      </c>
      <c r="C1747" s="25">
        <f>IF(COUNTIF('کدهای پیام‌داروساز'!$A$2:$A$2442,A1747)&gt;0,"بله","خیر")</f>
        <v/>
      </c>
    </row>
    <row r="1748" ht="15" customHeight="1" s="14">
      <c r="A1748" s="24" t="n">
        <v>11367</v>
      </c>
      <c r="B1748" s="24" t="inlineStr">
        <is>
          <t>اورفيريل   تزريقي پرنترال 100 mg/1mL 3 mg - شفا ياب گستر</t>
        </is>
      </c>
      <c r="C1748" s="25">
        <f>IF(COUNTIF('کدهای پیام‌داروساز'!$A$2:$A$2442,A1748)&gt;0,"بله","خیر")</f>
        <v/>
      </c>
    </row>
    <row r="1749" ht="15" customHeight="1" s="14">
      <c r="A1749" s="24" t="n">
        <v>11375</v>
      </c>
      <c r="B1749" s="24" t="inlineStr">
        <is>
          <t>فرو فورت دئودنال   کپسول خوراکي 567.66 mg - داروسازي دکتر عبيدي</t>
        </is>
      </c>
      <c r="C1749" s="25">
        <f>IF(COUNTIF('کدهای پیام‌داروساز'!$A$2:$A$2442,A1749)&gt;0,"بله","خیر")</f>
        <v/>
      </c>
    </row>
    <row r="1750" ht="15" customHeight="1" s="14">
      <c r="A1750" s="24" t="n">
        <v>11397</v>
      </c>
      <c r="B1750" s="24" t="inlineStr">
        <is>
          <t>پتيدين   تزريقي پرنترال 25 mg/1mL 1 mL - داروسازي کاسپين تأمين</t>
        </is>
      </c>
      <c r="C1750" s="25">
        <f>IF(COUNTIF('کدهای پیام‌داروساز'!$A$2:$A$2442,A1750)&gt;0,"بله","خیر")</f>
        <v/>
      </c>
    </row>
    <row r="1751" ht="15" customHeight="1" s="14">
      <c r="A1751" s="24" t="n">
        <v>11405</v>
      </c>
      <c r="B1751" s="24" t="inlineStr">
        <is>
          <t>اوويترل   تزريقي پرنترال 500 ug/1mL 0.5 ug - اکتوورکو</t>
        </is>
      </c>
      <c r="C1751" s="25">
        <f>IF(COUNTIF('کدهای پیام‌داروساز'!$A$2:$A$2442,A1751)&gt;0,"بله","خیر")</f>
        <v/>
      </c>
    </row>
    <row r="1752" ht="15" customHeight="1" s="14">
      <c r="A1752" s="24" t="n">
        <v>11407</v>
      </c>
      <c r="B1752" s="24" t="inlineStr">
        <is>
          <t>اکتيليز   پودر براي تهيه محلول تزريقي پرنترال 10 mg  mg - شفا ياب گستر</t>
        </is>
      </c>
      <c r="C1752" s="25">
        <f>IF(COUNTIF('کدهای پیام‌داروساز'!$A$2:$A$2442,A1752)&gt;0,"بله","خیر")</f>
        <v/>
      </c>
    </row>
    <row r="1753" ht="15" customHeight="1" s="14">
      <c r="A1753" s="24" t="n">
        <v>11413</v>
      </c>
      <c r="B1753" s="24" t="inlineStr">
        <is>
          <t>بلارا   قرص خوراکي 2 mg/0.03 mg - مهبان دارو</t>
        </is>
      </c>
      <c r="C1753" s="25">
        <f>IF(COUNTIF('کدهای پیام‌داروساز'!$A$2:$A$2442,A1753)&gt;0,"بله","خیر")</f>
        <v/>
      </c>
    </row>
    <row r="1754" ht="15" customHeight="1" s="14">
      <c r="A1754" s="24" t="n">
        <v>11416</v>
      </c>
      <c r="B1754" s="24" t="inlineStr">
        <is>
          <t>لوسنتيس   محلول تزريقي پرنترال 10 mg/1mL 1 mg - بازرگاني سها کيش</t>
        </is>
      </c>
      <c r="C1754" s="25">
        <f>IF(COUNTIF('کدهای پیام‌داروساز'!$A$2:$A$2442,A1754)&gt;0,"بله","خیر")</f>
        <v/>
      </c>
    </row>
    <row r="1755" ht="15" customHeight="1" s="14">
      <c r="A1755" s="24" t="n">
        <v>11441</v>
      </c>
      <c r="B1755" s="24" t="inlineStr">
        <is>
          <t>پرولوتون دپو 500 م گ / 2 م ل (هيدروکسي پروژسترون) آمپول - باير</t>
        </is>
      </c>
      <c r="C1755" s="25">
        <f>IF(COUNTIF('کدهای پیام‌داروساز'!$A$2:$A$2442,A1755)&gt;0,"بله","خیر")</f>
        <v/>
      </c>
    </row>
    <row r="1756" ht="15" customHeight="1" s="14">
      <c r="A1756" s="24" t="n">
        <v>11458</v>
      </c>
      <c r="B1756" s="24" t="inlineStr">
        <is>
          <t>آکولار   محلول، قطره چشمي 0.5 % 5 % - پويش دارو گستر برتر فارس</t>
        </is>
      </c>
      <c r="C1756" s="25">
        <f>IF(COUNTIF('کدهای پیام‌داروساز'!$A$2:$A$2442,A1756)&gt;0,"بله","خیر")</f>
        <v/>
      </c>
    </row>
    <row r="1757" ht="15" customHeight="1" s="14">
      <c r="A1757" s="24" t="n">
        <v>11459</v>
      </c>
      <c r="B1757" s="24" t="inlineStr">
        <is>
          <t>آپو-بريمونيدين   محلول، قطره چشمي 0.2 % 5 mL - رستا ايمن دارو</t>
        </is>
      </c>
      <c r="C1757" s="25">
        <f>IF(COUNTIF('کدهای پیام‌داروساز'!$A$2:$A$2442,A1757)&gt;0,"بله","خیر")</f>
        <v/>
      </c>
    </row>
    <row r="1758" ht="15" customHeight="1" s="14">
      <c r="A1758" s="24" t="n">
        <v>11460</v>
      </c>
      <c r="B1758" s="24" t="inlineStr">
        <is>
          <t>اتبريکس   قرص خوراکي 200 mg/300 mg - دارو اثرت گستر</t>
        </is>
      </c>
      <c r="C1758" s="25">
        <f>IF(COUNTIF('کدهای پیام‌داروساز'!$A$2:$A$2442,A1758)&gt;0,"بله","خیر")</f>
        <v/>
      </c>
    </row>
    <row r="1759" ht="15" customHeight="1" s="14">
      <c r="A1759" s="24" t="n">
        <v>11462</v>
      </c>
      <c r="B1759" s="24" t="inlineStr">
        <is>
          <t>ويتامين ب 12   محلول تزريقي پرنترال 1000 ug/4 mL  mL - داروسازي کاسپين تأمين</t>
        </is>
      </c>
      <c r="C1759" s="25">
        <f>IF(COUNTIF('کدهای پیام‌داروساز'!$A$2:$A$2442,A1759)&gt;0,"بله","خیر")</f>
        <v/>
      </c>
    </row>
    <row r="1760" ht="15" customHeight="1" s="14">
      <c r="A1760" s="24" t="n">
        <v>11464</v>
      </c>
      <c r="B1760" s="24" t="inlineStr">
        <is>
          <t>سينوپار   تزريقي پرنترال 250 ug/1mL 2.4 ug - تحقيقاتي وتوليدي سينا ژن</t>
        </is>
      </c>
      <c r="C1760" s="25">
        <f>IF(COUNTIF('کدهای پیام‌داروساز'!$A$2:$A$2442,A1760)&gt;0,"بله","خیر")</f>
        <v/>
      </c>
    </row>
    <row r="1761" ht="15" customHeight="1" s="14">
      <c r="A1761" s="24" t="n">
        <v>11472</v>
      </c>
      <c r="B1761" s="24" t="inlineStr">
        <is>
          <t>آرتيبت   قرص خوراکي 2.5 mg</t>
        </is>
      </c>
      <c r="C1761" s="25">
        <f>IF(COUNTIF('کدهای پیام‌داروساز'!$A$2:$A$2442,A1761)&gt;0,"بله","خیر")</f>
        <v/>
      </c>
    </row>
    <row r="1762" ht="15" customHeight="1" s="14">
      <c r="A1762" s="24" t="n">
        <v>11481</v>
      </c>
      <c r="B1762" s="24" t="inlineStr">
        <is>
          <t>زالاکوم   محلول، قطره چشمي 50 ug/5 mg/1mL 2.5 mL - بهستان دارو</t>
        </is>
      </c>
      <c r="C1762" s="25">
        <f>IF(COUNTIF('کدهای پیام‌داروساز'!$A$2:$A$2442,A1762)&gt;0,"بله","خیر")</f>
        <v/>
      </c>
    </row>
    <row r="1763" ht="15" customHeight="1" s="14">
      <c r="A1763" s="24" t="n">
        <v>11504</v>
      </c>
      <c r="B1763" s="24" t="inlineStr">
        <is>
          <t>آلبومين انساني   محلول تزريقي پرنترال 5 % 250 mL - اوين دارو</t>
        </is>
      </c>
      <c r="C1763" s="25">
        <f>IF(COUNTIF('کدهای پیام‌داروساز'!$A$2:$A$2442,A1763)&gt;0,"بله","خیر")</f>
        <v/>
      </c>
    </row>
    <row r="1764" ht="15" customHeight="1" s="14">
      <c r="A1764" s="24" t="n">
        <v>11506</v>
      </c>
      <c r="B1764" s="24" t="inlineStr">
        <is>
          <t>ديجي فب   تزريقي پرنترال 40 mg  mg - سلامت سازان آراد دارو</t>
        </is>
      </c>
      <c r="C1764" s="25">
        <f>IF(COUNTIF('کدهای پیام‌داروساز'!$A$2:$A$2442,A1764)&gt;0,"بله","خیر")</f>
        <v/>
      </c>
    </row>
    <row r="1765" ht="15" customHeight="1" s="14">
      <c r="A1765" s="24" t="n">
        <v>11545</v>
      </c>
      <c r="B1765" s="24" t="inlineStr">
        <is>
          <t>سديم کلرايد (بگ)   محلول جهت شستشو 0.9 % 2 L - داروسازي ثامن</t>
        </is>
      </c>
      <c r="C1765" s="25">
        <f>IF(COUNTIF('کدهای پیام‌داروساز'!$A$2:$A$2442,A1765)&gt;0,"بله","خیر")</f>
        <v/>
      </c>
    </row>
    <row r="1766" ht="15" customHeight="1" s="14">
      <c r="A1766" s="24" t="n">
        <v>11606</v>
      </c>
      <c r="B1766" s="24" t="inlineStr">
        <is>
          <t>مايفورتيک   قرص انتريک کوتد خوراکي 180 mg - شفا ياب گستر</t>
        </is>
      </c>
      <c r="C1766" s="25">
        <f>IF(COUNTIF('کدهای پیام‌داروساز'!$A$2:$A$2442,A1766)&gt;0,"بله","خیر")</f>
        <v/>
      </c>
    </row>
    <row r="1767" ht="15" customHeight="1" s="14">
      <c r="A1767" s="24" t="n">
        <v>11607</v>
      </c>
      <c r="B1767" s="24" t="inlineStr">
        <is>
          <t>آپو-مايکوفنوليک اسيد   قرص انتريک کوتد خوراکي 360 mg - تامين فارمد تهران</t>
        </is>
      </c>
      <c r="C1767" s="25">
        <f>IF(COUNTIF('کدهای پیام‌داروساز'!$A$2:$A$2442,A1767)&gt;0,"بله","خیر")</f>
        <v/>
      </c>
    </row>
    <row r="1768" ht="15" customHeight="1" s="14">
      <c r="A1768" s="24" t="n">
        <v>11611</v>
      </c>
      <c r="B1768" s="24" t="inlineStr">
        <is>
          <t>دي والبايوکس   قرص انتريک کوتد خوراکي 500 mg - باختر بيو شيمي</t>
        </is>
      </c>
      <c r="C1768" s="25">
        <f>IF(COUNTIF('کدهای پیام‌داروساز'!$A$2:$A$2442,A1768)&gt;0,"بله","خیر")</f>
        <v/>
      </c>
    </row>
    <row r="1769" ht="15" customHeight="1" s="14">
      <c r="A1769" s="24" t="n">
        <v>11614</v>
      </c>
      <c r="B1769" s="24" t="inlineStr">
        <is>
          <t>دي والبايوکس   قرص انتريک کوتد خوراکي 250 mg - باختر بيو شيمي</t>
        </is>
      </c>
      <c r="C1769" s="25">
        <f>IF(COUNTIF('کدهای پیام‌داروساز'!$A$2:$A$2442,A1769)&gt;0,"بله","خیر")</f>
        <v/>
      </c>
    </row>
    <row r="1770" ht="15" customHeight="1" s="14">
      <c r="A1770" s="24" t="n">
        <v>11622</v>
      </c>
      <c r="B1770" s="24" t="inlineStr">
        <is>
          <t>پروتوبيک    پماد موضعي 0.03 % 30</t>
        </is>
      </c>
      <c r="C1770" s="25">
        <f>IF(COUNTIF('کدهای پیام‌داروساز'!$A$2:$A$2442,A1770)&gt;0,"بله","خیر")</f>
        <v/>
      </c>
    </row>
    <row r="1771" ht="15" customHeight="1" s="14">
      <c r="A1771" s="24" t="n">
        <v>11633</v>
      </c>
      <c r="B1771" s="24" t="inlineStr">
        <is>
          <t>دي بي سالين   اسپري از راه بيني 0.9 % 20 mL - لابراتوار هاي دنياي بهداشت</t>
        </is>
      </c>
      <c r="C1771" s="25">
        <f>IF(COUNTIF('کدهای پیام‌داروساز'!$A$2:$A$2442,A1771)&gt;0,"بله","خیر")</f>
        <v/>
      </c>
    </row>
    <row r="1772" ht="15" customHeight="1" s="14">
      <c r="A1772" s="24" t="n">
        <v>11636</v>
      </c>
      <c r="B1772" s="24" t="inlineStr">
        <is>
          <t>دي والبايوکس   قرص انتريک کوتد خوراکي 125 mg - باختر بيو شيمي</t>
        </is>
      </c>
      <c r="C1772" s="25">
        <f>IF(COUNTIF('کدهای پیام‌داروساز'!$A$2:$A$2442,A1772)&gt;0,"بله","خیر")</f>
        <v/>
      </c>
    </row>
    <row r="1773" ht="15" customHeight="1" s="14">
      <c r="A1773" s="24" t="n">
        <v>11647</v>
      </c>
      <c r="B1773" s="24" t="inlineStr">
        <is>
          <t>افاويرنز   محلول خوراکي 150 mg/5mL 180 mL - ماه داروي حکيم</t>
        </is>
      </c>
      <c r="C1773" s="25">
        <f>IF(COUNTIF('کدهای پیام‌داروساز'!$A$2:$A$2442,A1773)&gt;0,"بله","خیر")</f>
        <v/>
      </c>
    </row>
    <row r="1774" ht="15" customHeight="1" s="14">
      <c r="A1774" s="24" t="n">
        <v>11655</v>
      </c>
      <c r="B1774" s="24" t="inlineStr">
        <is>
          <t>آساکول (مزالازين) 1000 ميلي گرم شياف مقعدي تيلوتس</t>
        </is>
      </c>
      <c r="C1774" s="25">
        <f>IF(COUNTIF('کدهای پیام‌داروساز'!$A$2:$A$2442,A1774)&gt;0,"بله","خیر")</f>
        <v/>
      </c>
    </row>
    <row r="1775" ht="15" customHeight="1" s="14">
      <c r="A1775" s="24" t="n">
        <v>11725</v>
      </c>
      <c r="B1775" s="24" t="inlineStr">
        <is>
          <t>آترو   سوسپانسيون خوراکي 25 mg/5mL 240 mL - درمان ياب آنا</t>
        </is>
      </c>
      <c r="C1775" s="25">
        <f>IF(COUNTIF('کدهای پیام‌داروساز'!$A$2:$A$2442,A1775)&gt;0,"بله","خیر")</f>
        <v/>
      </c>
    </row>
    <row r="1776" ht="15" customHeight="1" s="14">
      <c r="A1776" s="24" t="n">
        <v>11734</v>
      </c>
      <c r="B1776" s="24" t="inlineStr">
        <is>
          <t>کتوکونازول2% 20 م ل لوسيون</t>
        </is>
      </c>
      <c r="C1776" s="25">
        <f>IF(COUNTIF('کدهای پیام‌داروساز'!$A$2:$A$2442,A1776)&gt;0,"بله","خیر")</f>
        <v/>
      </c>
    </row>
    <row r="1777" ht="15" customHeight="1" s="14">
      <c r="A1777" s="24" t="n">
        <v>11747</v>
      </c>
      <c r="B1777" s="24" t="inlineStr">
        <is>
          <t>کلوتريزون (کلوتريمازول 1% /بتامتازون 0.05%) کرم موضعي 30 گرم - ناژو</t>
        </is>
      </c>
      <c r="C1777" s="25">
        <f>IF(COUNTIF('کدهای پیام‌داروساز'!$A$2:$A$2442,A1777)&gt;0,"بله","خیر")</f>
        <v/>
      </c>
    </row>
    <row r="1778" ht="15" customHeight="1" s="14">
      <c r="A1778" s="24" t="n">
        <v>11753</v>
      </c>
      <c r="B1778" s="24" t="inlineStr">
        <is>
          <t>دالاديک   تزريقي پرنترال 150 mg/1mL 4 mL</t>
        </is>
      </c>
      <c r="C1778" s="25">
        <f>IF(COUNTIF('کدهای پیام‌داروساز'!$A$2:$A$2442,A1778)&gt;0,"بله","خیر")</f>
        <v/>
      </c>
    </row>
    <row r="1779" ht="15" customHeight="1" s="14">
      <c r="A1779" s="24" t="n">
        <v>11756</v>
      </c>
      <c r="B1779" s="24" t="inlineStr">
        <is>
          <t>استيل سيستئين / اسکوربيک اسيد   پودر خوراکي 600 mg/75 mg  g - اکتوورکو</t>
        </is>
      </c>
      <c r="C1779" s="25">
        <f>IF(COUNTIF('کدهای پیام‌داروساز'!$A$2:$A$2442,A1779)&gt;0,"بله","خیر")</f>
        <v/>
      </c>
    </row>
    <row r="1780" ht="15" customHeight="1" s="14">
      <c r="A1780" s="24" t="n">
        <v>11798</v>
      </c>
      <c r="B1780" s="24" t="inlineStr">
        <is>
          <t>نرونوکس 100 (بوتولونيوم آ توکسين) ويال-مديتوکس</t>
        </is>
      </c>
      <c r="C1780" s="25">
        <f>IF(COUNTIF('کدهای پیام‌داروساز'!$A$2:$A$2442,A1780)&gt;0,"بله","خیر")</f>
        <v/>
      </c>
    </row>
    <row r="1781" ht="15" customHeight="1" s="14">
      <c r="A1781" s="24" t="n">
        <v>11861</v>
      </c>
      <c r="B1781" s="24" t="inlineStr">
        <is>
          <t>آني زولين   اسپري از راه بيني 0.05 % 20 mL - داروسازي آني درمان</t>
        </is>
      </c>
      <c r="C1781" s="25">
        <f>IF(COUNTIF('کدهای پیام‌داروساز'!$A$2:$A$2442,A1781)&gt;0,"بله","خیر")</f>
        <v/>
      </c>
    </row>
    <row r="1782" ht="15" customHeight="1" s="14">
      <c r="A1782" s="24" t="n">
        <v>11866</v>
      </c>
      <c r="B1782" s="24" t="inlineStr">
        <is>
          <t>اسکلاکس   تزريقي پرنترال 50 mg/1mL 10 mg - دارويي پرسون بام بين الملل</t>
        </is>
      </c>
      <c r="C1782" s="25">
        <f>IF(COUNTIF('کدهای پیام‌داروساز'!$A$2:$A$2442,A1782)&gt;0,"بله","خیر")</f>
        <v/>
      </c>
    </row>
    <row r="1783" ht="15" customHeight="1" s="14">
      <c r="A1783" s="24" t="n">
        <v>11867</v>
      </c>
      <c r="B1783" s="24" t="inlineStr">
        <is>
          <t>سيپلونا   محلول غليظ تزريقي داخل وريدي 1 mg/1mL 10 mg - نانو فناوران داروئي الوند</t>
        </is>
      </c>
      <c r="C1783" s="25">
        <f>IF(COUNTIF('کدهای پیام‌داروساز'!$A$2:$A$2442,A1783)&gt;0,"بله","خیر")</f>
        <v/>
      </c>
    </row>
    <row r="1784" ht="15" customHeight="1" s="14">
      <c r="A1784" s="24" t="n">
        <v>11868</v>
      </c>
      <c r="B1784" s="24" t="inlineStr">
        <is>
          <t>سيپلونا   محلول غليظ تزريقي داخل وريدي 1 mg/1mL 50 mg - نانو فناوران داروئي الوند</t>
        </is>
      </c>
      <c r="C1784" s="25">
        <f>IF(COUNTIF('کدهای پیام‌داروساز'!$A$2:$A$2442,A1784)&gt;0,"بله","خیر")</f>
        <v/>
      </c>
    </row>
    <row r="1785" ht="15" customHeight="1" s="14">
      <c r="A1785" s="24" t="n">
        <v>11871</v>
      </c>
      <c r="B1785" s="24" t="inlineStr">
        <is>
          <t>آنژيپول (متوپرولول سوکسينات) 47.5 م گ قرص - رها</t>
        </is>
      </c>
      <c r="C1785" s="25">
        <f>IF(COUNTIF('کدهای پیام‌داروساز'!$A$2:$A$2442,A1785)&gt;0,"بله","خیر")</f>
        <v/>
      </c>
    </row>
    <row r="1786" ht="15" customHeight="1" s="14">
      <c r="A1786" s="24" t="n">
        <v>11872</v>
      </c>
      <c r="B1786" s="24" t="inlineStr">
        <is>
          <t>آنژيپول - مايوکارمت-وانس (متوپرولول سوکسينات) 95 م گ قرص - رها</t>
        </is>
      </c>
      <c r="C1786" s="25">
        <f>IF(COUNTIF('کدهای پیام‌داروساز'!$A$2:$A$2442,A1786)&gt;0,"بله","خیر")</f>
        <v/>
      </c>
    </row>
    <row r="1787" ht="15" customHeight="1" s="14">
      <c r="A1787" s="24" t="n">
        <v>11873</v>
      </c>
      <c r="B1787" s="24" t="inlineStr">
        <is>
          <t>تداسپت   قرص پيوسته رهش خوراکي 190 mg - دارو سازي تهران دارو</t>
        </is>
      </c>
      <c r="C1787" s="25">
        <f>IF(COUNTIF('کدهای پیام‌داروساز'!$A$2:$A$2442,A1787)&gt;0,"بله","خیر")</f>
        <v/>
      </c>
    </row>
    <row r="1788" ht="15" customHeight="1" s="14">
      <c r="A1788" s="24" t="n">
        <v>11883</v>
      </c>
      <c r="B1788" s="24" t="inlineStr">
        <is>
          <t>ارليستات   کپسول خوراکي 60 mg - ايران دارو</t>
        </is>
      </c>
      <c r="C1788" s="25">
        <f>IF(COUNTIF('کدهای پیام‌داروساز'!$A$2:$A$2442,A1788)&gt;0,"بله","خیر")</f>
        <v/>
      </c>
    </row>
    <row r="1789" ht="15" customHeight="1" s="14">
      <c r="A1789" s="24" t="n">
        <v>11886</v>
      </c>
      <c r="B1789" s="24" t="inlineStr">
        <is>
          <t>روفاوار   تزريقي پرنترال 10 mg/1mL 10 mL - تحقيقاتي و توليدي واريان فارمد</t>
        </is>
      </c>
      <c r="C1789" s="25">
        <f>IF(COUNTIF('کدهای پیام‌داروساز'!$A$2:$A$2442,A1789)&gt;0,"بله","خیر")</f>
        <v/>
      </c>
    </row>
    <row r="1790" ht="15" customHeight="1" s="14">
      <c r="A1790" s="24" t="n">
        <v>11889</v>
      </c>
      <c r="B1790" s="24" t="inlineStr">
        <is>
          <t>لئوترو   تزريقي پرنترال 10 mg/1mL 5 mg - تامين آوا سلامت</t>
        </is>
      </c>
      <c r="C1790" s="25">
        <f>IF(COUNTIF('کدهای پیام‌داروساز'!$A$2:$A$2442,A1790)&gt;0,"بله","خیر")</f>
        <v/>
      </c>
    </row>
    <row r="1791" ht="15" customHeight="1" s="14">
      <c r="A1791" s="24" t="n">
        <v>11908</v>
      </c>
      <c r="B1791" s="24" t="inlineStr">
        <is>
          <t>فومبست   تزريقي پرنترال 1 g/1mL 1.5 g - کيان طب پاسارگاد</t>
        </is>
      </c>
      <c r="C1791" s="25">
        <f>IF(COUNTIF('کدهای پیام‌داروساز'!$A$2:$A$2442,A1791)&gt;0,"بله","خیر")</f>
        <v/>
      </c>
    </row>
    <row r="1792" ht="15" customHeight="1" s="14">
      <c r="A1792" s="24" t="n">
        <v>11910</v>
      </c>
      <c r="B1792" s="24" t="inlineStr">
        <is>
          <t>ويسکن   قرص خوراکي 5 mg  [Amb'a'1'U] - فوريتهاي سينا آرات گستر</t>
        </is>
      </c>
      <c r="C1792" s="25">
        <f>IF(COUNTIF('کدهای پیام‌داروساز'!$A$2:$A$2442,A1792)&gt;0,"بله","خیر")</f>
        <v/>
      </c>
    </row>
    <row r="1793" ht="15" customHeight="1" s="14">
      <c r="A1793" s="24" t="n">
        <v>11954</v>
      </c>
      <c r="B1793" s="24" t="inlineStr">
        <is>
          <t>اسپري مولينوز 20 ميلي گرم/ميلي ليتر 20 ميلي ليتر - کرومولين (رها)</t>
        </is>
      </c>
      <c r="C1793" s="25">
        <f>IF(COUNTIF('کدهای پیام‌داروساز'!$A$2:$A$2442,A1793)&gt;0,"بله","خیر")</f>
        <v/>
      </c>
    </row>
    <row r="1794" ht="15" customHeight="1" s="14">
      <c r="A1794" s="24" t="n">
        <v>12036</v>
      </c>
      <c r="B1794" s="24" t="inlineStr">
        <is>
          <t>اوردليک   قرص خوراکي 300 mg - داروسازي جالينوس</t>
        </is>
      </c>
      <c r="C1794" s="25">
        <f>IF(COUNTIF('کدهای پیام‌داروساز'!$A$2:$A$2442,A1794)&gt;0,"بله","خیر")</f>
        <v/>
      </c>
    </row>
    <row r="1795" ht="15" customHeight="1" s="14">
      <c r="A1795" s="24" t="n">
        <v>12056</v>
      </c>
      <c r="B1795" s="24" t="inlineStr">
        <is>
          <t>آکنوتان بي اس کي   کپسول خوراکي 10 mg - بنيان سلامت کسري</t>
        </is>
      </c>
      <c r="C1795" s="25">
        <f>IF(COUNTIF('کدهای پیام‌داروساز'!$A$2:$A$2442,A1795)&gt;0,"بله","خیر")</f>
        <v/>
      </c>
    </row>
    <row r="1796" ht="15" customHeight="1" s="14">
      <c r="A1796" s="24" t="n">
        <v>12102</v>
      </c>
      <c r="B1796" s="24" t="inlineStr">
        <is>
          <t>فستورتک   پودر براي تهيه محلول تزريقي پرنترال 1.5 mg  mg - دارو درمان صدف</t>
        </is>
      </c>
      <c r="C1796" s="25">
        <f>IF(COUNTIF('کدهای پیام‌داروساز'!$A$2:$A$2442,A1796)&gt;0,"بله","خیر")</f>
        <v/>
      </c>
    </row>
    <row r="1797" ht="15" customHeight="1" s="14">
      <c r="A1797" s="24" t="n">
        <v>12105</v>
      </c>
      <c r="B1797" s="24" t="inlineStr">
        <is>
          <t>قرص آربيکور-پلاس 40/12.5 ميلي گرم</t>
        </is>
      </c>
      <c r="C1797" s="25">
        <f>IF(COUNTIF('کدهای پیام‌داروساز'!$A$2:$A$2442,A1797)&gt;0,"بله","خیر")</f>
        <v/>
      </c>
    </row>
    <row r="1798" ht="15" customHeight="1" s="14">
      <c r="A1798" s="24" t="n">
        <v>12112</v>
      </c>
      <c r="B1798" s="24" t="inlineStr">
        <is>
          <t>استالوو   قرص خوراکي 150 mg/37.5 mg/200 mg - شفا ياب گستر</t>
        </is>
      </c>
      <c r="C1798" s="25">
        <f>IF(COUNTIF('کدهای پیام‌داروساز'!$A$2:$A$2442,A1798)&gt;0,"بله","خیر")</f>
        <v/>
      </c>
    </row>
    <row r="1799" ht="15" customHeight="1" s="14">
      <c r="A1799" s="24" t="n">
        <v>12114</v>
      </c>
      <c r="B1799" s="24" t="inlineStr">
        <is>
          <t>بوتکريل   قرص خوراکي 62.5 mg - دارو سازي اسوه</t>
        </is>
      </c>
      <c r="C1799" s="25">
        <f>IF(COUNTIF('کدهای پیام‌داروساز'!$A$2:$A$2442,A1799)&gt;0,"بله","خیر")</f>
        <v/>
      </c>
    </row>
    <row r="1800" ht="15" customHeight="1" s="14">
      <c r="A1800" s="24" t="n">
        <v>12115</v>
      </c>
      <c r="B1800" s="24" t="inlineStr">
        <is>
          <t>واستارل   قرص فيلم کوتد پيوسته رهش خوراکي 35 mg - بازرگاني سها کيش</t>
        </is>
      </c>
      <c r="C1800" s="25">
        <f>IF(COUNTIF('کدهای پیام‌داروساز'!$A$2:$A$2442,A1800)&gt;0,"بله","خیر")</f>
        <v/>
      </c>
    </row>
    <row r="1801" ht="15" customHeight="1" s="14">
      <c r="A1801" s="24" t="n">
        <v>12118</v>
      </c>
      <c r="B1801" s="24" t="inlineStr">
        <is>
          <t>آتازاناوير   کپسول خوراکي 150 mg  {dose} - دارو درمان سپهر</t>
        </is>
      </c>
      <c r="C1801" s="25">
        <f>IF(COUNTIF('کدهای پیام‌داروساز'!$A$2:$A$2442,A1801)&gt;0,"بله","خیر")</f>
        <v/>
      </c>
    </row>
    <row r="1802" ht="15" customHeight="1" s="14">
      <c r="A1802" s="24" t="n">
        <v>12199</v>
      </c>
      <c r="B1802" s="24" t="inlineStr">
        <is>
          <t>پرگابالين   کپسول خوراکي 200 mg - سبحان دارو</t>
        </is>
      </c>
      <c r="C1802" s="25">
        <f>IF(COUNTIF('کدهای پیام‌داروساز'!$A$2:$A$2442,A1802)&gt;0,"بله","خیر")</f>
        <v/>
      </c>
    </row>
    <row r="1803" ht="15" customHeight="1" s="14">
      <c r="A1803" s="24" t="n">
        <v>12225</v>
      </c>
      <c r="B1803" s="24" t="inlineStr">
        <is>
          <t>اپي رکت   شياف مقعدي 10 mg - داروسازي ابوريحان</t>
        </is>
      </c>
      <c r="C1803" s="25">
        <f>IF(COUNTIF('کدهای پیام‌داروساز'!$A$2:$A$2442,A1803)&gt;0,"بله","خیر")</f>
        <v/>
      </c>
    </row>
    <row r="1804" ht="15" customHeight="1" s="14">
      <c r="A1804" s="24" t="n">
        <v>12273</v>
      </c>
      <c r="B1804" s="24" t="inlineStr">
        <is>
          <t>آوي لوب   کپسول خوراکي 200 mg - داروسازي آوه سينا</t>
        </is>
      </c>
      <c r="C1804" s="25">
        <f>IF(COUNTIF('کدهای پیام‌داروساز'!$A$2:$A$2442,A1804)&gt;0,"بله","خیر")</f>
        <v/>
      </c>
    </row>
    <row r="1805" ht="15" customHeight="1" s="14">
      <c r="A1805" s="24" t="n">
        <v>12280</v>
      </c>
      <c r="B1805" s="24" t="inlineStr">
        <is>
          <t>لووفلوکسازين   محلول، قطره چشمي 0.5 % 0.5 mL - فرآورده هاي تزريقي و دارويي ايران</t>
        </is>
      </c>
      <c r="C1805" s="25">
        <f>IF(COUNTIF('کدهای پیام‌داروساز'!$A$2:$A$2442,A1805)&gt;0,"بله","خیر")</f>
        <v/>
      </c>
    </row>
    <row r="1806" ht="15" customHeight="1" s="14">
      <c r="A1806" s="24" t="n">
        <v>12282</v>
      </c>
      <c r="B1806" s="24" t="inlineStr">
        <is>
          <t>آلروپات   محلول، قطره چشمي 0.1 % 5 mL - داروسازي رها اصفهان</t>
        </is>
      </c>
      <c r="C1806" s="25">
        <f>IF(COUNTIF('کدهای پیام‌داروساز'!$A$2:$A$2442,A1806)&gt;0,"بله","خیر")</f>
        <v/>
      </c>
    </row>
    <row r="1807" ht="15" customHeight="1" s="14">
      <c r="A1807" s="24" t="n">
        <v>12292</v>
      </c>
      <c r="B1807" s="24" t="inlineStr">
        <is>
          <t>مايوزايم   پودر براي تهيه محلول تزريقي پرنترال 50 mg  mg - پويش دارو گستر برتر فارس</t>
        </is>
      </c>
      <c r="C1807" s="25">
        <f>IF(COUNTIF('کدهای پیام‌داروساز'!$A$2:$A$2442,A1807)&gt;0,"بله","خیر")</f>
        <v/>
      </c>
    </row>
    <row r="1808" ht="15" customHeight="1" s="14">
      <c r="A1808" s="24" t="n">
        <v>12297</v>
      </c>
      <c r="B1808" s="24" t="inlineStr">
        <is>
          <t>بايوتور پلاس   قرص خوراکي 5 mg/10 mg - باختر بيو شيمي</t>
        </is>
      </c>
      <c r="C1808" s="25">
        <f>IF(COUNTIF('کدهای پیام‌داروساز'!$A$2:$A$2442,A1808)&gt;0,"بله","خیر")</f>
        <v/>
      </c>
    </row>
    <row r="1809" ht="15" customHeight="1" s="14">
      <c r="A1809" s="24" t="n">
        <v>12299</v>
      </c>
      <c r="B1809" s="24" t="inlineStr">
        <is>
          <t>تايکرب   قرص خوراکي 250 mg  mg - رايان دارو ايرانيان</t>
        </is>
      </c>
      <c r="C1809" s="25">
        <f>IF(COUNTIF('کدهای پیام‌داروساز'!$A$2:$A$2442,A1809)&gt;0,"بله","خیر")</f>
        <v/>
      </c>
    </row>
    <row r="1810" ht="15" customHeight="1" s="14">
      <c r="A1810" s="24" t="n">
        <v>12312</v>
      </c>
      <c r="B1810" s="24" t="inlineStr">
        <is>
          <t>پانگرول   کپسول (پلت هاي انتريک کوتد) خوراکي 25000 [iU] - توسعه مکانيزه نوين آوران</t>
        </is>
      </c>
      <c r="C1810" s="25">
        <f>IF(COUNTIF('کدهای پیام‌داروساز'!$A$2:$A$2442,A1810)&gt;0,"بله","خیر")</f>
        <v/>
      </c>
    </row>
    <row r="1811" ht="15" customHeight="1" s="14">
      <c r="A1811" s="24" t="n">
        <v>12319</v>
      </c>
      <c r="B1811" s="24" t="inlineStr">
        <is>
          <t>اکسي متيزون- پي بي اي   اسپري از راه بيني 0.05 % 15 mL - سلامت سازان پارس بوعلي</t>
        </is>
      </c>
      <c r="C1811" s="25">
        <f>IF(COUNTIF('کدهای پیام‌داروساز'!$A$2:$A$2442,A1811)&gt;0,"بله","خیر")</f>
        <v/>
      </c>
    </row>
    <row r="1812" ht="15" customHeight="1" s="14">
      <c r="A1812" s="24" t="n">
        <v>12322</v>
      </c>
      <c r="B1812" s="24" t="inlineStr">
        <is>
          <t>آنتيرکس   تزريقي پرنترال 10 mg/1mL 1 mg - سينا پيشگام دارو نوين</t>
        </is>
      </c>
      <c r="C1812" s="25">
        <f>IF(COUNTIF('کدهای پیام‌داروساز'!$A$2:$A$2442,A1812)&gt;0,"بله","خیر")</f>
        <v/>
      </c>
    </row>
    <row r="1813" ht="15" customHeight="1" s="14">
      <c r="A1813" s="24" t="n">
        <v>12330</v>
      </c>
      <c r="B1813" s="24" t="inlineStr">
        <is>
          <t>فنونيز   اسپري از راه بيني 0.25 % 20 mL - داروسازي آني درمان</t>
        </is>
      </c>
      <c r="C1813" s="25">
        <f>IF(COUNTIF('کدهای پیام‌داروساز'!$A$2:$A$2442,A1813)&gt;0,"بله","خیر")</f>
        <v/>
      </c>
    </row>
    <row r="1814" ht="15" customHeight="1" s="14">
      <c r="A1814" s="24" t="n">
        <v>12359</v>
      </c>
      <c r="B1814" s="24" t="inlineStr">
        <is>
          <t>بونستا   تزريقي پرنترال 4 mg/5mL  mg - داروسازي اکسير</t>
        </is>
      </c>
      <c r="C1814" s="25">
        <f>IF(COUNTIF('کدهای پیام‌داروساز'!$A$2:$A$2442,A1814)&gt;0,"بله","خیر")</f>
        <v/>
      </c>
    </row>
    <row r="1815" ht="15" customHeight="1" s="14">
      <c r="A1815" s="24" t="n">
        <v>12401</v>
      </c>
      <c r="B1815" s="24" t="inlineStr">
        <is>
          <t>آسيکلووير   قرص خوراکي 800 mg</t>
        </is>
      </c>
      <c r="C1815" s="25">
        <f>IF(COUNTIF('کدهای پیام‌داروساز'!$A$2:$A$2442,A1815)&gt;0,"بله","خیر")</f>
        <v/>
      </c>
    </row>
    <row r="1816" ht="15" customHeight="1" s="14">
      <c r="A1816" s="24" t="n">
        <v>12423</v>
      </c>
      <c r="B1816" s="24" t="inlineStr">
        <is>
          <t>هيوميت پي   پودر لئوفيليزه براي تهيه محلول تزريقي پرنترال 250 [iU]/600 [iU]  mL - اوين دارو</t>
        </is>
      </c>
      <c r="C1816" s="25">
        <f>IF(COUNTIF('کدهای پیام‌داروساز'!$A$2:$A$2442,A1816)&gt;0,"بله","خیر")</f>
        <v/>
      </c>
    </row>
    <row r="1817" ht="15" customHeight="1" s="14">
      <c r="A1817" s="24" t="n">
        <v>12455</v>
      </c>
      <c r="B1817" s="24" t="inlineStr">
        <is>
          <t>ريتوناوير   کپسول خوراکي 100 mg - دارو اثرت گستر</t>
        </is>
      </c>
      <c r="C1817" s="25">
        <f>IF(COUNTIF('کدهای پیام‌داروساز'!$A$2:$A$2442,A1817)&gt;0,"بله","خیر")</f>
        <v/>
      </c>
    </row>
    <row r="1818" ht="15" customHeight="1" s="14">
      <c r="A1818" s="24" t="n">
        <v>12482</v>
      </c>
      <c r="B1818" s="24" t="inlineStr">
        <is>
          <t>استاپارکين   قرص خوراکي 50 mg/12.5 mg/200 mg - فن آوريهاي نوين دارويي آتيه</t>
        </is>
      </c>
      <c r="C1818" s="25">
        <f>IF(COUNTIF('کدهای پیام‌داروساز'!$A$2:$A$2442,A1818)&gt;0,"بله","خیر")</f>
        <v/>
      </c>
    </row>
    <row r="1819" ht="15" customHeight="1" s="14">
      <c r="A1819" s="24" t="n">
        <v>12528</v>
      </c>
      <c r="B1819" s="24" t="inlineStr">
        <is>
          <t>پسيليوم (طعم پرتقال) ملين گياهي ساشه - ايران داروک</t>
        </is>
      </c>
      <c r="C1819" s="25">
        <f>IF(COUNTIF('کدهای پیام‌داروساز'!$A$2:$A$2442,A1819)&gt;0,"بله","خیر")</f>
        <v/>
      </c>
    </row>
    <row r="1820" ht="15" customHeight="1" s="14">
      <c r="A1820" s="24" t="n">
        <v>12534</v>
      </c>
      <c r="B1820" s="24" t="inlineStr">
        <is>
          <t>تايروکو   محلول غليظ تزريقي پرنترال 20 mg/1mL 15 mg - بهستان دارو</t>
        </is>
      </c>
      <c r="C1820" s="25">
        <f>IF(COUNTIF('کدهای پیام‌داروساز'!$A$2:$A$2442,A1820)&gt;0,"بله","خیر")</f>
        <v/>
      </c>
    </row>
    <row r="1821" ht="15" customHeight="1" s="14">
      <c r="A1821" s="24" t="n">
        <v>12540</v>
      </c>
      <c r="B1821" s="24" t="inlineStr">
        <is>
          <t>اپيدبيکس   محلول غليظ تزريقي پرنترال 20 mg/1mL 5 mg - آريوژن فارمد</t>
        </is>
      </c>
      <c r="C1821" s="25">
        <f>IF(COUNTIF('کدهای پیام‌داروساز'!$A$2:$A$2442,A1821)&gt;0,"بله","خیر")</f>
        <v/>
      </c>
    </row>
    <row r="1822" ht="15" customHeight="1" s="14">
      <c r="A1822" s="24" t="n">
        <v>12541</v>
      </c>
      <c r="B1822" s="24" t="inlineStr">
        <is>
          <t>اپيدبيکس   محلول غليظ تزريقي پرنترال 20 mg/1mL 20 mg - آريوژن فارمد</t>
        </is>
      </c>
      <c r="C1822" s="25">
        <f>IF(COUNTIF('کدهای پیام‌داروساز'!$A$2:$A$2442,A1822)&gt;0,"بله","خیر")</f>
        <v/>
      </c>
    </row>
    <row r="1823" ht="15" customHeight="1" s="14">
      <c r="A1823" s="24" t="n">
        <v>12544</v>
      </c>
      <c r="B1823" s="24" t="inlineStr">
        <is>
          <t>اموکلات   پودر لئوفيليزه براي تهيه محلول تزريقي پرنترال 500 [iU]  [iU] - بهستان پلاسما</t>
        </is>
      </c>
      <c r="C1823" s="25">
        <f>IF(COUNTIF('کدهای پیام‌داروساز'!$A$2:$A$2442,A1823)&gt;0,"بله","خیر")</f>
        <v/>
      </c>
    </row>
    <row r="1824" ht="15" customHeight="1" s="14">
      <c r="A1824" s="24" t="n">
        <v>12550</v>
      </c>
      <c r="B1824" s="24" t="inlineStr">
        <is>
          <t>ناگلازايم   تزريقي پرنترال 1 mg/1mL 5 mg - بازرگاني سها کيش</t>
        </is>
      </c>
      <c r="C1824" s="25">
        <f>IF(COUNTIF('کدهای پیام‌داروساز'!$A$2:$A$2442,A1824)&gt;0,"بله","خیر")</f>
        <v/>
      </c>
    </row>
    <row r="1825" ht="15" customHeight="1" s="14">
      <c r="A1825" s="24" t="n">
        <v>12560</v>
      </c>
      <c r="B1825" s="24" t="inlineStr">
        <is>
          <t>اکتوفرون   پودر براي تهيه محلول تزريقي پرنترال 9600000 [iU]  ug - اکتوورکو</t>
        </is>
      </c>
      <c r="C1825" s="25">
        <f>IF(COUNTIF('کدهای پیام‌داروساز'!$A$2:$A$2442,A1825)&gt;0,"بله","خیر")</f>
        <v/>
      </c>
    </row>
    <row r="1826" ht="15" customHeight="1" s="14">
      <c r="A1826" s="24" t="n">
        <v>12597</v>
      </c>
      <c r="B1826" s="24" t="inlineStr">
        <is>
          <t>انسولين   تزريقي پرنترال 300 [iU]/1mL 1.5 [iU]</t>
        </is>
      </c>
      <c r="C1826" s="25">
        <f>IF(COUNTIF('کدهای پیام‌داروساز'!$A$2:$A$2442,A1826)&gt;0,"بله","خیر")</f>
        <v/>
      </c>
    </row>
    <row r="1827" ht="15" customHeight="1" s="14">
      <c r="A1827" s="24" t="n">
        <v>12650</v>
      </c>
      <c r="B1827" s="24" t="inlineStr">
        <is>
          <t>آميفن اکسترا   قرص خوراکي 500 mg/65 mg - داروسازي امين</t>
        </is>
      </c>
      <c r="C1827" s="25">
        <f>IF(COUNTIF('کدهای پیام‌داروساز'!$A$2:$A$2442,A1827)&gt;0,"بله","خیر")</f>
        <v/>
      </c>
    </row>
    <row r="1828" ht="15" customHeight="1" s="14">
      <c r="A1828" s="24" t="n">
        <v>12741</v>
      </c>
      <c r="B1828" s="24" t="inlineStr">
        <is>
          <t>انتکاوير   قرص خوراکي 1 mg - صنعت دارويي شاري</t>
        </is>
      </c>
      <c r="C1828" s="25">
        <f>IF(COUNTIF('کدهای پیام‌داروساز'!$A$2:$A$2442,A1828)&gt;0,"بله","خیر")</f>
        <v/>
      </c>
    </row>
    <row r="1829" ht="15" customHeight="1" s="14">
      <c r="A1829" s="24" t="n">
        <v>12837</v>
      </c>
      <c r="B1829" s="24" t="inlineStr">
        <is>
          <t>لومير   محلول تزريقي پرنترال 100 [iU]/1mL 3 [iU]</t>
        </is>
      </c>
      <c r="C1829" s="25">
        <f>IF(COUNTIF('کدهای پیام‌داروساز'!$A$2:$A$2442,A1829)&gt;0,"بله","خیر")</f>
        <v/>
      </c>
    </row>
    <row r="1830" ht="15" customHeight="1" s="14">
      <c r="A1830" s="24" t="n">
        <v>12847</v>
      </c>
      <c r="B1830" s="24" t="inlineStr">
        <is>
          <t>انليدو   کپسول خوراکي 25 mg - اکترو خاورميانه</t>
        </is>
      </c>
      <c r="C1830" s="25">
        <f>IF(COUNTIF('کدهای پیام‌داروساز'!$A$2:$A$2442,A1830)&gt;0,"بله","خیر")</f>
        <v/>
      </c>
    </row>
    <row r="1831" ht="15" customHeight="1" s="14">
      <c r="A1831" s="24" t="n">
        <v>12912</v>
      </c>
      <c r="B1831" s="24" t="inlineStr">
        <is>
          <t>آفيژيل   شياف واژينال 500 mg - ايران آوند فر</t>
        </is>
      </c>
      <c r="C1831" s="25">
        <f>IF(COUNTIF('کدهای پیام‌داروساز'!$A$2:$A$2442,A1831)&gt;0,"بله","خیر")</f>
        <v/>
      </c>
    </row>
    <row r="1832" ht="15" customHeight="1" s="14">
      <c r="A1832" s="24" t="n">
        <v>12928</v>
      </c>
      <c r="B1832" s="24" t="inlineStr">
        <is>
          <t>آني ژزيک   قرص جوشان خوراکي 500 mg - داروسازي آني درمان</t>
        </is>
      </c>
      <c r="C1832" s="25">
        <f>IF(COUNTIF('کدهای پیام‌داروساز'!$A$2:$A$2442,A1832)&gt;0,"بله","خیر")</f>
        <v/>
      </c>
    </row>
    <row r="1833" ht="15" customHeight="1" s="14">
      <c r="A1833" s="24" t="n">
        <v>12972</v>
      </c>
      <c r="B1833" s="24" t="inlineStr">
        <is>
          <t>سيپروزونيت (سيپروفلوکساسين/دگزامتازون) قطره گوشي 10ML - سينا دارو</t>
        </is>
      </c>
      <c r="C1833" s="25">
        <f>IF(COUNTIF('کدهای پیام‌داروساز'!$A$2:$A$2442,A1833)&gt;0,"بله","خیر")</f>
        <v/>
      </c>
    </row>
    <row r="1834" ht="15" customHeight="1" s="14">
      <c r="A1834" s="24" t="n">
        <v>13016</v>
      </c>
      <c r="B1834" s="24" t="inlineStr">
        <is>
          <t>سديم کلرايد   محلول تزريقي پرنترال 0.9 % 100 % - ثمين دارو آرکا</t>
        </is>
      </c>
      <c r="C1834" s="25">
        <f>IF(COUNTIF('کدهای پیام‌داروساز'!$A$2:$A$2442,A1834)&gt;0,"بله","خیر")</f>
        <v/>
      </c>
    </row>
    <row r="1835" ht="15" customHeight="1" s="14">
      <c r="A1835" s="24" t="n">
        <v>13022</v>
      </c>
      <c r="B1835" s="24" t="inlineStr">
        <is>
          <t>توبرامايسين   تزريقي پرنترال 50 mg/1mL 2 mg - تچرا دارو</t>
        </is>
      </c>
      <c r="C1835" s="25">
        <f>IF(COUNTIF('کدهای پیام‌داروساز'!$A$2:$A$2442,A1835)&gt;0,"بله","خیر")</f>
        <v/>
      </c>
    </row>
    <row r="1836" ht="15" customHeight="1" s="14">
      <c r="A1836" s="24" t="n">
        <v>13060</v>
      </c>
      <c r="B1836" s="24" t="inlineStr">
        <is>
          <t>النيتين   محلول خوراکي 100 mg/1mL 120 mL - داروئي ارايشي وبهداشتي مينو</t>
        </is>
      </c>
      <c r="C1836" s="25">
        <f>IF(COUNTIF('کدهای پیام‌داروساز'!$A$2:$A$2442,A1836)&gt;0,"بله","خیر")</f>
        <v/>
      </c>
    </row>
    <row r="1837" ht="15" customHeight="1" s="14">
      <c r="A1837" s="24" t="n">
        <v>13080</v>
      </c>
      <c r="B1837" s="24" t="inlineStr">
        <is>
          <t>پالميکورت (بودزونايد) 400 م ک گ 100 پاف پودر استنشاقي</t>
        </is>
      </c>
      <c r="C1837" s="25">
        <f>IF(COUNTIF('کدهای پیام‌داروساز'!$A$2:$A$2442,A1837)&gt;0,"بله","خیر")</f>
        <v/>
      </c>
    </row>
    <row r="1838" ht="15" customHeight="1" s="14">
      <c r="A1838" s="24" t="n">
        <v>13143</v>
      </c>
      <c r="B1838" s="24" t="inlineStr">
        <is>
          <t>فيزيوپيک   محلول چشمي 0.9 % 5 mL - فرآورده هاي تزريقي و دارويي ايران</t>
        </is>
      </c>
      <c r="C1838" s="25">
        <f>IF(COUNTIF('کدهای پیام‌داروساز'!$A$2:$A$2442,A1838)&gt;0,"بله","خیر")</f>
        <v/>
      </c>
    </row>
    <row r="1839" ht="15" customHeight="1" s="14">
      <c r="A1839" s="24" t="n">
        <v>13171</v>
      </c>
      <c r="B1839" s="24" t="inlineStr">
        <is>
          <t>کارباگلو   قرص براي تهيه سوسپانسيون خوراکي 200 mg - وليان دارو</t>
        </is>
      </c>
      <c r="C1839" s="25">
        <f>IF(COUNTIF('کدهای پیام‌داروساز'!$A$2:$A$2442,A1839)&gt;0,"بله","خیر")</f>
        <v/>
      </c>
    </row>
    <row r="1840" ht="15" customHeight="1" s="14">
      <c r="A1840" s="24" t="n">
        <v>13238</v>
      </c>
      <c r="B1840" s="24" t="inlineStr">
        <is>
          <t>اپتيويت   پودر لئوفيليزه براي تهيه محلول تزريقي پرنترال 250 [iU]  [iU] - ويستا فارمد ايرانيان</t>
        </is>
      </c>
      <c r="C1840" s="25">
        <f>IF(COUNTIF('کدهای پیام‌داروساز'!$A$2:$A$2442,A1840)&gt;0,"بله","خیر")</f>
        <v/>
      </c>
    </row>
    <row r="1841" ht="15" customHeight="1" s="14">
      <c r="A1841" s="24" t="n">
        <v>13245</v>
      </c>
      <c r="B1841" s="24" t="inlineStr">
        <is>
          <t>بنترا   پودر براي تهيه محلول تزريقي پرنترال 100 mg  mg - داروسازي سبحان انکولوژي</t>
        </is>
      </c>
      <c r="C1841" s="25">
        <f>IF(COUNTIF('کدهای پیام‌داروساز'!$A$2:$A$2442,A1841)&gt;0,"بله","خیر")</f>
        <v/>
      </c>
    </row>
    <row r="1842" ht="15" customHeight="1" s="14">
      <c r="A1842" s="24" t="n">
        <v>13254</v>
      </c>
      <c r="B1842" s="24" t="inlineStr">
        <is>
          <t>سانارلبين   کپسول حاوي مايع خوراکي 20 mg - داروسازان سانا فارمد</t>
        </is>
      </c>
      <c r="C1842" s="25">
        <f>IF(COUNTIF('کدهای پیام‌داروساز'!$A$2:$A$2442,A1842)&gt;0,"بله","خیر")</f>
        <v/>
      </c>
    </row>
    <row r="1843" ht="15" customHeight="1" s="14">
      <c r="A1843" s="24" t="n">
        <v>13267</v>
      </c>
      <c r="B1843" s="24" t="inlineStr">
        <is>
          <t>کتورولاک 30 م گ / 1 م ل آمپول - اکسير</t>
        </is>
      </c>
      <c r="C1843" s="25">
        <f>IF(COUNTIF('کدهای پیام‌داروساز'!$A$2:$A$2442,A1843)&gt;0,"بله","خیر")</f>
        <v/>
      </c>
    </row>
    <row r="1844" ht="15" customHeight="1" s="14">
      <c r="A1844" s="24" t="n">
        <v>13291</v>
      </c>
      <c r="B1844" s="24" t="inlineStr">
        <is>
          <t>سفتراکس   پودر براي تهيه محلول تزريقي پرنترال 2 g  g - داروسازي جابرابن حيان</t>
        </is>
      </c>
      <c r="C1844" s="25">
        <f>IF(COUNTIF('کدهای پیام‌داروساز'!$A$2:$A$2442,A1844)&gt;0,"بله","خیر")</f>
        <v/>
      </c>
    </row>
    <row r="1845" ht="15" customHeight="1" s="14">
      <c r="A1845" s="24" t="n">
        <v>13323</v>
      </c>
      <c r="B1845" s="24" t="inlineStr">
        <is>
          <t>آر اچ  کام   قرص خوراکي 75 mg/150 mg - ماه داروي حکيم</t>
        </is>
      </c>
      <c r="C1845" s="25">
        <f>IF(COUNTIF('کدهای پیام‌داروساز'!$A$2:$A$2442,A1845)&gt;0,"بله","خیر")</f>
        <v/>
      </c>
    </row>
    <row r="1846" ht="15" customHeight="1" s="14">
      <c r="A1846" s="24" t="n">
        <v>13345</v>
      </c>
      <c r="B1846" s="24" t="inlineStr">
        <is>
          <t>آکوريت 4   قرص خوراکي 275 mg/75 mg/400 mg/150 mg - دارويي بهين پاد</t>
        </is>
      </c>
      <c r="C1846" s="25">
        <f>IF(COUNTIF('کدهای پیام‌داروساز'!$A$2:$A$2442,A1846)&gt;0,"بله","خیر")</f>
        <v/>
      </c>
    </row>
    <row r="1847" ht="15" customHeight="1" s="14">
      <c r="A1847" s="24" t="n">
        <v>13413</v>
      </c>
      <c r="B1847" s="24" t="inlineStr">
        <is>
          <t>پاميلوکس   تزريقي پرنترال 370 mg/1mL 20 mL - کارخانجات دارو پخش</t>
        </is>
      </c>
      <c r="C1847" s="25">
        <f>IF(COUNTIF('کدهای پیام‌داروساز'!$A$2:$A$2442,A1847)&gt;0,"بله","خیر")</f>
        <v/>
      </c>
    </row>
    <row r="1848" ht="15" customHeight="1" s="14">
      <c r="A1848" s="24" t="n">
        <v>13416</v>
      </c>
      <c r="B1848" s="24" t="inlineStr">
        <is>
          <t>پاميلوکس   تزريقي پرنترال 300 mg/1mL 20 mL - کارخانجات دارو پخش</t>
        </is>
      </c>
      <c r="C1848" s="25">
        <f>IF(COUNTIF('کدهای پیام‌داروساز'!$A$2:$A$2442,A1848)&gt;0,"بله","خیر")</f>
        <v/>
      </c>
    </row>
    <row r="1849" ht="15" customHeight="1" s="14">
      <c r="A1849" s="24" t="n">
        <v>13425</v>
      </c>
      <c r="B1849" s="24" t="inlineStr">
        <is>
          <t>راسيلز   قرص خوراکي 300 mg  [Amb'a'1'U] - فوريتهاي سينا آرات گستر</t>
        </is>
      </c>
      <c r="C1849" s="25">
        <f>IF(COUNTIF('کدهای پیام‌داروساز'!$A$2:$A$2442,A1849)&gt;0,"بله","خیر")</f>
        <v/>
      </c>
    </row>
    <row r="1850" ht="15" customHeight="1" s="14">
      <c r="A1850" s="24" t="n">
        <v>13434</v>
      </c>
      <c r="B1850" s="24" t="inlineStr">
        <is>
          <t>آپريتد   کپسول خوراکي 125 mg - دارو سازي تهران دارو</t>
        </is>
      </c>
      <c r="C1850" s="25">
        <f>IF(COUNTIF('کدهای پیام‌داروساز'!$A$2:$A$2442,A1850)&gt;0,"بله","خیر")</f>
        <v/>
      </c>
    </row>
    <row r="1851" ht="15" customHeight="1" s="14">
      <c r="A1851" s="24" t="n">
        <v>13435</v>
      </c>
      <c r="B1851" s="24" t="inlineStr">
        <is>
          <t>ابيتانت   کپسول خوراکي 80 mg - داروسازي دکتر عبيدي</t>
        </is>
      </c>
      <c r="C1851" s="25">
        <f>IF(COUNTIF('کدهای پیام‌داروساز'!$A$2:$A$2442,A1851)&gt;0,"بله","خیر")</f>
        <v/>
      </c>
    </row>
    <row r="1852" ht="15" customHeight="1" s="14">
      <c r="A1852" s="24" t="n">
        <v>13497</v>
      </c>
      <c r="B1852" s="24" t="inlineStr">
        <is>
          <t>سي-لاکس قرص - دينه (ورقي)</t>
        </is>
      </c>
      <c r="C1852" s="25">
        <f>IF(COUNTIF('کدهای پیام‌داروساز'!$A$2:$A$2442,A1852)&gt;0,"بله","خیر")</f>
        <v/>
      </c>
    </row>
    <row r="1853" ht="15" customHeight="1" s="14">
      <c r="A1853" s="24" t="n">
        <v>13524</v>
      </c>
      <c r="B1853" s="24" t="inlineStr">
        <is>
          <t>تدووين   قرص خوراکي 300 mg - توسعه بازرگاني دارويي سبحان</t>
        </is>
      </c>
      <c r="C1853" s="25">
        <f>IF(COUNTIF('کدهای پیام‌داروساز'!$A$2:$A$2442,A1853)&gt;0,"بله","خیر")</f>
        <v/>
      </c>
    </row>
    <row r="1854" ht="15" customHeight="1" s="14">
      <c r="A1854" s="24" t="n">
        <v>13536</v>
      </c>
      <c r="B1854" s="24" t="inlineStr">
        <is>
          <t>ابسرتين   پودر براي تهيه محلول تزريقي پرنترال 400 [iU]  [iU] - فراطب آيين</t>
        </is>
      </c>
      <c r="C1854" s="25">
        <f>IF(COUNTIF('کدهای پیام‌داروساز'!$A$2:$A$2442,A1854)&gt;0,"بله","خیر")</f>
        <v/>
      </c>
    </row>
    <row r="1855" ht="15" customHeight="1" s="14">
      <c r="A1855" s="24" t="n">
        <v>13571</v>
      </c>
      <c r="B1855" s="24" t="inlineStr">
        <is>
          <t>پاراکلست   قرص خوراکي 60 mg - داروسازي تهران شيمي</t>
        </is>
      </c>
      <c r="C1855" s="25">
        <f>IF(COUNTIF('کدهای پیام‌داروساز'!$A$2:$A$2442,A1855)&gt;0,"بله","خیر")</f>
        <v/>
      </c>
    </row>
    <row r="1856" ht="15" customHeight="1" s="14">
      <c r="A1856" s="24" t="n">
        <v>13573</v>
      </c>
      <c r="B1856" s="24" t="inlineStr">
        <is>
          <t>پين لاک   قرص خوراکي 10 mg</t>
        </is>
      </c>
      <c r="C1856" s="25">
        <f>IF(COUNTIF('کدهای پیام‌داروساز'!$A$2:$A$2442,A1856)&gt;0,"بله","خیر")</f>
        <v/>
      </c>
    </row>
    <row r="1857" ht="15" customHeight="1" s="14">
      <c r="A1857" s="24" t="n">
        <v>13583</v>
      </c>
      <c r="B1857" s="24" t="inlineStr">
        <is>
          <t>Pradaxa 150 mg   کپسول خوراکي 110 mg</t>
        </is>
      </c>
      <c r="C1857" s="25">
        <f>IF(COUNTIF('کدهای پیام‌داروساز'!$A$2:$A$2442,A1857)&gt;0,"بله","خیر")</f>
        <v/>
      </c>
    </row>
    <row r="1858" ht="15" customHeight="1" s="14">
      <c r="A1858" s="24" t="n">
        <v>13584</v>
      </c>
      <c r="B1858" s="24" t="inlineStr">
        <is>
          <t>بريلکسا   کپسول خوراکي 75 mg - داروسازي اکسير</t>
        </is>
      </c>
      <c r="C1858" s="25">
        <f>IF(COUNTIF('کدهای پیام‌داروساز'!$A$2:$A$2442,A1858)&gt;0,"بله","خیر")</f>
        <v/>
      </c>
    </row>
    <row r="1859" ht="15" customHeight="1" s="14">
      <c r="A1859" s="24" t="n">
        <v>13610</v>
      </c>
      <c r="B1859" s="24" t="inlineStr">
        <is>
          <t>ديپارون   قرص خوراکي 90 mg - داروسازي دکتر عبيدي</t>
        </is>
      </c>
      <c r="C1859" s="25">
        <f>IF(COUNTIF('کدهای پیام‌داروساز'!$A$2:$A$2442,A1859)&gt;0,"بله","خیر")</f>
        <v/>
      </c>
    </row>
    <row r="1860" ht="15" customHeight="1" s="14">
      <c r="A1860" s="24" t="n">
        <v>13616</v>
      </c>
      <c r="B1860" s="24" t="inlineStr">
        <is>
          <t>داي ليس   لوسيون موضعي 4 % 60 mL - خدمات بازرگاني و توليد سلمي دارو</t>
        </is>
      </c>
      <c r="C1860" s="25">
        <f>IF(COUNTIF('کدهای پیام‌داروساز'!$A$2:$A$2442,A1860)&gt;0,"بله","خیر")</f>
        <v/>
      </c>
    </row>
    <row r="1861" ht="15" customHeight="1" s="14">
      <c r="A1861" s="24" t="n">
        <v>13695</v>
      </c>
      <c r="B1861" s="24" t="inlineStr">
        <is>
          <t>پالموتون 6+200 ميکروگرم 120 پاف (بودزونايد + فورموترول فومارات) اينهالر - ELPEN</t>
        </is>
      </c>
      <c r="C1861" s="25">
        <f>IF(COUNTIF('کدهای پیام‌داروساز'!$A$2:$A$2442,A1861)&gt;0,"بله","خیر")</f>
        <v/>
      </c>
    </row>
    <row r="1862" ht="15" customHeight="1" s="14">
      <c r="A1862" s="24" t="n">
        <v>13696</v>
      </c>
      <c r="B1862" s="24" t="inlineStr">
        <is>
          <t>پالموتون 12+400 م ک گ 60 پاف (بودزونايد + فورموترول فومارات) اينهالر - ELPEN</t>
        </is>
      </c>
      <c r="C1862" s="25">
        <f>IF(COUNTIF('کدهای پیام‌داروساز'!$A$2:$A$2442,A1862)&gt;0,"بله","خیر")</f>
        <v/>
      </c>
    </row>
    <row r="1863" ht="15" customHeight="1" s="14">
      <c r="A1863" s="24" t="n">
        <v>13706</v>
      </c>
      <c r="B1863" s="24" t="inlineStr">
        <is>
          <t>استاپرل   کپسول با روکش ژلاتين خوراکي 500 mg - داروسازي زهراوي</t>
        </is>
      </c>
      <c r="C1863" s="25">
        <f>IF(COUNTIF('کدهای پیام‌داروساز'!$A$2:$A$2442,A1863)&gt;0,"بله","خیر")</f>
        <v/>
      </c>
    </row>
    <row r="1864" ht="15" customHeight="1" s="14">
      <c r="A1864" s="24" t="n">
        <v>13708</v>
      </c>
      <c r="B1864" s="24" t="inlineStr">
        <is>
          <t>استاپرل   کپسول حاوي مايع خوراکي 325 mg - داروسازي زهراوي</t>
        </is>
      </c>
      <c r="C1864" s="25">
        <f>IF(COUNTIF('کدهای پیام‌داروساز'!$A$2:$A$2442,A1864)&gt;0,"بله","خیر")</f>
        <v/>
      </c>
    </row>
    <row r="1865" ht="15" customHeight="1" s="14">
      <c r="A1865" s="24" t="n">
        <v>13710</v>
      </c>
      <c r="B1865" s="24" t="inlineStr">
        <is>
          <t>سرماخوردگي بزرگسالان   کپسول حاوي مايع خوراکي 325 mg/2 mg/5 mg - دارو سازي تهران دارو</t>
        </is>
      </c>
      <c r="C1865" s="25">
        <f>IF(COUNTIF('کدهای پیام‌داروساز'!$A$2:$A$2442,A1865)&gt;0,"بله","خیر")</f>
        <v/>
      </c>
    </row>
    <row r="1866" ht="15" customHeight="1" s="14">
      <c r="A1866" s="24" t="n">
        <v>13743</v>
      </c>
      <c r="B1866" s="24" t="inlineStr">
        <is>
          <t>زيدولام   قرص خوراکي 150 mg/300 mg - رايان دارو ايرانيان</t>
        </is>
      </c>
      <c r="C1866" s="25">
        <f>IF(COUNTIF('کدهای پیام‌داروساز'!$A$2:$A$2442,A1866)&gt;0,"بله","خیر")</f>
        <v/>
      </c>
    </row>
    <row r="1867" ht="15" customHeight="1" s="14">
      <c r="A1867" s="24" t="n">
        <v>13800</v>
      </c>
      <c r="B1867" s="24" t="inlineStr">
        <is>
          <t>ساليسيليک اسيد کامپاند   محلول موضعي 16.7 %/16.7 % 18 mL - کيميا دارو سپهر</t>
        </is>
      </c>
      <c r="C1867" s="25">
        <f>IF(COUNTIF('کدهای پیام‌داروساز'!$A$2:$A$2442,A1867)&gt;0,"بله","خیر")</f>
        <v/>
      </c>
    </row>
    <row r="1868" ht="15" customHeight="1" s="14">
      <c r="A1868" s="24" t="n">
        <v>13803</v>
      </c>
      <c r="B1868" s="24" t="inlineStr">
        <is>
          <t>آفي تريمازول 100 (کلوتريمازول) شياف واژينال - آوندفر</t>
        </is>
      </c>
      <c r="C1868" s="25">
        <f>IF(COUNTIF('کدهای پیام‌داروساز'!$A$2:$A$2442,A1868)&gt;0,"بله","خیر")</f>
        <v/>
      </c>
    </row>
    <row r="1869" ht="15" customHeight="1" s="14">
      <c r="A1869" s="24" t="n">
        <v>13830</v>
      </c>
      <c r="B1869" s="24" t="inlineStr">
        <is>
          <t>سايتوکرب   محلول غليظ تزريقي داخل وريدي 10 mg/1mL 45 mL - کيميا آرا هرم</t>
        </is>
      </c>
      <c r="C1869" s="25">
        <f>IF(COUNTIF('کدهای پیام‌داروساز'!$A$2:$A$2442,A1869)&gt;0,"بله","خیر")</f>
        <v/>
      </c>
    </row>
    <row r="1870" ht="15" customHeight="1" s="14">
      <c r="A1870" s="24" t="n">
        <v>13873</v>
      </c>
      <c r="B1870" s="24" t="inlineStr">
        <is>
          <t>آلوينتا   کپسول پيوسته رهش خوراکي 75 mg - اکتوورکو</t>
        </is>
      </c>
      <c r="C1870" s="25">
        <f>IF(COUNTIF('کدهای پیام‌داروساز'!$A$2:$A$2442,A1870)&gt;0,"بله","خیر")</f>
        <v/>
      </c>
    </row>
    <row r="1871" ht="15" customHeight="1" s="14">
      <c r="A1871" s="24" t="n">
        <v>13879</v>
      </c>
      <c r="B1871" s="24" t="inlineStr">
        <is>
          <t>آبراکسان   پودر براي تهيه سوسپانسيون تزريقي پرنترال 100 mg  mg - بازرگاني سها کيش</t>
        </is>
      </c>
      <c r="C1871" s="25">
        <f>IF(COUNTIF('کدهای پیام‌داروساز'!$A$2:$A$2442,A1871)&gt;0,"بله","خیر")</f>
        <v/>
      </c>
    </row>
    <row r="1872" ht="15" customHeight="1" s="14">
      <c r="A1872" s="24" t="n">
        <v>13898</v>
      </c>
      <c r="B1872" s="24" t="inlineStr">
        <is>
          <t>اکسي متازولين   اسپري از راه بيني 0.05 % 20 mL - داروسازي آني درمان</t>
        </is>
      </c>
      <c r="C1872" s="25">
        <f>IF(COUNTIF('کدهای پیام‌داروساز'!$A$2:$A$2442,A1872)&gt;0,"بله","خیر")</f>
        <v/>
      </c>
    </row>
    <row r="1873" ht="15" customHeight="1" s="14">
      <c r="A1873" s="24" t="n">
        <v>13899</v>
      </c>
      <c r="B1873" s="24" t="inlineStr">
        <is>
          <t xml:space="preserve">رينوزولين 0.05 درصد 15 ميلي گرم (اکسي متازولين هيدروکلرايد) اسپري بيني - سينا دارو </t>
        </is>
      </c>
      <c r="C1873" s="25">
        <f>IF(COUNTIF('کدهای پیام‌داروساز'!$A$2:$A$2442,A1873)&gt;0,"بله","خیر")</f>
        <v/>
      </c>
    </row>
    <row r="1874" ht="15" customHeight="1" s="14">
      <c r="A1874" s="24" t="n">
        <v>13919</v>
      </c>
      <c r="B1874" s="24" t="inlineStr">
        <is>
          <t>ليزونکس-اچ   قرص خوراکي 20 mg/25 mg - داروسازي ابوريحان</t>
        </is>
      </c>
      <c r="C1874" s="25">
        <f>IF(COUNTIF('کدهای پیام‌داروساز'!$A$2:$A$2442,A1874)&gt;0,"بله","خیر")</f>
        <v/>
      </c>
    </row>
    <row r="1875" ht="15" customHeight="1" s="14">
      <c r="A1875" s="24" t="n">
        <v>13923</v>
      </c>
      <c r="B1875" s="24" t="inlineStr">
        <is>
          <t>آلراژل   کپسول حاوي مايع خوراکي 10 mg - داروسازي دانا</t>
        </is>
      </c>
      <c r="C1875" s="25">
        <f>IF(COUNTIF('کدهای پیام‌داروساز'!$A$2:$A$2442,A1875)&gt;0,"بله","خیر")</f>
        <v/>
      </c>
    </row>
    <row r="1876" ht="15" customHeight="1" s="14">
      <c r="A1876" s="24" t="n">
        <v>13930</v>
      </c>
      <c r="B1876" s="24" t="inlineStr">
        <is>
          <t>هپاتيت بي ايمونوگلوبولين   تزريقي پرنترال 200 [iU]/1mL 5 [iU] - پويش دارو گستر برتر فارس</t>
        </is>
      </c>
      <c r="C1876" s="25">
        <f>IF(COUNTIF('کدهای پیام‌داروساز'!$A$2:$A$2442,A1876)&gt;0,"بله","خیر")</f>
        <v/>
      </c>
    </row>
    <row r="1877" ht="15" customHeight="1" s="14">
      <c r="A1877" s="24" t="n">
        <v>13935</v>
      </c>
      <c r="B1877" s="24" t="inlineStr">
        <is>
          <t>يوندليس   پودر براي تهيه محلول تزريقي پرنترال 1 mg  [Amb'a'1'U] - فوريتهاي سينا آرات گستر</t>
        </is>
      </c>
      <c r="C1877" s="25">
        <f>IF(COUNTIF('کدهای پیام‌داروساز'!$A$2:$A$2442,A1877)&gt;0,"بله","خیر")</f>
        <v/>
      </c>
    </row>
    <row r="1878" ht="15" customHeight="1" s="14">
      <c r="A1878" s="24" t="n">
        <v>13957</v>
      </c>
      <c r="B1878" s="24" t="inlineStr">
        <is>
          <t>استيل سيتئين   پودر خوراکي 600 mg  mg - داروئي و بهداشتي لقمان</t>
        </is>
      </c>
      <c r="C1878" s="25">
        <f>IF(COUNTIF('کدهای پیام‌داروساز'!$A$2:$A$2442,A1878)&gt;0,"بله","خیر")</f>
        <v/>
      </c>
    </row>
    <row r="1879" ht="15" customHeight="1" s="14">
      <c r="A1879" s="24" t="n">
        <v>13973</v>
      </c>
      <c r="B1879" s="24" t="inlineStr">
        <is>
          <t>ازونيوم (اس امپرازول) 20 م گ  کپسول - عبيدي</t>
        </is>
      </c>
      <c r="C1879" s="25">
        <f>IF(COUNTIF('کدهای پیام‌داروساز'!$A$2:$A$2442,A1879)&gt;0,"بله","خیر")</f>
        <v/>
      </c>
    </row>
    <row r="1880" ht="15" customHeight="1" s="14">
      <c r="A1880" s="24" t="n">
        <v>13974</v>
      </c>
      <c r="B1880" s="24" t="inlineStr">
        <is>
          <t>ازومان   کپسول انتريک کوتد خوراکي 40 mg - داروئي و بهداشتي لقمان</t>
        </is>
      </c>
      <c r="C1880" s="25">
        <f>IF(COUNTIF('کدهای پیام‌داروساز'!$A$2:$A$2442,A1880)&gt;0,"بله","خیر")</f>
        <v/>
      </c>
    </row>
    <row r="1881" ht="15" customHeight="1" s="14">
      <c r="A1881" s="24" t="n">
        <v>13980</v>
      </c>
      <c r="B1881" s="24" t="inlineStr">
        <is>
          <t>آنژي ريتم   قرص پيوسته رهش خوراکي 500 mg - هيواد دارو ايرانيان</t>
        </is>
      </c>
      <c r="C1881" s="25">
        <f>IF(COUNTIF('کدهای پیام‌داروساز'!$A$2:$A$2442,A1881)&gt;0,"بله","خیر")</f>
        <v/>
      </c>
    </row>
    <row r="1882" ht="15" customHeight="1" s="14">
      <c r="A1882" s="24" t="n">
        <v>13992</v>
      </c>
      <c r="B1882" s="24" t="inlineStr">
        <is>
          <t>اسپيراکسين   قرص خوراکي 200 mg - بازرگاني سها کيش</t>
        </is>
      </c>
      <c r="C1882" s="25">
        <f>IF(COUNTIF('کدهای پیام‌داروساز'!$A$2:$A$2442,A1882)&gt;0,"بله","خیر")</f>
        <v/>
      </c>
    </row>
    <row r="1883" ht="15" customHeight="1" s="14">
      <c r="A1883" s="24" t="n">
        <v>14000</v>
      </c>
      <c r="B1883" s="24" t="inlineStr">
        <is>
          <t>مرکاف   محلول تزريقي پرنترال 10 mg/1mL 3 mg - درمان ياب آنا</t>
        </is>
      </c>
      <c r="C1883" s="25">
        <f>IF(COUNTIF('کدهای پیام‌داروساز'!$A$2:$A$2442,A1883)&gt;0,"بله","خیر")</f>
        <v/>
      </c>
    </row>
    <row r="1884" ht="15" customHeight="1" s="14">
      <c r="A1884" s="24" t="n">
        <v>14051</v>
      </c>
      <c r="B1884" s="24" t="inlineStr">
        <is>
          <t>واکسن آبهاي رب   پودر براي تهيه سوسپانسيون تزريقي پرنترال 2.5 [iU] 0.5 mg - رايان دارو ايرانيان</t>
        </is>
      </c>
      <c r="C1884" s="25">
        <f>IF(COUNTIF('کدهای پیام‌داروساز'!$A$2:$A$2442,A1884)&gt;0,"بله","خیر")</f>
        <v/>
      </c>
    </row>
    <row r="1885" ht="15" customHeight="1" s="14">
      <c r="A1885" s="24" t="n">
        <v>14098</v>
      </c>
      <c r="B1885" s="24" t="inlineStr">
        <is>
          <t>آلمترا   پودر لئوفيليزه براي تهيه محلول تزريقي پرنترال 100 mg  mg - سه دال نانو</t>
        </is>
      </c>
      <c r="C1885" s="25">
        <f>IF(COUNTIF('کدهای پیام‌داروساز'!$A$2:$A$2442,A1885)&gt;0,"بله","خیر")</f>
        <v/>
      </c>
    </row>
    <row r="1886" ht="15" customHeight="1" s="14">
      <c r="A1886" s="24" t="n">
        <v>14109</v>
      </c>
      <c r="B1886" s="24" t="inlineStr">
        <is>
          <t>فوسام   تزريقي پرنترال 216 mg/1mL 20 mg - دارويي پرسون بام بين الملل</t>
        </is>
      </c>
      <c r="C1886" s="25">
        <f>IF(COUNTIF('کدهای پیام‌داروساز'!$A$2:$A$2442,A1886)&gt;0,"بله","خیر")</f>
        <v/>
      </c>
    </row>
    <row r="1887" ht="15" customHeight="1" s="14">
      <c r="A1887" s="24" t="n">
        <v>14111</v>
      </c>
      <c r="B1887" s="24" t="inlineStr">
        <is>
          <t>پديتريس   تزريقي پرنترال 521 ug/53.7 ug/3.6 ug/6.66 ug/126 ug/1.31 ug/1mL 10 mL - درمان ياب دارو</t>
        </is>
      </c>
      <c r="C1887" s="25">
        <f>IF(COUNTIF('کدهای پیام‌داروساز'!$A$2:$A$2442,A1887)&gt;0,"بله","خیر")</f>
        <v/>
      </c>
    </row>
    <row r="1888" ht="15" customHeight="1" s="14">
      <c r="A1888" s="24" t="n">
        <v>14113</v>
      </c>
      <c r="B1888" s="24" t="inlineStr">
        <is>
          <t>آدامل ان   تزريقي پرنترال 5.33 ug/0.34 mg/0.54 mg/99 ug/16.6 ug/0.21 mg/4.85 ug/6.9 ug/1.36 mg/1mL 10 mL - درمان ياب دارو</t>
        </is>
      </c>
      <c r="C1888" s="25">
        <f>IF(COUNTIF('کدهای پیام‌داروساز'!$A$2:$A$2442,A1888)&gt;0,"بله","خیر")</f>
        <v/>
      </c>
    </row>
    <row r="1889" ht="15" customHeight="1" s="14">
      <c r="A1889" s="24" t="n">
        <v>14115</v>
      </c>
      <c r="B1889" s="24" t="inlineStr">
        <is>
          <t>آمينوپلاسمال بي.براون 10 %   محلول تزريقي داخل وريدي 250 mL - نيکان فارمد</t>
        </is>
      </c>
      <c r="C1889" s="25">
        <f>IF(COUNTIF('کدهای پیام‌داروساز'!$A$2:$A$2442,A1889)&gt;0,"بله","خیر")</f>
        <v/>
      </c>
    </row>
    <row r="1890" ht="15" customHeight="1" s="14">
      <c r="A1890" s="24" t="n">
        <v>14119</v>
      </c>
      <c r="B1890" s="24" t="inlineStr">
        <is>
          <t>آرتينيبسا   تزريقي پرنترال 4 %/0.001 %/1 mL 1.8 mg - درمان ياب دارو</t>
        </is>
      </c>
      <c r="C1890" s="25">
        <f>IF(COUNTIF('کدهای پیام‌داروساز'!$A$2:$A$2442,A1890)&gt;0,"بله","خیر")</f>
        <v/>
      </c>
    </row>
    <row r="1891" ht="15" customHeight="1" s="14">
      <c r="A1891" s="24" t="n">
        <v>14120</v>
      </c>
      <c r="B1891" s="24" t="inlineStr">
        <is>
          <t>آرتيکائين با اپي نفرين پيرل   تزريقي پرنترال 4 %/0.0005 %/1 mL 1.8 mL - هنگام دندان</t>
        </is>
      </c>
      <c r="C1891" s="25">
        <f>IF(COUNTIF('کدهای پیام‌داروساز'!$A$2:$A$2442,A1891)&gt;0,"بله","خیر")</f>
        <v/>
      </c>
    </row>
    <row r="1892" ht="15" customHeight="1" s="14">
      <c r="A1892" s="24" t="n">
        <v>14142</v>
      </c>
      <c r="B1892" s="24" t="inlineStr">
        <is>
          <t>سالمفلو (سالمترول / فلوتيکازون)ميکروگرم 120 دوز 125 / 25استنشاقي اينووا هلث کر</t>
        </is>
      </c>
      <c r="C1892" s="25">
        <f>IF(COUNTIF('کدهای پیام‌داروساز'!$A$2:$A$2442,A1892)&gt;0,"بله","خیر")</f>
        <v/>
      </c>
    </row>
    <row r="1893" ht="15" customHeight="1" s="14">
      <c r="A1893" s="24" t="n">
        <v>14155</v>
      </c>
      <c r="B1893" s="24" t="inlineStr">
        <is>
          <t>دياکوميت   کپسول خوراکي 250 mg - بازرگاني سها کيش</t>
        </is>
      </c>
      <c r="C1893" s="25">
        <f>IF(COUNTIF('کدهای پیام‌داروساز'!$A$2:$A$2442,A1893)&gt;0,"بله","خیر")</f>
        <v/>
      </c>
    </row>
    <row r="1894" ht="15" customHeight="1" s="14">
      <c r="A1894" s="24" t="n">
        <v>14202</v>
      </c>
      <c r="B1894" s="24" t="inlineStr">
        <is>
          <t>رويتوميکس   پودر لئوفيليزه براي تهيه محلول تزريقي پرنترال 0.25 mg/0.36 mg/0.4 mg/0.5 ug/4 mg/1.5 mg/6 ug/10 mg/40 ug/1mL 10 mL - فناوران دارويي باراد فارمد</t>
        </is>
      </c>
      <c r="C1894" s="25">
        <f>IF(COUNTIF('کدهای پیام‌داروساز'!$A$2:$A$2442,A1894)&gt;0,"بله","خیر")</f>
        <v/>
      </c>
    </row>
    <row r="1895" ht="15" customHeight="1" s="14">
      <c r="A1895" s="24" t="n">
        <v>14214</v>
      </c>
      <c r="B1895" s="24" t="inlineStr">
        <is>
          <t>ليزونکس-اچ   قرص خوراکي 12.5 mg/10 mg - داروسازي ابوريحان</t>
        </is>
      </c>
      <c r="C1895" s="25">
        <f>IF(COUNTIF('کدهای پیام‌داروساز'!$A$2:$A$2442,A1895)&gt;0,"بله","خیر")</f>
        <v/>
      </c>
    </row>
    <row r="1896" ht="15" customHeight="1" s="14">
      <c r="A1896" s="24" t="n">
        <v>14254</v>
      </c>
      <c r="B1896" s="24" t="inlineStr">
        <is>
          <t>استامينوفن   محلول تزريقي داخل وريدي 10 mg/1mL 100 mL - داروسازي شهيد قاضي</t>
        </is>
      </c>
      <c r="C1896" s="25">
        <f>IF(COUNTIF('کدهای پیام‌داروساز'!$A$2:$A$2442,A1896)&gt;0,"بله","خیر")</f>
        <v/>
      </c>
    </row>
    <row r="1897" ht="15" customHeight="1" s="14">
      <c r="A1897" s="24" t="n">
        <v>14266</v>
      </c>
      <c r="B1897" s="24" t="inlineStr">
        <is>
          <t>ويگاموکس   محلول، قطره چشمي 0.5 % 5 % - پويش دارو گستر برتر فارس</t>
        </is>
      </c>
      <c r="C1897" s="25">
        <f>IF(COUNTIF('کدهای پیام‌داروساز'!$A$2:$A$2442,A1897)&gt;0,"بله","خیر")</f>
        <v/>
      </c>
    </row>
    <row r="1898" ht="15" customHeight="1" s="14">
      <c r="A1898" s="24" t="n">
        <v>14399</v>
      </c>
      <c r="B1898" s="24" t="inlineStr">
        <is>
          <t>باريم نيکسادا   سوسپانسيون خوراکي 1 g/1mL 240 mL - نيک سامان دارو</t>
        </is>
      </c>
      <c r="C1898" s="25">
        <f>IF(COUNTIF('کدهای پیام‌داروساز'!$A$2:$A$2442,A1898)&gt;0,"بله","خیر")</f>
        <v/>
      </c>
    </row>
    <row r="1899" ht="15" customHeight="1" s="14">
      <c r="A1899" s="24" t="n">
        <v>14456</v>
      </c>
      <c r="B1899" s="24" t="inlineStr">
        <is>
          <t>نووسون آر تي   پودر لئوفيليزه براي تهيه محلول تزريقي پرنترال 1 mg  mg - آريوژن فارمد</t>
        </is>
      </c>
      <c r="C1899" s="25">
        <f>IF(COUNTIF('کدهای پیام‌داروساز'!$A$2:$A$2442,A1899)&gt;0,"بله","خیر")</f>
        <v/>
      </c>
    </row>
    <row r="1900" ht="15" customHeight="1" s="14">
      <c r="A1900" s="24" t="n">
        <v>14457</v>
      </c>
      <c r="B1900" s="24" t="inlineStr">
        <is>
          <t>آريوسون آر تي   پودر لئوفيليزه براي تهيه محلول تزريقي پرنترال 2 mg  mg - آريوژن فارمد</t>
        </is>
      </c>
      <c r="C1900" s="25">
        <f>IF(COUNTIF('کدهای پیام‌داروساز'!$A$2:$A$2442,A1900)&gt;0,"بله","خیر")</f>
        <v/>
      </c>
    </row>
    <row r="1901" ht="15" customHeight="1" s="14">
      <c r="A1901" s="24" t="n">
        <v>14495</v>
      </c>
      <c r="B1901" s="24" t="inlineStr">
        <is>
          <t>پاراستامول بي.براون   محلول تزريقي داخل وريدي 10 mg/1mL 50 mL - نيکان فارمد</t>
        </is>
      </c>
      <c r="C1901" s="25">
        <f>IF(COUNTIF('کدهای پیام‌داروساز'!$A$2:$A$2442,A1901)&gt;0,"بله","خیر")</f>
        <v/>
      </c>
    </row>
    <row r="1902" ht="15" customHeight="1" s="14">
      <c r="A1902" s="24" t="n">
        <v>14528</v>
      </c>
      <c r="B1902" s="24" t="inlineStr">
        <is>
          <t>اوتورال   تزريقي پرنترال 50 mg/1mL 10 mg - رويان دارو</t>
        </is>
      </c>
      <c r="C1902" s="25">
        <f>IF(COUNTIF('کدهای پیام‌داروساز'!$A$2:$A$2442,A1902)&gt;0,"بله","خیر")</f>
        <v/>
      </c>
    </row>
    <row r="1903" ht="15" customHeight="1" s="14">
      <c r="A1903" s="24" t="n">
        <v>14530</v>
      </c>
      <c r="B1903" s="24" t="inlineStr">
        <is>
          <t>ابفلورو   تزريقي پرنترال 50 mg/1mL 20 mg - کاوش گستر دارو</t>
        </is>
      </c>
      <c r="C1903" s="25">
        <f>IF(COUNTIF('کدهای پیام‌داروساز'!$A$2:$A$2442,A1903)&gt;0,"بله","خیر")</f>
        <v/>
      </c>
    </row>
    <row r="1904" ht="15" customHeight="1" s="14">
      <c r="A1904" s="24" t="n">
        <v>14532</v>
      </c>
      <c r="B1904" s="24" t="inlineStr">
        <is>
          <t>آنتراسين   محلول غليظ تزريقي پرنترال 2 mg/1mL 25 mg - درمان ياب دارو</t>
        </is>
      </c>
      <c r="C1904" s="25">
        <f>IF(COUNTIF('کدهای پیام‌داروساز'!$A$2:$A$2442,A1904)&gt;0,"بله","خیر")</f>
        <v/>
      </c>
    </row>
    <row r="1905" ht="15" customHeight="1" s="14">
      <c r="A1905" s="24" t="n">
        <v>14541</v>
      </c>
      <c r="B1905" s="24" t="inlineStr">
        <is>
          <t>فلوميست 50 ميکروگرم 10 ميلي ليتر 100 پاف (فلوتيکازون پروپيونات) اسپري بيني - CIPLA(کوشان فارمد)</t>
        </is>
      </c>
      <c r="C1905" s="25">
        <f>IF(COUNTIF('کدهای پیام‌داروساز'!$A$2:$A$2442,A1905)&gt;0,"بله","خیر")</f>
        <v/>
      </c>
    </row>
    <row r="1906" ht="15" customHeight="1" s="14">
      <c r="A1906" s="24" t="n">
        <v>14626</v>
      </c>
      <c r="B1906" s="24" t="inlineStr">
        <is>
          <t>ريفامپيسين   شربت خوراکي 20 mg/1mL 200 mL - کي بي سي</t>
        </is>
      </c>
      <c r="C1906" s="25">
        <f>IF(COUNTIF('کدهای پیام‌داروساز'!$A$2:$A$2442,A1906)&gt;0,"بله","خیر")</f>
        <v/>
      </c>
    </row>
    <row r="1907" ht="15" customHeight="1" s="14">
      <c r="A1907" s="24" t="n">
        <v>14659</v>
      </c>
      <c r="B1907" s="24" t="inlineStr">
        <is>
          <t>ايمووکس پوليو   تزريقي پرنترال 1 {dose}  mL - سانوفي آونتيس گروپ</t>
        </is>
      </c>
      <c r="C1907" s="25">
        <f>IF(COUNTIF('کدهای پیام‌داروساز'!$A$2:$A$2442,A1907)&gt;0,"بله","خیر")</f>
        <v/>
      </c>
    </row>
    <row r="1908" ht="15" customHeight="1" s="14">
      <c r="A1908" s="24" t="n">
        <v>14664</v>
      </c>
      <c r="B1908" s="24" t="inlineStr">
        <is>
          <t>فيبروگامين   پودر لئوفيليزه براي تهيه محلول تزريقي پرنترال 250 [iU]  [iU] - اوين دارو</t>
        </is>
      </c>
      <c r="C1908" s="25">
        <f>IF(COUNTIF('کدهای پیام‌داروساز'!$A$2:$A$2442,A1908)&gt;0,"بله","خیر")</f>
        <v/>
      </c>
    </row>
    <row r="1909" ht="15" customHeight="1" s="14">
      <c r="A1909" s="24" t="n">
        <v>14710</v>
      </c>
      <c r="B1909" s="24" t="inlineStr">
        <is>
          <t>زاويترول   تزريقي پرنترال 1 ug/1mL  mL - داروسازي زهراوي</t>
        </is>
      </c>
      <c r="C1909" s="25">
        <f>IF(COUNTIF('کدهای پیام‌داروساز'!$A$2:$A$2442,A1909)&gt;0,"بله","خیر")</f>
        <v/>
      </c>
    </row>
    <row r="1910" ht="15" customHeight="1" s="14">
      <c r="A1910" s="24" t="n">
        <v>14735</v>
      </c>
      <c r="B1910" s="24" t="inlineStr">
        <is>
          <t>تريپترو   پودر لئوفيليزه براي تهيه سوسپانسيون تزريقي پيوسته رهش پرنترال 11.25 mg  mg - يارا طب خاورميانه</t>
        </is>
      </c>
      <c r="C1910" s="25">
        <f>IF(COUNTIF('کدهای پیام‌داروساز'!$A$2:$A$2442,A1910)&gt;0,"بله","خیر")</f>
        <v/>
      </c>
    </row>
    <row r="1911" ht="15" customHeight="1" s="14">
      <c r="A1911" s="24" t="n">
        <v>14860</v>
      </c>
      <c r="B1911" s="24" t="inlineStr">
        <is>
          <t>آملوديپين / والسارتان - ثنامد   قرص خوراکي 5 mg/160 mg - داروسازي ثنامد</t>
        </is>
      </c>
      <c r="C1911" s="25">
        <f>IF(COUNTIF('کدهای پیام‌داروساز'!$A$2:$A$2442,A1911)&gt;0,"بله","خیر")</f>
        <v/>
      </c>
    </row>
    <row r="1912" ht="15" customHeight="1" s="14">
      <c r="A1912" s="24" t="n">
        <v>14870</v>
      </c>
      <c r="B1912" s="24" t="inlineStr">
        <is>
          <t>دروسبلا   قرص خوراکي 3 mg/0.02 mg - دارو سازي آتي فارمد</t>
        </is>
      </c>
      <c r="C1912" s="25">
        <f>IF(COUNTIF('کدهای پیام‌داروساز'!$A$2:$A$2442,A1912)&gt;0,"بله","خیر")</f>
        <v/>
      </c>
    </row>
    <row r="1913" ht="15" customHeight="1" s="14">
      <c r="A1913" s="24" t="n">
        <v>14887</v>
      </c>
      <c r="B1913" s="24" t="inlineStr">
        <is>
          <t>آويلوتينيب   قرص خوراکي 100 mg - داروسازي آوه سينا</t>
        </is>
      </c>
      <c r="C1913" s="25">
        <f>IF(COUNTIF('کدهای پیام‌داروساز'!$A$2:$A$2442,A1913)&gt;0,"بله","خیر")</f>
        <v/>
      </c>
    </row>
    <row r="1914" ht="15" customHeight="1" s="14">
      <c r="A1914" s="24" t="n">
        <v>15068</v>
      </c>
      <c r="B1914" s="24" t="inlineStr">
        <is>
          <t>آزماسول   اسپري با دوز اندازه گيري شده استنشاقي 100 ug/1{dose} 200 {dose} - دارو درمان آرنگ</t>
        </is>
      </c>
      <c r="C1914" s="25">
        <f>IF(COUNTIF('کدهای پیام‌داروساز'!$A$2:$A$2442,A1914)&gt;0,"بله","خیر")</f>
        <v/>
      </c>
    </row>
    <row r="1915" ht="15" customHeight="1" s="14">
      <c r="A1915" s="24" t="n">
        <v>15142</v>
      </c>
      <c r="B1915" s="24" t="inlineStr">
        <is>
          <t>آفيندامايسين   شياف واژينال 100 mg - ايران آوند فر</t>
        </is>
      </c>
      <c r="C1915" s="25">
        <f>IF(COUNTIF('کدهای پیام‌داروساز'!$A$2:$A$2442,A1915)&gt;0,"بله","خیر")</f>
        <v/>
      </c>
    </row>
    <row r="1916" ht="15" customHeight="1" s="14">
      <c r="A1916" s="24" t="n">
        <v>15157</v>
      </c>
      <c r="B1916" s="24" t="inlineStr">
        <is>
          <t>آکتمرا   محلول غليظ تزريقي پرنترال 20 mg/1mL 20 mg - بازرگاني سها کيش</t>
        </is>
      </c>
      <c r="C1916" s="25">
        <f>IF(COUNTIF('کدهای پیام‌داروساز'!$A$2:$A$2442,A1916)&gt;0,"بله","خیر")</f>
        <v/>
      </c>
    </row>
    <row r="1917" ht="15" customHeight="1" s="14">
      <c r="A1917" s="24" t="n">
        <v>15224</v>
      </c>
      <c r="B1917" s="24" t="inlineStr">
        <is>
          <t>کلسي کر شربت 200 ميلي ليتر - خوارزمي</t>
        </is>
      </c>
      <c r="C1917" s="25">
        <f>IF(COUNTIF('کدهای پیام‌داروساز'!$A$2:$A$2442,A1917)&gt;0,"بله","خیر")</f>
        <v/>
      </c>
    </row>
    <row r="1918" ht="15" customHeight="1" s="14">
      <c r="A1918" s="24" t="n">
        <v>15281</v>
      </c>
      <c r="B1918" s="24" t="inlineStr">
        <is>
          <t>آي سي جي پولسيون   پودر براي تهيه محلول تزريقي پرنترال 25 mg - پويش دارو گستر برتر فارس</t>
        </is>
      </c>
      <c r="C1918" s="25">
        <f>IF(COUNTIF('کدهای پیام‌داروساز'!$A$2:$A$2442,A1918)&gt;0,"بله","خیر")</f>
        <v/>
      </c>
    </row>
    <row r="1919" ht="15" customHeight="1" s="14">
      <c r="A1919" s="24" t="n">
        <v>15311</v>
      </c>
      <c r="B1919" s="24" t="inlineStr">
        <is>
          <t>لايريور   کپسول خوراکي 225 mg - اکتوورکو</t>
        </is>
      </c>
      <c r="C1919" s="25">
        <f>IF(COUNTIF('کدهای پیام‌داروساز'!$A$2:$A$2442,A1919)&gt;0,"بله","خیر")</f>
        <v/>
      </c>
    </row>
    <row r="1920" ht="15" customHeight="1" s="14">
      <c r="A1920" s="24" t="n">
        <v>15449</v>
      </c>
      <c r="B1920" s="24" t="inlineStr">
        <is>
          <t>گوترون   قرص خوراکي 5 mg  [Amb'a'1'U] - فوريتهاي سينا آرات گستر</t>
        </is>
      </c>
      <c r="C1920" s="25">
        <f>IF(COUNTIF('کدهای پیام‌داروساز'!$A$2:$A$2442,A1920)&gt;0,"بله","خیر")</f>
        <v/>
      </c>
    </row>
    <row r="1921" ht="15" customHeight="1" s="14">
      <c r="A1921" s="24" t="n">
        <v>15465</v>
      </c>
      <c r="B1921" s="24" t="inlineStr">
        <is>
          <t>تدافن سينوس   کپسول حاوي مايع خوراکي 200 mg/5 mg - دارو سازي تهران دارو</t>
        </is>
      </c>
      <c r="C1921" s="25">
        <f>IF(COUNTIF('کدهای پیام‌داروساز'!$A$2:$A$2442,A1921)&gt;0,"بله","خیر")</f>
        <v/>
      </c>
    </row>
    <row r="1922" ht="15" customHeight="1" s="14">
      <c r="A1922" s="24" t="n">
        <v>15467</v>
      </c>
      <c r="B1922" s="24" t="inlineStr">
        <is>
          <t>سرتاکول   کرم موضعي 2 % 15 g - داروسازي توليد دارو</t>
        </is>
      </c>
      <c r="C1922" s="25">
        <f>IF(COUNTIF('کدهای پیام‌داروساز'!$A$2:$A$2442,A1922)&gt;0,"بله","خیر")</f>
        <v/>
      </c>
    </row>
    <row r="1923" ht="15" customHeight="1" s="14">
      <c r="A1923" s="24" t="n">
        <v>15478</v>
      </c>
      <c r="B1923" s="24" t="inlineStr">
        <is>
          <t>دايسميا   قرص خوراکي 50 mg/1000 mg - کوشان فارمد</t>
        </is>
      </c>
      <c r="C1923" s="25">
        <f>IF(COUNTIF('کدهای پیام‌داروساز'!$A$2:$A$2442,A1923)&gt;0,"بله","خیر")</f>
        <v/>
      </c>
    </row>
    <row r="1924" ht="15" customHeight="1" s="14">
      <c r="A1924" s="24" t="n">
        <v>15589</v>
      </c>
      <c r="B1924" s="24" t="inlineStr">
        <is>
          <t>اندوميگرن   قرص خوراکي 85 mg/500 mg - اکتوورکو</t>
        </is>
      </c>
      <c r="C1924" s="25">
        <f>IF(COUNTIF('کدهای پیام‌داروساز'!$A$2:$A$2442,A1924)&gt;0,"بله","خیر")</f>
        <v/>
      </c>
    </row>
    <row r="1925" ht="15" customHeight="1" s="14">
      <c r="A1925" s="24" t="n">
        <v>15618</v>
      </c>
      <c r="B1925" s="24" t="inlineStr">
        <is>
          <t>بايوکويتين150(کوئتياپين)قرص - باختر بيوشيمي</t>
        </is>
      </c>
      <c r="C1925" s="25">
        <f>IF(COUNTIF('کدهای پیام‌داروساز'!$A$2:$A$2442,A1925)&gt;0,"بله","خیر")</f>
        <v/>
      </c>
    </row>
    <row r="1926" ht="15" customHeight="1" s="14">
      <c r="A1926" s="24" t="n">
        <v>15666</v>
      </c>
      <c r="B1926" s="24" t="inlineStr">
        <is>
          <t>ديفرلين   تزريقي پرنترال 95.6 ug  mg - گروه داروئي داريان سلامت</t>
        </is>
      </c>
      <c r="C1926" s="25">
        <f>IF(COUNTIF('کدهای پیام‌داروساز'!$A$2:$A$2442,A1926)&gt;0,"بله","خیر")</f>
        <v/>
      </c>
    </row>
    <row r="1927" ht="15" customHeight="1" s="14">
      <c r="A1927" s="24" t="n">
        <v>15691</v>
      </c>
      <c r="B1927" s="24" t="inlineStr">
        <is>
          <t>آراکسيا   تزريقي پرنترال 5 mg/1mL 20 mg - تحقيقاتي وتوليدي سينا ژن</t>
        </is>
      </c>
      <c r="C1927" s="25">
        <f>IF(COUNTIF('کدهای پیام‌داروساز'!$A$2:$A$2442,A1927)&gt;0,"بله","خیر")</f>
        <v/>
      </c>
    </row>
    <row r="1928" ht="15" customHeight="1" s="14">
      <c r="A1928" s="24" t="n">
        <v>15754</v>
      </c>
      <c r="B1928" s="24" t="inlineStr">
        <is>
          <t>آراسيميت 50/500 (سيتاگليپتين/متفورمين) قرص - آراميس</t>
        </is>
      </c>
      <c r="C1928" s="25">
        <f>IF(COUNTIF('کدهای پیام‌داروساز'!$A$2:$A$2442,A1928)&gt;0,"بله","خیر")</f>
        <v/>
      </c>
    </row>
    <row r="1929" ht="15" customHeight="1" s="14">
      <c r="A1929" s="24" t="n">
        <v>15846</v>
      </c>
      <c r="B1929" s="24" t="inlineStr">
        <is>
          <t>اس تي پاز   پودر براي تهيه محلول تزريقي پرنترال 1500000 [iU]  [iU] - نور انديشان روز آمد</t>
        </is>
      </c>
      <c r="C1929" s="25">
        <f>IF(COUNTIF('کدهای پیام‌داروساز'!$A$2:$A$2442,A1929)&gt;0,"بله","خیر")</f>
        <v/>
      </c>
    </row>
    <row r="1930" ht="15" customHeight="1" s="14">
      <c r="A1930" s="24" t="n">
        <v>15856</v>
      </c>
      <c r="B1930" s="24" t="inlineStr">
        <is>
          <t>آملوديپين / والسارتان   قرص خوراکي 10 mg/160 mg - داروسازي و مکملهاي غذايي حياتي کارن</t>
        </is>
      </c>
      <c r="C1930" s="25">
        <f>IF(COUNTIF('کدهای پیام‌داروساز'!$A$2:$A$2442,A1930)&gt;0,"بله","خیر")</f>
        <v/>
      </c>
    </row>
    <row r="1931" ht="15" customHeight="1" s="14">
      <c r="A1931" s="24" t="n">
        <v>15893</v>
      </c>
      <c r="B1931" s="24" t="inlineStr">
        <is>
          <t>آکنوسيکلين   کپسول خوراکي 50 mg - داروسازي مداوا</t>
        </is>
      </c>
      <c r="C1931" s="25">
        <f>IF(COUNTIF('کدهای پیام‌داروساز'!$A$2:$A$2442,A1931)&gt;0,"بله","خیر")</f>
        <v/>
      </c>
    </row>
    <row r="1932" ht="15" customHeight="1" s="14">
      <c r="A1932" s="24" t="n">
        <v>15917</v>
      </c>
      <c r="B1932" s="24" t="inlineStr">
        <is>
          <t>آويفناک   قرص خوراکي 50 mg - داروسازي آوه سينا</t>
        </is>
      </c>
      <c r="C1932" s="25">
        <f>IF(COUNTIF('کدهای پیام‌داروساز'!$A$2:$A$2442,A1932)&gt;0,"بله","خیر")</f>
        <v/>
      </c>
    </row>
    <row r="1933" ht="15" customHeight="1" s="14">
      <c r="A1933" s="24" t="n">
        <v>15951</v>
      </c>
      <c r="B1933" s="24" t="inlineStr">
        <is>
          <t>دکستروز   محلول تزريقي داخل وريدي 20 % 50 mL - انستيتو پاستور ايران</t>
        </is>
      </c>
      <c r="C1933" s="25">
        <f>IF(COUNTIF('کدهای پیام‌داروساز'!$A$2:$A$2442,A1933)&gt;0,"بله","خیر")</f>
        <v/>
      </c>
    </row>
    <row r="1934" ht="15" customHeight="1" s="14">
      <c r="A1934" s="24" t="n">
        <v>15952</v>
      </c>
      <c r="B1934" s="24" t="inlineStr">
        <is>
          <t>دکستروز   محلول غليظ تزريقي داخل وريدي 50 % 50 mL - انستيتو پاستور ايران</t>
        </is>
      </c>
      <c r="C1934" s="25">
        <f>IF(COUNTIF('کدهای پیام‌داروساز'!$A$2:$A$2442,A1934)&gt;0,"بله","خیر")</f>
        <v/>
      </c>
    </row>
    <row r="1935" ht="15" customHeight="1" s="14">
      <c r="A1935" s="24" t="n">
        <v>15970</v>
      </c>
      <c r="B1935" s="24" t="inlineStr">
        <is>
          <t>آ.د.مايسين   محلول غليظ تزريقي پرنترال 2 mg/1mL 5 mg - توسعه سلامت اطلس</t>
        </is>
      </c>
      <c r="C1935" s="25">
        <f>IF(COUNTIF('کدهای پیام‌داروساز'!$A$2:$A$2442,A1935)&gt;0,"بله","خیر")</f>
        <v/>
      </c>
    </row>
    <row r="1936" ht="15" customHeight="1" s="14">
      <c r="A1936" s="24" t="n">
        <v>15971</v>
      </c>
      <c r="B1936" s="24" t="inlineStr">
        <is>
          <t>آ.د.مايسين   محلول غليظ تزريقي پرنترال 2 mg/1mL 25 mg - توسعه سلامت اطلس</t>
        </is>
      </c>
      <c r="C1936" s="25">
        <f>IF(COUNTIF('کدهای پیام‌داروساز'!$A$2:$A$2442,A1936)&gt;0,"بله","خیر")</f>
        <v/>
      </c>
    </row>
    <row r="1937" ht="15" customHeight="1" s="14">
      <c r="A1937" s="24" t="n">
        <v>15978</v>
      </c>
      <c r="B1937" s="24" t="inlineStr">
        <is>
          <t>واريوپپتيل 0.1 (تريپتورلين) - واريان فارمد</t>
        </is>
      </c>
      <c r="C1937" s="25">
        <f>IF(COUNTIF('کدهای پیام‌داروساز'!$A$2:$A$2442,A1937)&gt;0,"بله","خیر")</f>
        <v/>
      </c>
    </row>
    <row r="1938" ht="15" customHeight="1" s="14">
      <c r="A1938" s="24" t="n">
        <v>16009</v>
      </c>
      <c r="B1938" s="24" t="inlineStr">
        <is>
          <t>افيگرل   قرص خوراکي 10 mg - دارو سازي اسوه</t>
        </is>
      </c>
      <c r="C1938" s="25">
        <f>IF(COUNTIF('کدهای پیام‌داروساز'!$A$2:$A$2442,A1938)&gt;0,"بله","خیر")</f>
        <v/>
      </c>
    </row>
    <row r="1939" ht="15" customHeight="1" s="14">
      <c r="A1939" s="24" t="n">
        <v>16010</v>
      </c>
      <c r="B1939" s="24" t="inlineStr">
        <is>
          <t>افيگرل   قرص خوراکي 5 mg - دارو سازي اسوه</t>
        </is>
      </c>
      <c r="C1939" s="25">
        <f>IF(COUNTIF('کدهای پیام‌داروساز'!$A$2:$A$2442,A1939)&gt;0,"بله","خیر")</f>
        <v/>
      </c>
    </row>
    <row r="1940" ht="15" customHeight="1" s="14">
      <c r="A1940" s="24" t="n">
        <v>16035</v>
      </c>
      <c r="B1940" s="24" t="inlineStr">
        <is>
          <t>آلوينتا   کپسول پيوسته رهش خوراکي 37.5 mg - اکتوورکو</t>
        </is>
      </c>
      <c r="C1940" s="25">
        <f>IF(COUNTIF('کدهای پیام‌داروساز'!$A$2:$A$2442,A1940)&gt;0,"بله","خیر")</f>
        <v/>
      </c>
    </row>
    <row r="1941" ht="15" customHeight="1" s="14">
      <c r="A1941" s="24" t="n">
        <v>16068</v>
      </c>
      <c r="B1941" s="24" t="inlineStr">
        <is>
          <t>سينال اف   تزريقي پرنترال 600 [iU]/1mL 1.5 [iU] - تحقيقاتي وتوليدي سينا ژن</t>
        </is>
      </c>
      <c r="C1941" s="25">
        <f>IF(COUNTIF('کدهای پیام‌داروساز'!$A$2:$A$2442,A1941)&gt;0,"بله","خیر")</f>
        <v/>
      </c>
    </row>
    <row r="1942" ht="15" customHeight="1" s="14">
      <c r="A1942" s="24" t="n">
        <v>16097</v>
      </c>
      <c r="B1942" s="24" t="inlineStr">
        <is>
          <t>آرتلاک ادونسد 0.2 درصد (هيالورونيک اسيد) قطره چشمي - BAUSCH &amp; LOMB</t>
        </is>
      </c>
      <c r="C1942" s="25">
        <f>IF(COUNTIF('کدهای پیام‌داروساز'!$A$2:$A$2442,A1942)&gt;0,"بله","خیر")</f>
        <v/>
      </c>
    </row>
    <row r="1943" ht="15" customHeight="1" s="14">
      <c r="A1943" s="24" t="n">
        <v>16112</v>
      </c>
      <c r="B1943" s="24" t="inlineStr">
        <is>
          <t>آنژيپول   قرص پيوسته رهش خوراکي 23.75 mg - داروسازي رها اصفهان</t>
        </is>
      </c>
      <c r="C1943" s="25">
        <f>IF(COUNTIF('کدهای پیام‌داروساز'!$A$2:$A$2442,A1943)&gt;0,"بله","خیر")</f>
        <v/>
      </c>
    </row>
    <row r="1944" ht="15" customHeight="1" s="14">
      <c r="A1944" s="24" t="n">
        <v>16153</v>
      </c>
      <c r="B1944" s="24" t="inlineStr">
        <is>
          <t>تايروژن   پودر لئوفيليزه براي تهيه محلول تزريقي پرنترال 0.9 mg  mg - هيات امناي صرفه جويي ارزي در معالجه بيماران</t>
        </is>
      </c>
      <c r="C1944" s="25">
        <f>IF(COUNTIF('کدهای پیام‌داروساز'!$A$2:$A$2442,A1944)&gt;0,"بله","خیر")</f>
        <v/>
      </c>
    </row>
    <row r="1945" ht="15" customHeight="1" s="14">
      <c r="A1945" s="24" t="n">
        <v>16164</v>
      </c>
      <c r="B1945" s="24" t="inlineStr">
        <is>
          <t>آداليرکت   محلول تزريقي پرنترال 50 mg/1mL 0.8 mL - اکترو خاورميانه</t>
        </is>
      </c>
      <c r="C1945" s="25">
        <f>IF(COUNTIF('کدهای پیام‌داروساز'!$A$2:$A$2442,A1945)&gt;0,"بله","خیر")</f>
        <v/>
      </c>
    </row>
    <row r="1946" ht="15" customHeight="1" s="14">
      <c r="A1946" s="24" t="n">
        <v>16179</v>
      </c>
      <c r="B1946" s="24" t="inlineStr">
        <is>
          <t>سينال اف   تزريقي پرنترال 600 [iU]/1mL 0.5 [iU] - تحقيقاتي وتوليدي سينا ژن</t>
        </is>
      </c>
      <c r="C1946" s="25">
        <f>IF(COUNTIF('کدهای پیام‌داروساز'!$A$2:$A$2442,A1946)&gt;0,"بله","خیر")</f>
        <v/>
      </c>
    </row>
    <row r="1947" ht="15" customHeight="1" s="14">
      <c r="A1947" s="24" t="n">
        <v>16180</v>
      </c>
      <c r="B1947" s="24" t="inlineStr">
        <is>
          <t>سينال اف   تزريقي پرنترال 600 [iU]/1mL 0.75 [iU] - تحقيقاتي وتوليدي سينا ژن</t>
        </is>
      </c>
      <c r="C1947" s="25">
        <f>IF(COUNTIF('کدهای پیام‌داروساز'!$A$2:$A$2442,A1947)&gt;0,"بله","خیر")</f>
        <v/>
      </c>
    </row>
    <row r="1948" ht="15" customHeight="1" s="14">
      <c r="A1948" s="24" t="n">
        <v>16215</v>
      </c>
      <c r="B1948" s="24" t="inlineStr">
        <is>
          <t>اوورابين   محلول غليظ تزريقي پرنترال 1 mg/1mL 20 mg - بازرگاني سها کيش</t>
        </is>
      </c>
      <c r="C1948" s="25">
        <f>IF(COUNTIF('کدهای پیام‌داروساز'!$A$2:$A$2442,A1948)&gt;0,"بله","خیر")</f>
        <v/>
      </c>
    </row>
    <row r="1949" ht="15" customHeight="1" s="14">
      <c r="A1949" s="24" t="n">
        <v>16254</v>
      </c>
      <c r="B1949" s="24" t="inlineStr">
        <is>
          <t>آکتمرا   محلول غليظ تزريقي پرنترال 20 mg/1mL 4 mg - بازرگاني سها کيش</t>
        </is>
      </c>
      <c r="C1949" s="25">
        <f>IF(COUNTIF('کدهای پیام‌داروساز'!$A$2:$A$2442,A1949)&gt;0,"بله","خیر")</f>
        <v/>
      </c>
    </row>
    <row r="1950" ht="15" customHeight="1" s="14">
      <c r="A1950" s="24" t="n">
        <v>16303</v>
      </c>
      <c r="B1950" s="24" t="inlineStr">
        <is>
          <t>بايوسيتال   قرص خوراکي 100 mg - باختر بيو شيمي</t>
        </is>
      </c>
      <c r="C1950" s="25">
        <f>IF(COUNTIF('کدهای پیام‌داروساز'!$A$2:$A$2442,A1950)&gt;0,"بله","خیر")</f>
        <v/>
      </c>
    </row>
    <row r="1951" ht="15" customHeight="1" s="14">
      <c r="A1951" s="24" t="n">
        <v>16320</v>
      </c>
      <c r="B1951" s="24" t="inlineStr">
        <is>
          <t>تاوالوسين   محلول تزريقي داخل وريدي 5 mg/1mL 100 mL - داروسازي تهران شيمي</t>
        </is>
      </c>
      <c r="C1951" s="25">
        <f>IF(COUNTIF('کدهای پیام‌داروساز'!$A$2:$A$2442,A1951)&gt;0,"بله","خیر")</f>
        <v/>
      </c>
    </row>
    <row r="1952" ht="15" customHeight="1" s="14">
      <c r="A1952" s="24" t="n">
        <v>16416</v>
      </c>
      <c r="B1952" s="24" t="inlineStr">
        <is>
          <t>پابال   محلول تزريقي پرنترال 100 ug/1mL 1 ug - درمان ياب دارو</t>
        </is>
      </c>
      <c r="C1952" s="25">
        <f>IF(COUNTIF('کدهای پیام‌داروساز'!$A$2:$A$2442,A1952)&gt;0,"بله","خیر")</f>
        <v/>
      </c>
    </row>
    <row r="1953" ht="15" customHeight="1" s="14">
      <c r="A1953" s="24" t="n">
        <v>16426</v>
      </c>
      <c r="B1953" s="24" t="inlineStr">
        <is>
          <t>اينوگا   قرص پيوسته رهش خوراکي 6 mg  [Amb'a'1'U] - فوريتهاي سينا آرات گستر</t>
        </is>
      </c>
      <c r="C1953" s="25">
        <f>IF(COUNTIF('کدهای پیام‌داروساز'!$A$2:$A$2442,A1953)&gt;0,"بله","خیر")</f>
        <v/>
      </c>
    </row>
    <row r="1954" ht="15" customHeight="1" s="14">
      <c r="A1954" s="24" t="n">
        <v>16491</v>
      </c>
      <c r="B1954" s="24" t="inlineStr">
        <is>
          <t>ايزي فايو-تي تي   سوسپانسيون تزريقي پرنترال 10 {dose} 5 mL - سان فارمد آسيا</t>
        </is>
      </c>
      <c r="C1954" s="25">
        <f>IF(COUNTIF('کدهای پیام‌داروساز'!$A$2:$A$2442,A1954)&gt;0,"بله","خیر")</f>
        <v/>
      </c>
    </row>
    <row r="1955" ht="15" customHeight="1" s="14">
      <c r="A1955" s="24" t="n">
        <v>16496</v>
      </c>
      <c r="B1955" s="24" t="inlineStr">
        <is>
          <t>اولتراويست   تزريقي پرنترال 300 mg/1mL 100 mg - رايان دارو ايرانيان</t>
        </is>
      </c>
      <c r="C1955" s="25">
        <f>IF(COUNTIF('کدهای پیام‌داروساز'!$A$2:$A$2442,A1955)&gt;0,"بله","خیر")</f>
        <v/>
      </c>
    </row>
    <row r="1956" ht="15" customHeight="1" s="14">
      <c r="A1956" s="24" t="n">
        <v>16503</v>
      </c>
      <c r="B1956" s="24" t="inlineStr">
        <is>
          <t>بودزونايد / فورموترول   پودر با دوز اندازه گيري شده استنشاقي 320 ug/9 ug/1{dose} 60 g</t>
        </is>
      </c>
      <c r="C1956" s="25">
        <f>IF(COUNTIF('کدهای پیام‌داروساز'!$A$2:$A$2442,A1956)&gt;0,"بله","خیر")</f>
        <v/>
      </c>
    </row>
    <row r="1957" ht="15" customHeight="1" s="14">
      <c r="A1957" s="24" t="n">
        <v>16506</v>
      </c>
      <c r="B1957" s="24" t="inlineStr">
        <is>
          <t>بودزونايد/ فورموترول   پودر با دوز اندازه گيري شده استنشاقي 160 ug/4.5 ug/1{dose} 60 g</t>
        </is>
      </c>
      <c r="C1957" s="25">
        <f>IF(COUNTIF('کدهای پیام‌داروساز'!$A$2:$A$2442,A1957)&gt;0,"بله","خیر")</f>
        <v/>
      </c>
    </row>
    <row r="1958" ht="15" customHeight="1" s="14">
      <c r="A1958" s="24" t="n">
        <v>16582</v>
      </c>
      <c r="B1958" s="24" t="inlineStr">
        <is>
          <t>اچ سي تي هگزال   قرص خوراکي 25 mg  {dose}</t>
        </is>
      </c>
      <c r="C1958" s="25">
        <f>IF(COUNTIF('کدهای پیام‌داروساز'!$A$2:$A$2442,A1958)&gt;0,"بله","خیر")</f>
        <v/>
      </c>
    </row>
    <row r="1959" ht="15" customHeight="1" s="14">
      <c r="A1959" s="24" t="n">
        <v>16641</v>
      </c>
      <c r="B1959" s="24" t="inlineStr">
        <is>
          <t>آرو-ستام   محلول غليظ تزريقي پرنترال 100 mg/1mL 5 mg - دارو درمان آرنگ</t>
        </is>
      </c>
      <c r="C1959" s="25">
        <f>IF(COUNTIF('کدهای پیام‌داروساز'!$A$2:$A$2442,A1959)&gt;0,"بله","خیر")</f>
        <v/>
      </c>
    </row>
    <row r="1960" ht="15" customHeight="1" s="14">
      <c r="A1960" s="24" t="n">
        <v>16682</v>
      </c>
      <c r="B1960" s="24" t="inlineStr">
        <is>
          <t>افينيتور   قرص خوراکي 5 mg  mg - دارو جويان حيات</t>
        </is>
      </c>
      <c r="C1960" s="25">
        <f>IF(COUNTIF('کدهای پیام‌داروساز'!$A$2:$A$2442,A1960)&gt;0,"بله","خیر")</f>
        <v/>
      </c>
    </row>
    <row r="1961" ht="15" customHeight="1" s="14">
      <c r="A1961" s="24" t="n">
        <v>16686</v>
      </c>
      <c r="B1961" s="24" t="inlineStr">
        <is>
          <t>سيمپاکول   قرص خوراکي 25 mg - وانا دارو گستر</t>
        </is>
      </c>
      <c r="C1961" s="25">
        <f>IF(COUNTIF('کدهای پیام‌داروساز'!$A$2:$A$2442,A1961)&gt;0,"بله","خیر")</f>
        <v/>
      </c>
    </row>
    <row r="1962" ht="15" customHeight="1" s="14">
      <c r="A1962" s="24" t="n">
        <v>16693</v>
      </c>
      <c r="B1962" s="24" t="inlineStr">
        <is>
          <t>آميگوت   قرص خوراکي 40 mg - داروسازي امين</t>
        </is>
      </c>
      <c r="C1962" s="25">
        <f>IF(COUNTIF('کدهای پیام‌داروساز'!$A$2:$A$2442,A1962)&gt;0,"بله","خیر")</f>
        <v/>
      </c>
    </row>
    <row r="1963" ht="15" customHeight="1" s="14">
      <c r="A1963" s="24" t="n">
        <v>16766</v>
      </c>
      <c r="B1963" s="24" t="inlineStr">
        <is>
          <t>تترافولين   پودر براي تهيه محلول تزريقي پرنترال 100 mg  mg - تجهيزات پزشکي و دارويي پورا طب</t>
        </is>
      </c>
      <c r="C1963" s="25">
        <f>IF(COUNTIF('کدهای پیام‌داروساز'!$A$2:$A$2442,A1963)&gt;0,"بله","خیر")</f>
        <v/>
      </c>
    </row>
    <row r="1964" ht="15" customHeight="1" s="14">
      <c r="A1964" s="24" t="n">
        <v>16775</v>
      </c>
      <c r="B1964" s="24" t="inlineStr">
        <is>
          <t>برامي توب    محلول استنشاقي 75 mg/1mL 4 mg - درمان ياب دارو</t>
        </is>
      </c>
      <c r="C1964" s="25">
        <f>IF(COUNTIF('کدهای پیام‌داروساز'!$A$2:$A$2442,A1964)&gt;0,"بله","خیر")</f>
        <v/>
      </c>
    </row>
    <row r="1965" ht="15" customHeight="1" s="14">
      <c r="A1965" s="24" t="n">
        <v>16776</v>
      </c>
      <c r="B1965" s="24" t="inlineStr">
        <is>
          <t>رمينوکس   کپسول پيوسته رهش خوراکي 8 mg - کيميا زيست پارسيان</t>
        </is>
      </c>
      <c r="C1965" s="25">
        <f>IF(COUNTIF('کدهای پیام‌داروساز'!$A$2:$A$2442,A1965)&gt;0,"بله","خیر")</f>
        <v/>
      </c>
    </row>
    <row r="1966" ht="15" customHeight="1" s="14">
      <c r="A1966" s="24" t="n">
        <v>16777</v>
      </c>
      <c r="B1966" s="24" t="inlineStr">
        <is>
          <t>رمينوکس   کپسول انتريک کوتد خوراکي 16 mg - کيميا زيست پارسيان</t>
        </is>
      </c>
      <c r="C1966" s="25">
        <f>IF(COUNTIF('کدهای پیام‌داروساز'!$A$2:$A$2442,A1966)&gt;0,"بله","خیر")</f>
        <v/>
      </c>
    </row>
    <row r="1967" ht="15" customHeight="1" s="14">
      <c r="A1967" s="24" t="n">
        <v>16778</v>
      </c>
      <c r="B1967" s="24" t="inlineStr">
        <is>
          <t>گالامر   کپسول انتريک کوتد خوراکي 24 mg - ويرا ليان گروه</t>
        </is>
      </c>
      <c r="C1967" s="25">
        <f>IF(COUNTIF('کدهای پیام‌داروساز'!$A$2:$A$2442,A1967)&gt;0,"بله","خیر")</f>
        <v/>
      </c>
    </row>
    <row r="1968" ht="15" customHeight="1" s="14">
      <c r="A1968" s="24" t="n">
        <v>16792</v>
      </c>
      <c r="B1968" s="24" t="inlineStr">
        <is>
          <t>سولاويس   تزريقي پرنترال 604.72 mg/1mL 7.5 mL - آلاشت فارمد</t>
        </is>
      </c>
      <c r="C1968" s="25">
        <f>IF(COUNTIF('کدهای پیام‌داروساز'!$A$2:$A$2442,A1968)&gt;0,"بله","خیر")</f>
        <v/>
      </c>
    </row>
    <row r="1969" ht="15" customHeight="1" s="14">
      <c r="A1969" s="24" t="n">
        <v>16793</v>
      </c>
      <c r="B1969" s="24" t="inlineStr">
        <is>
          <t>سولاويس   تزريقي پرنترال 604.72 mg/1mL 15 mL - آلاشت فارمد</t>
        </is>
      </c>
      <c r="C1969" s="25">
        <f>IF(COUNTIF('کدهای پیام‌داروساز'!$A$2:$A$2442,A1969)&gt;0,"بله","خیر")</f>
        <v/>
      </c>
    </row>
    <row r="1970" ht="15" customHeight="1" s="14">
      <c r="A1970" s="24" t="n">
        <v>16844</v>
      </c>
      <c r="B1970" s="24" t="inlineStr">
        <is>
          <t>آنيفورمين   قرص پيوسته رهش خوراکي 750 mg - داروسازي آني درمان</t>
        </is>
      </c>
      <c r="C1970" s="25">
        <f>IF(COUNTIF('کدهای پیام‌داروساز'!$A$2:$A$2442,A1970)&gt;0,"بله","خیر")</f>
        <v/>
      </c>
    </row>
    <row r="1971" ht="15" customHeight="1" s="14">
      <c r="A1971" s="24" t="n">
        <v>16845</v>
      </c>
      <c r="B1971" s="24" t="inlineStr">
        <is>
          <t>آنيفورمين   قرص پيوسته رهش خوراکي 1000 mg - داروسازي آني درمان</t>
        </is>
      </c>
      <c r="C1971" s="25">
        <f>IF(COUNTIF('کدهای پیام‌داروساز'!$A$2:$A$2442,A1971)&gt;0,"بله","خیر")</f>
        <v/>
      </c>
    </row>
    <row r="1972" ht="15" customHeight="1" s="14">
      <c r="A1972" s="24" t="n">
        <v>16848</v>
      </c>
      <c r="B1972" s="24" t="inlineStr">
        <is>
          <t>يوتيد   قرص خوراکي 150 ug - دارويي البرز زاگرس</t>
        </is>
      </c>
      <c r="C1972" s="25">
        <f>IF(COUNTIF('کدهای پیام‌داروساز'!$A$2:$A$2442,A1972)&gt;0,"بله","خیر")</f>
        <v/>
      </c>
    </row>
    <row r="1973" ht="15" customHeight="1" s="14">
      <c r="A1973" s="24" t="n">
        <v>16870</v>
      </c>
      <c r="B1973" s="24" t="inlineStr">
        <is>
          <t>اووسيز   قرص خوراکي 1.5 mg - داروسازي ابوريحان</t>
        </is>
      </c>
      <c r="C1973" s="25">
        <f>IF(COUNTIF('کدهای پیام‌داروساز'!$A$2:$A$2442,A1973)&gt;0,"بله","خیر")</f>
        <v/>
      </c>
    </row>
    <row r="1974" ht="15" customHeight="1" s="14">
      <c r="A1974" s="24" t="n">
        <v>16873</v>
      </c>
      <c r="B1974" s="24" t="inlineStr">
        <is>
          <t>پروپوفول   امولسيون تزريقي پرنترال 20 mg/1mL 50 mg - گسترش بازرگاني دارو پخش</t>
        </is>
      </c>
      <c r="C1974" s="25">
        <f>IF(COUNTIF('کدهای پیام‌داروساز'!$A$2:$A$2442,A1974)&gt;0,"بله","خیر")</f>
        <v/>
      </c>
    </row>
    <row r="1975" ht="15" customHeight="1" s="14">
      <c r="A1975" s="24" t="n">
        <v>16889</v>
      </c>
      <c r="B1975" s="24" t="inlineStr">
        <is>
          <t>برکسورف   سوسپانسيون تزريقي داخل تراشه اي 25 mg/1mL 4 mg - پرسيس ژن پار</t>
        </is>
      </c>
      <c r="C1975" s="25">
        <f>IF(COUNTIF('کدهای پیام‌داروساز'!$A$2:$A$2442,A1975)&gt;0,"بله","خیر")</f>
        <v/>
      </c>
    </row>
    <row r="1976" ht="15" customHeight="1" s="14">
      <c r="A1976" s="24" t="n">
        <v>16954</v>
      </c>
      <c r="B1976" s="24" t="inlineStr">
        <is>
          <t>FERINJECT 500MG/10ML VIAL   تزريقي پرنترال 50 mg/1mL 10</t>
        </is>
      </c>
      <c r="C1976" s="25">
        <f>IF(COUNTIF('کدهای پیام‌داروساز'!$A$2:$A$2442,A1976)&gt;0,"بله","خیر")</f>
        <v/>
      </c>
    </row>
    <row r="1977" ht="15" customHeight="1" s="14">
      <c r="A1977" s="24" t="n">
        <v>17011</v>
      </c>
      <c r="B1977" s="24" t="inlineStr">
        <is>
          <t>ايوابرادين   قرص خوراکي 5 mg  mg - ثمين دارو آرکا</t>
        </is>
      </c>
      <c r="C1977" s="25">
        <f>IF(COUNTIF('کدهای پیام‌داروساز'!$A$2:$A$2442,A1977)&gt;0,"بله","خیر")</f>
        <v/>
      </c>
    </row>
    <row r="1978" ht="15" customHeight="1" s="14">
      <c r="A1978" s="24" t="n">
        <v>17013</v>
      </c>
      <c r="B1978" s="24" t="inlineStr">
        <is>
          <t>اوزوردکس   ايمپلنت داخل زجاجيه اي 0.7 mg  mg - بازرگاني سها کيش</t>
        </is>
      </c>
      <c r="C1978" s="25">
        <f>IF(COUNTIF('کدهای پیام‌داروساز'!$A$2:$A$2442,A1978)&gt;0,"بله","خیر")</f>
        <v/>
      </c>
    </row>
    <row r="1979" ht="15" customHeight="1" s="14">
      <c r="A1979" s="24" t="n">
        <v>17038</v>
      </c>
      <c r="B1979" s="24" t="inlineStr">
        <is>
          <t>ان پليت   پودر براي تهيه محلول تزريقي پرنترال 250 ug  ug - بهستان دارو</t>
        </is>
      </c>
      <c r="C1979" s="25">
        <f>IF(COUNTIF('کدهای پیام‌داروساز'!$A$2:$A$2442,A1979)&gt;0,"بله","خیر")</f>
        <v/>
      </c>
    </row>
    <row r="1980" ht="15" customHeight="1" s="14">
      <c r="A1980" s="24" t="n">
        <v>17070</v>
      </c>
      <c r="B1980" s="24" t="inlineStr">
        <is>
          <t>رينگر لاکتات   محلول تزريقي داخل وريدي 250 mL - داروسازي شهيد قاضي</t>
        </is>
      </c>
      <c r="C1980" s="25">
        <f>IF(COUNTIF('کدهای پیام‌داروساز'!$A$2:$A$2442,A1980)&gt;0,"بله","خیر")</f>
        <v/>
      </c>
    </row>
    <row r="1981" ht="15" customHeight="1" s="14">
      <c r="A1981" s="24" t="n">
        <v>17084</v>
      </c>
      <c r="B1981" s="24" t="inlineStr">
        <is>
          <t>روکورونيوم   محلول تزريقي پرنترال 10 mg/1mL 5 mL - کارخانجات دارو پخش</t>
        </is>
      </c>
      <c r="C1981" s="25">
        <f>IF(COUNTIF('کدهای پیام‌داروساز'!$A$2:$A$2442,A1981)&gt;0,"بله","خیر")</f>
        <v/>
      </c>
    </row>
    <row r="1982" ht="15" customHeight="1" s="14">
      <c r="A1982" s="24" t="n">
        <v>17094</v>
      </c>
      <c r="B1982" s="24" t="inlineStr">
        <is>
          <t>آلنتيوا   پودر براي تهيه محلول تزريقي پرنترال 50 mg  mg - تحقيقاتي وتوليدي سينا ژن</t>
        </is>
      </c>
      <c r="C1982" s="25">
        <f>IF(COUNTIF('کدهای پیام‌داروساز'!$A$2:$A$2442,A1982)&gt;0,"بله","خیر")</f>
        <v/>
      </c>
    </row>
    <row r="1983" ht="15" customHeight="1" s="14">
      <c r="A1983" s="24" t="n">
        <v>17104</v>
      </c>
      <c r="B1983" s="24" t="inlineStr">
        <is>
          <t>آفي روفن   ژل موضعي 5 % 60 g - ايران آوند فر</t>
        </is>
      </c>
      <c r="C1983" s="25">
        <f>IF(COUNTIF('کدهای پیام‌داروساز'!$A$2:$A$2442,A1983)&gt;0,"بله","خیر")</f>
        <v/>
      </c>
    </row>
    <row r="1984" ht="15" customHeight="1" s="14">
      <c r="A1984" s="24" t="n">
        <v>17106</v>
      </c>
      <c r="B1984" s="24" t="inlineStr">
        <is>
          <t>گلوکووانس (متفورمين 500 م گ/گلي بنکلاميد 2.5 م گ) قرص - اکتوورکو</t>
        </is>
      </c>
      <c r="C1984" s="25">
        <f>IF(COUNTIF('کدهای پیام‌داروساز'!$A$2:$A$2442,A1984)&gt;0,"بله","خیر")</f>
        <v/>
      </c>
    </row>
    <row r="1985" ht="15" customHeight="1" s="14">
      <c r="A1985" s="24" t="n">
        <v>17124</v>
      </c>
      <c r="B1985" s="24" t="inlineStr">
        <is>
          <t>فلازون %0.05 (فلوتيکازون پروپيونات) اسپري بيني 200پاف 20 م ل - رها</t>
        </is>
      </c>
      <c r="C1985" s="25">
        <f>IF(COUNTIF('کدهای پیام‌داروساز'!$A$2:$A$2442,A1985)&gt;0,"بله","خیر")</f>
        <v/>
      </c>
    </row>
    <row r="1986" ht="15" customHeight="1" s="14">
      <c r="A1986" s="24" t="n">
        <v>17130</v>
      </c>
      <c r="B1986" s="24" t="inlineStr">
        <is>
          <t xml:space="preserve">رستانکس 0.05% (مومتازون) 20م ل  200 پاف اسپري بيني - سينا دارو </t>
        </is>
      </c>
      <c r="C1986" s="25">
        <f>IF(COUNTIF('کدهای پیام‌داروساز'!$A$2:$A$2442,A1986)&gt;0,"بله","خیر")</f>
        <v/>
      </c>
    </row>
    <row r="1987" ht="15" customHeight="1" s="14">
      <c r="A1987" s="24" t="n">
        <v>17169</v>
      </c>
      <c r="B1987" s="24" t="inlineStr">
        <is>
          <t>دياليز صفاقي I   محلول داخل صفاقي 13.62 g/132 meq/3.5 meq/1.5 meq/35 meq/102 meq/1000 mL 5 L - داروسازي ثامن</t>
        </is>
      </c>
      <c r="C1987" s="25">
        <f>IF(COUNTIF('کدهای پیام‌داروساز'!$A$2:$A$2442,A1987)&gt;0,"بله","خیر")</f>
        <v/>
      </c>
    </row>
    <row r="1988" ht="15" customHeight="1" s="14">
      <c r="A1988" s="24" t="n">
        <v>17170</v>
      </c>
      <c r="B1988" s="24" t="inlineStr">
        <is>
          <t>دياليز صفاقي II   محلول داخل صفاقي 22.7 g/1025.67 meq/3.5 meq/1.5 meq/35 meq/132 meq/1000 mL 5 L - داروسازي ثامن</t>
        </is>
      </c>
      <c r="C1988" s="25">
        <f>IF(COUNTIF('کدهای پیام‌داروساز'!$A$2:$A$2442,A1988)&gt;0,"بله","خیر")</f>
        <v/>
      </c>
    </row>
    <row r="1989" ht="15" customHeight="1" s="14">
      <c r="A1989" s="24" t="n">
        <v>17197</v>
      </c>
      <c r="B1989" s="24" t="inlineStr">
        <is>
          <t>گلوکودکس 500/5 (متفورمين / گلي بنکلاميد) قرص - مينا</t>
        </is>
      </c>
      <c r="C1989" s="25">
        <f>IF(COUNTIF('کدهای پیام‌داروساز'!$A$2:$A$2442,A1989)&gt;0,"بله","خیر")</f>
        <v/>
      </c>
    </row>
    <row r="1990" ht="15" customHeight="1" s="14">
      <c r="A1990" s="24" t="n">
        <v>17227</v>
      </c>
      <c r="B1990" s="24" t="inlineStr">
        <is>
          <t>راويزون (مومتازون فوروات) 1/. درصد 15 گرم کرموضعي - رها</t>
        </is>
      </c>
      <c r="C1990" s="25">
        <f>IF(COUNTIF('کدهای پیام‌داروساز'!$A$2:$A$2442,A1990)&gt;0,"بله","خیر")</f>
        <v/>
      </c>
    </row>
    <row r="1991" ht="15" customHeight="1" s="14">
      <c r="A1991" s="24" t="n">
        <v>17228</v>
      </c>
      <c r="B1991" s="24" t="inlineStr">
        <is>
          <t>الزوکورت   پماد موضعي 0.1 % 15 g - اوکسين داروي وشت</t>
        </is>
      </c>
      <c r="C1991" s="25">
        <f>IF(COUNTIF('کدهای پیام‌داروساز'!$A$2:$A$2442,A1991)&gt;0,"بله","خیر")</f>
        <v/>
      </c>
    </row>
    <row r="1992" ht="15" customHeight="1" s="14">
      <c r="A1992" s="24" t="n">
        <v>17230</v>
      </c>
      <c r="B1992" s="24" t="inlineStr">
        <is>
          <t xml:space="preserve">انسولين 70/30 کاتريج </t>
        </is>
      </c>
      <c r="C1992" s="25">
        <f>IF(COUNTIF('کدهای پیام‌داروساز'!$A$2:$A$2442,A1992)&gt;0,"بله","خیر")</f>
        <v/>
      </c>
    </row>
    <row r="1993" ht="15" customHeight="1" s="14">
      <c r="A1993" s="24" t="n">
        <v>17247</v>
      </c>
      <c r="B1993" s="24" t="inlineStr">
        <is>
          <t>والوون   محلول تزريقي پرنترال 6 % 500 % - درمان ياب دارو</t>
        </is>
      </c>
      <c r="C1993" s="25">
        <f>IF(COUNTIF('کدهای پیام‌داروساز'!$A$2:$A$2442,A1993)&gt;0,"بله","خیر")</f>
        <v/>
      </c>
    </row>
    <row r="1994" ht="15" customHeight="1" s="14">
      <c r="A1994" s="24" t="n">
        <v>17253</v>
      </c>
      <c r="B1994" s="24" t="inlineStr">
        <is>
          <t>افينيتور   قرص خوراکي 10 mg  mg - تامين آوا سلامت</t>
        </is>
      </c>
      <c r="C1994" s="25">
        <f>IF(COUNTIF('کدهای پیام‌داروساز'!$A$2:$A$2442,A1994)&gt;0,"بله","خیر")</f>
        <v/>
      </c>
    </row>
    <row r="1995" ht="15" customHeight="1" s="14">
      <c r="A1995" s="24" t="n">
        <v>17336</v>
      </c>
      <c r="B1995" s="24" t="inlineStr">
        <is>
          <t>بکلوترکس (بکلومتازون) 100 م ک گ 200 پاف اسپري دهاني - جابر ابن حيان</t>
        </is>
      </c>
      <c r="C1995" s="25">
        <f>IF(COUNTIF('کدهای پیام‌داروساز'!$A$2:$A$2442,A1995)&gt;0,"بله","خیر")</f>
        <v/>
      </c>
    </row>
    <row r="1996" ht="15" customHeight="1" s="14">
      <c r="A1996" s="24" t="n">
        <v>17381</v>
      </c>
      <c r="B1996" s="24" t="inlineStr">
        <is>
          <t>بنترا   پودر براي تهيه محلول تزريقي پرنترال 25 mg  mg - داروسازي سبحان انکولوژي</t>
        </is>
      </c>
      <c r="C1996" s="25">
        <f>IF(COUNTIF('کدهای پیام‌داروساز'!$A$2:$A$2442,A1996)&gt;0,"بله","خیر")</f>
        <v/>
      </c>
    </row>
    <row r="1997" ht="15" customHeight="1" s="14">
      <c r="A1997" s="24" t="n">
        <v>17397</v>
      </c>
      <c r="B1997" s="24" t="inlineStr">
        <is>
          <t>آکلاستا   محلول تزريقي پرنترال 5 mg/100mL  mg - شفا ياب گستر</t>
        </is>
      </c>
      <c r="C1997" s="25">
        <f>IF(COUNTIF('کدهای پیام‌داروساز'!$A$2:$A$2442,A1997)&gt;0,"بله","خیر")</f>
        <v/>
      </c>
    </row>
    <row r="1998" ht="15" customHeight="1" s="14">
      <c r="A1998" s="24" t="n">
        <v>17398</v>
      </c>
      <c r="B1998" s="24" t="inlineStr">
        <is>
          <t>ناپروکسن   قرص خوراکي 375 mg - ايران دارو</t>
        </is>
      </c>
      <c r="C1998" s="25">
        <f>IF(COUNTIF('کدهای پیام‌داروساز'!$A$2:$A$2442,A1998)&gt;0,"بله","خیر")</f>
        <v/>
      </c>
    </row>
    <row r="1999" ht="15" customHeight="1" s="14">
      <c r="A1999" s="24" t="n">
        <v>17416</v>
      </c>
      <c r="B1999" s="24" t="inlineStr">
        <is>
          <t>اُفين ميگرن   قرص خوراکي 250 mg/65 mg/250 mg - افق توليد دارو پارس</t>
        </is>
      </c>
      <c r="C1999" s="25">
        <f>IF(COUNTIF('کدهای پیام‌داروساز'!$A$2:$A$2442,A1999)&gt;0,"بله","خیر")</f>
        <v/>
      </c>
    </row>
    <row r="2000" ht="15" customHeight="1" s="14">
      <c r="A2000" s="24" t="n">
        <v>17461</v>
      </c>
      <c r="B2000" s="24" t="inlineStr">
        <is>
          <t>اوردليک   قرص خوراکي 500 mg - داروسازي جالينوس</t>
        </is>
      </c>
      <c r="C2000" s="25">
        <f>IF(COUNTIF('کدهای پیام‌داروساز'!$A$2:$A$2442,A2000)&gt;0,"بله","خیر")</f>
        <v/>
      </c>
    </row>
    <row r="2001" ht="15" customHeight="1" s="14">
      <c r="A2001" s="24" t="n">
        <v>17568</v>
      </c>
      <c r="B2001" s="24" t="inlineStr">
        <is>
          <t>والپروات سديم   تزريقي پرنترال 100 mg/1mL 5 mg - دارو درمان آرنگ</t>
        </is>
      </c>
      <c r="C2001" s="25">
        <f>IF(COUNTIF('کدهای پیام‌داروساز'!$A$2:$A$2442,A2001)&gt;0,"بله","خیر")</f>
        <v/>
      </c>
    </row>
    <row r="2002" ht="15" customHeight="1" s="14">
      <c r="A2002" s="24" t="n">
        <v>17581</v>
      </c>
      <c r="B2002" s="24" t="inlineStr">
        <is>
          <t>آرو-ميدين   محلول غليظ تزريقي پرنترال 100 ug/1mL 2 ug - دارو درمان آرنگ</t>
        </is>
      </c>
      <c r="C2002" s="25">
        <f>IF(COUNTIF('کدهای پیام‌داروساز'!$A$2:$A$2442,A2002)&gt;0,"بله","خیر")</f>
        <v/>
      </c>
    </row>
    <row r="2003" ht="15" customHeight="1" s="14">
      <c r="A2003" s="24" t="n">
        <v>17597</v>
      </c>
      <c r="B2003" s="24" t="inlineStr">
        <is>
          <t>آرلتو   قرص خوراکي 10 mg - دارو درمان آرنگ</t>
        </is>
      </c>
      <c r="C2003" s="25">
        <f>IF(COUNTIF('کدهای پیام‌داروساز'!$A$2:$A$2442,A2003)&gt;0,"بله","خیر")</f>
        <v/>
      </c>
    </row>
    <row r="2004" ht="15" customHeight="1" s="14">
      <c r="A2004" s="24" t="n">
        <v>17640</v>
      </c>
      <c r="B2004" s="24" t="inlineStr">
        <is>
          <t>سورين   کرم موضعي 13.9 % 30 g - داروسازي توليد دارو</t>
        </is>
      </c>
      <c r="C2004" s="25">
        <f>IF(COUNTIF('کدهای پیام‌داروساز'!$A$2:$A$2442,A2004)&gt;0,"بله","خیر")</f>
        <v/>
      </c>
    </row>
    <row r="2005" ht="15" customHeight="1" s="14">
      <c r="A2005" s="24" t="n">
        <v>17643</v>
      </c>
      <c r="B2005" s="24" t="inlineStr">
        <is>
          <t>پيگلوفورمين   قرص خوراکي 500 mg/15 mg - باختر بيو شيمي</t>
        </is>
      </c>
      <c r="C2005" s="25">
        <f>IF(COUNTIF('کدهای پیام‌داروساز'!$A$2:$A$2442,A2005)&gt;0,"بله","خیر")</f>
        <v/>
      </c>
    </row>
    <row r="2006" ht="15" customHeight="1" s="14">
      <c r="A2006" s="24" t="n">
        <v>17665</v>
      </c>
      <c r="B2006" s="24" t="inlineStr">
        <is>
          <t>آزارام   قرص خوراکي 25 mg - رامو فارمين</t>
        </is>
      </c>
      <c r="C2006" s="25">
        <f>IF(COUNTIF('کدهای پیام‌داروساز'!$A$2:$A$2442,A2006)&gt;0,"بله","خیر")</f>
        <v/>
      </c>
    </row>
    <row r="2007" ht="15" customHeight="1" s="14">
      <c r="A2007" s="24" t="n">
        <v>17672</v>
      </c>
      <c r="B2007" s="24" t="inlineStr">
        <is>
          <t>برونفکت   قرص خوراکي 320 mg</t>
        </is>
      </c>
      <c r="C2007" s="25">
        <f>IF(COUNTIF('کدهای پیام‌داروساز'!$A$2:$A$2442,A2007)&gt;0,"بله","خیر")</f>
        <v/>
      </c>
    </row>
    <row r="2008" ht="15" customHeight="1" s="14">
      <c r="A2008" s="24" t="n">
        <v>17675</v>
      </c>
      <c r="B2008" s="24" t="inlineStr">
        <is>
          <t>آگراستات   تزريقي پرنترال 0.25 mg/1mL 50 mg - دارو درمان صدف</t>
        </is>
      </c>
      <c r="C2008" s="25">
        <f>IF(COUNTIF('کدهای پیام‌داروساز'!$A$2:$A$2442,A2008)&gt;0,"بله","خیر")</f>
        <v/>
      </c>
    </row>
    <row r="2009" ht="15" customHeight="1" s="14">
      <c r="A2009" s="24" t="n">
        <v>17677</v>
      </c>
      <c r="B2009" s="24" t="inlineStr">
        <is>
          <t>بتاکلسيدرم   پماد موضعي 0.005 %/0.064 % 30 g - داروسازي تهران شيمي</t>
        </is>
      </c>
      <c r="C2009" s="25">
        <f>IF(COUNTIF('کدهای پیام‌داروساز'!$A$2:$A$2442,A2009)&gt;0,"بله","خیر")</f>
        <v/>
      </c>
    </row>
    <row r="2010" ht="15" customHeight="1" s="14">
      <c r="A2010" s="24" t="n">
        <v>17679</v>
      </c>
      <c r="B2010" s="24" t="inlineStr">
        <is>
          <t>آميفن   قرص بازشونده در دهان خوراکي 125 mg - داروسازي امين</t>
        </is>
      </c>
      <c r="C2010" s="25">
        <f>IF(COUNTIF('کدهای پیام‌داروساز'!$A$2:$A$2442,A2010)&gt;0,"بله","خیر")</f>
        <v/>
      </c>
    </row>
    <row r="2011" ht="15" customHeight="1" s="14">
      <c r="A2011" s="24" t="n">
        <v>17725</v>
      </c>
      <c r="B2011" s="24" t="inlineStr">
        <is>
          <t>انوکسان   تزريقي پرنترال 100 mg/1mL 1 mL - البرز دارو</t>
        </is>
      </c>
      <c r="C2011" s="25">
        <f>IF(COUNTIF('کدهای پیام‌داروساز'!$A$2:$A$2442,A2011)&gt;0,"بله","خیر")</f>
        <v/>
      </c>
    </row>
    <row r="2012" ht="15" customHeight="1" s="14">
      <c r="A2012" s="24" t="n">
        <v>17745</v>
      </c>
      <c r="B2012" s="24" t="inlineStr">
        <is>
          <t>تامي فلو   کپسول خوراکي 30 mg</t>
        </is>
      </c>
      <c r="C2012" s="25">
        <f>IF(COUNTIF('کدهای پیام‌داروساز'!$A$2:$A$2442,A2012)&gt;0,"بله","خیر")</f>
        <v/>
      </c>
    </row>
    <row r="2013" ht="15" customHeight="1" s="14">
      <c r="A2013" s="24" t="n">
        <v>17746</v>
      </c>
      <c r="B2013" s="24" t="inlineStr">
        <is>
          <t>تامي فلو   کپسول خوراکي 45 mg   - رش پارس</t>
        </is>
      </c>
      <c r="C2013" s="25">
        <f>IF(COUNTIF('کدهای پیام‌داروساز'!$A$2:$A$2442,A2013)&gt;0,"بله","خیر")</f>
        <v/>
      </c>
    </row>
    <row r="2014" ht="15" customHeight="1" s="14">
      <c r="A2014" s="24" t="n">
        <v>17761</v>
      </c>
      <c r="B2014" s="24" t="inlineStr">
        <is>
          <t>پلي اتيلن گليکول-الکتروليت 2   پودر براي تهيه محلول خوراکي 70 g - کارخانجات دارو پخش</t>
        </is>
      </c>
      <c r="C2014" s="25">
        <f>IF(COUNTIF('کدهای پیام‌داروساز'!$A$2:$A$2442,A2014)&gt;0,"بله","خیر")</f>
        <v/>
      </c>
    </row>
    <row r="2015" ht="15" customHeight="1" s="14">
      <c r="A2015" s="24" t="n">
        <v>17768</v>
      </c>
      <c r="B2015" s="24" t="inlineStr">
        <is>
          <t>زئومين   پودر لئوفيليزه براي تهيه محلول تزريقي پرنترال 100 [iU]  [iU] - بازرگاني خسرو مديسا طب</t>
        </is>
      </c>
      <c r="C2015" s="25">
        <f>IF(COUNTIF('کدهای پیام‌داروساز'!$A$2:$A$2442,A2015)&gt;0,"بله","خیر")</f>
        <v/>
      </c>
    </row>
    <row r="2016" ht="15" customHeight="1" s="14">
      <c r="A2016" s="24" t="n">
        <v>17770</v>
      </c>
      <c r="B2016" s="24" t="inlineStr">
        <is>
          <t>پريويژن   تزريقي پرنترال 100 mg/1mL 25 g - اوين دارو</t>
        </is>
      </c>
      <c r="C2016" s="25">
        <f>IF(COUNTIF('کدهای پیام‌داروساز'!$A$2:$A$2442,A2016)&gt;0,"بله","خیر")</f>
        <v/>
      </c>
    </row>
    <row r="2017" ht="15" customHeight="1" s="14">
      <c r="A2017" s="24" t="n">
        <v>17772</v>
      </c>
      <c r="B2017" s="24" t="inlineStr">
        <is>
          <t>ايميگو   تزريقي پرنترال 100 mg/1mL 100 mL - درمان آرا</t>
        </is>
      </c>
      <c r="C2017" s="25">
        <f>IF(COUNTIF('کدهای پیام‌داروساز'!$A$2:$A$2442,A2017)&gt;0,"بله","خیر")</f>
        <v/>
      </c>
    </row>
    <row r="2018" ht="15" customHeight="1" s="14">
      <c r="A2018" s="24" t="n">
        <v>17773</v>
      </c>
      <c r="B2018" s="24" t="inlineStr">
        <is>
          <t>ايمونوگلوبولين   تزريقي پرنترال 100 mg/1mL 50 g - پويش دارو گستر برتر فارس</t>
        </is>
      </c>
      <c r="C2018" s="25">
        <f>IF(COUNTIF('کدهای پیام‌داروساز'!$A$2:$A$2442,A2018)&gt;0,"بله","خیر")</f>
        <v/>
      </c>
    </row>
    <row r="2019" ht="15" customHeight="1" s="14">
      <c r="A2019" s="24" t="n">
        <v>17793</v>
      </c>
      <c r="B2019" s="24" t="inlineStr">
        <is>
          <t>فرنولين   پودر با دوز اندازه گيري شده استنشاقي 200 ug/1{dose} 200 {Puff} - دارو سازي کيميا سلامت نيکان</t>
        </is>
      </c>
      <c r="C2019" s="25">
        <f>IF(COUNTIF('کدهای پیام‌داروساز'!$A$2:$A$2442,A2019)&gt;0,"بله","خیر")</f>
        <v/>
      </c>
    </row>
    <row r="2020" ht="15" customHeight="1" s="14">
      <c r="A2020" s="24" t="n">
        <v>17803</v>
      </c>
      <c r="B2020" s="24" t="inlineStr">
        <is>
          <t>آزيترومايسين ادرصد قطره - سينا دارو</t>
        </is>
      </c>
      <c r="C2020" s="25">
        <f>IF(COUNTIF('کدهای پیام‌داروساز'!$A$2:$A$2442,A2020)&gt;0,"بله","خیر")</f>
        <v/>
      </c>
    </row>
    <row r="2021" ht="15" customHeight="1" s="14">
      <c r="A2021" s="24" t="n">
        <v>17831</v>
      </c>
      <c r="B2021" s="24" t="inlineStr">
        <is>
          <t>منيزيم سولفات   تزريقي پرنترال 10 % 10 mL - داروسازي ثامن</t>
        </is>
      </c>
      <c r="C2021" s="25">
        <f>IF(COUNTIF('کدهای پیام‌داروساز'!$A$2:$A$2442,A2021)&gt;0,"بله","خیر")</f>
        <v/>
      </c>
    </row>
    <row r="2022" ht="15" customHeight="1" s="14">
      <c r="A2022" s="24" t="n">
        <v>17832</v>
      </c>
      <c r="B2022" s="24" t="inlineStr">
        <is>
          <t>منيزيم سولفات   تزريقي پرنترال 20 % 50 mL - انستيتو پاستور ايران</t>
        </is>
      </c>
      <c r="C2022" s="25">
        <f>IF(COUNTIF('کدهای پیام‌داروساز'!$A$2:$A$2442,A2022)&gt;0,"بله","خیر")</f>
        <v/>
      </c>
    </row>
    <row r="2023" ht="15" customHeight="1" s="14">
      <c r="A2023" s="24" t="n">
        <v>17833</v>
      </c>
      <c r="B2023" s="24" t="inlineStr">
        <is>
          <t>سديم بي کربنات   تزريقي پرنترال 7.5 % 50 mL - داروسازي شهيد قاضي</t>
        </is>
      </c>
      <c r="C2023" s="25">
        <f>IF(COUNTIF('کدهای پیام‌داروساز'!$A$2:$A$2442,A2023)&gt;0,"بله","خیر")</f>
        <v/>
      </c>
    </row>
    <row r="2024" ht="15" customHeight="1" s="14">
      <c r="A2024" s="24" t="n">
        <v>17836</v>
      </c>
      <c r="B2024" s="24" t="inlineStr">
        <is>
          <t>پرامي پکسول   قرص پيوسته رهش خوراکي 0.52 mg - پور سينا</t>
        </is>
      </c>
      <c r="C2024" s="25">
        <f>IF(COUNTIF('کدهای پیام‌داروساز'!$A$2:$A$2442,A2024)&gt;0,"بله","خیر")</f>
        <v/>
      </c>
    </row>
    <row r="2025" ht="15" customHeight="1" s="14">
      <c r="A2025" s="24" t="n">
        <v>17837</v>
      </c>
      <c r="B2025" s="24" t="inlineStr">
        <is>
          <t>پرامي پکسول نورمون   قرص پيوسته رهش خوراکي 0.26 mg - تچرا دارو</t>
        </is>
      </c>
      <c r="C2025" s="25">
        <f>IF(COUNTIF('کدهای پیام‌داروساز'!$A$2:$A$2442,A2025)&gt;0,"بله","خیر")</f>
        <v/>
      </c>
    </row>
    <row r="2026" ht="15" customHeight="1" s="14">
      <c r="A2026" s="24" t="n">
        <v>17838</v>
      </c>
      <c r="B2026" s="24" t="inlineStr">
        <is>
          <t>پرامي پکسول   قرص پيوسته رهش خوراکي 1.05 mg - پور سينا</t>
        </is>
      </c>
      <c r="C2026" s="25">
        <f>IF(COUNTIF('کدهای پیام‌داروساز'!$A$2:$A$2442,A2026)&gt;0,"بله","خیر")</f>
        <v/>
      </c>
    </row>
    <row r="2027" ht="15" customHeight="1" s="14">
      <c r="A2027" s="24" t="n">
        <v>17853</v>
      </c>
      <c r="B2027" s="24" t="inlineStr">
        <is>
          <t>آوي دفرون   قرص انتريک کوتد خوراکي 500 mg - داروسازي آوه سينا</t>
        </is>
      </c>
      <c r="C2027" s="25">
        <f>IF(COUNTIF('کدهای پیام‌داروساز'!$A$2:$A$2442,A2027)&gt;0,"بله","خیر")</f>
        <v/>
      </c>
    </row>
    <row r="2028" ht="15" customHeight="1" s="14">
      <c r="A2028" s="24" t="n">
        <v>17870</v>
      </c>
      <c r="B2028" s="24" t="inlineStr">
        <is>
          <t>ياز (دروسپيرنون / اتينيل استراديول) قرص - BAYER</t>
        </is>
      </c>
      <c r="C2028" s="25">
        <f>IF(COUNTIF('کدهای پیام‌داروساز'!$A$2:$A$2442,A2028)&gt;0,"بله","خیر")</f>
        <v/>
      </c>
    </row>
    <row r="2029" ht="15" customHeight="1" s="14">
      <c r="A2029" s="24" t="n">
        <v>17874</v>
      </c>
      <c r="B2029" s="24" t="inlineStr">
        <is>
          <t>واکسن توکسوئيد ديفتري/ توکسوئيد کزاز- جذب سطحي شده-بزرگسالان   تزريقي پرنترال 10 {dose} 5 {dose} - دارو درمان آرنگ</t>
        </is>
      </c>
      <c r="C2029" s="25">
        <f>IF(COUNTIF('کدهای پیام‌داروساز'!$A$2:$A$2442,A2029)&gt;0,"بله","خیر")</f>
        <v/>
      </c>
    </row>
    <row r="2030" ht="15" customHeight="1" s="14">
      <c r="A2030" s="24" t="n">
        <v>17886</v>
      </c>
      <c r="B2030" s="24" t="inlineStr">
        <is>
          <t>ونکو   پودر براي تهيه محلول تزريقي پرنترال 1 g  g - داروسازي جابرابن حيان</t>
        </is>
      </c>
      <c r="C2030" s="25">
        <f>IF(COUNTIF('کدهای پیام‌داروساز'!$A$2:$A$2442,A2030)&gt;0,"بله","خیر")</f>
        <v/>
      </c>
    </row>
    <row r="2031" ht="15" customHeight="1" s="14">
      <c r="A2031" s="24" t="n">
        <v>17947</v>
      </c>
      <c r="B2031" s="24" t="inlineStr">
        <is>
          <t>آميرست   کپسول خوراکي 5 mg - داروسازي امين</t>
        </is>
      </c>
      <c r="C2031" s="25">
        <f>IF(COUNTIF('کدهای پیام‌داروساز'!$A$2:$A$2442,A2031)&gt;0,"بله","خیر")</f>
        <v/>
      </c>
    </row>
    <row r="2032" ht="15" customHeight="1" s="14">
      <c r="A2032" s="24" t="n">
        <v>17972</v>
      </c>
      <c r="B2032" s="24" t="inlineStr">
        <is>
          <t>بهرولاک   محلول تزريقي پرنترال 30 mg/1mL 1 mL</t>
        </is>
      </c>
      <c r="C2032" s="25">
        <f>IF(COUNTIF('کدهای پیام‌داروساز'!$A$2:$A$2442,A2032)&gt;0,"بله","خیر")</f>
        <v/>
      </c>
    </row>
    <row r="2033" ht="15" customHeight="1" s="14">
      <c r="A2033" s="24" t="n">
        <v>18002</v>
      </c>
      <c r="B2033" s="24" t="inlineStr">
        <is>
          <t>اسلينتا   قرص خوراکي 90 mg - دارو سازي اسوه</t>
        </is>
      </c>
      <c r="C2033" s="25">
        <f>IF(COUNTIF('کدهای پیام‌داروساز'!$A$2:$A$2442,A2033)&gt;0,"بله","خیر")</f>
        <v/>
      </c>
    </row>
    <row r="2034" ht="15" customHeight="1" s="14">
      <c r="A2034" s="24" t="n">
        <v>18006</v>
      </c>
      <c r="B2034" s="24" t="inlineStr">
        <is>
          <t>آناکينرا   محلول تزريقي پرنترال 150 mg/1 mL 0.67 mg - گسترش بازرگاني دارو پخش</t>
        </is>
      </c>
      <c r="C2034" s="25">
        <f>IF(COUNTIF('کدهای پیام‌داروساز'!$A$2:$A$2442,A2034)&gt;0,"بله","خیر")</f>
        <v/>
      </c>
    </row>
    <row r="2035" ht="15" customHeight="1" s="14">
      <c r="A2035" s="24" t="n">
        <v>18046</v>
      </c>
      <c r="B2035" s="24" t="inlineStr">
        <is>
          <t>رولنيوم   ديسک استنشاقي 50 ug/500 ug/1{dose} 60 ug - رويان دارو</t>
        </is>
      </c>
      <c r="C2035" s="25">
        <f>IF(COUNTIF('کدهای پیام‌داروساز'!$A$2:$A$2442,A2035)&gt;0,"بله","خیر")</f>
        <v/>
      </c>
    </row>
    <row r="2036" ht="15" customHeight="1" s="14">
      <c r="A2036" s="24" t="n">
        <v>18064</v>
      </c>
      <c r="B2036" s="24" t="inlineStr">
        <is>
          <t>زوتکترا   تزريقي پرنترال 50 [iU]/1mL 10 [iU] - توسعه سلامت اطلس</t>
        </is>
      </c>
      <c r="C2036" s="25">
        <f>IF(COUNTIF('کدهای پیام‌داروساز'!$A$2:$A$2442,A2036)&gt;0,"بله","خیر")</f>
        <v/>
      </c>
    </row>
    <row r="2037" ht="15" customHeight="1" s="14">
      <c r="A2037" s="24" t="n">
        <v>18065</v>
      </c>
      <c r="B2037" s="24" t="inlineStr">
        <is>
          <t>ون بيگ   تزريقي پرنترال 50 [iU]/1mL 50 [iU] - بهستان دارو</t>
        </is>
      </c>
      <c r="C2037" s="25">
        <f>IF(COUNTIF('کدهای پیام‌داروساز'!$A$2:$A$2442,A2037)&gt;0,"بله","خیر")</f>
        <v/>
      </c>
    </row>
    <row r="2038" ht="15" customHeight="1" s="14">
      <c r="A2038" s="24" t="n">
        <v>18084</v>
      </c>
      <c r="B2038" s="24" t="inlineStr">
        <is>
          <t>آريليا   محلول تزريقي پرنترال 60 mg/1mL 1 mg</t>
        </is>
      </c>
      <c r="C2038" s="25">
        <f>IF(COUNTIF('کدهای پیام‌داروساز'!$A$2:$A$2442,A2038)&gt;0,"بله","خیر")</f>
        <v/>
      </c>
    </row>
    <row r="2039" ht="15" customHeight="1" s="14">
      <c r="A2039" s="24" t="n">
        <v>18099</v>
      </c>
      <c r="B2039" s="24" t="inlineStr">
        <is>
          <t>دانلوين   کپسول خوراکي 0.5 mg - توسعه داروسازي دانش</t>
        </is>
      </c>
      <c r="C2039" s="25">
        <f>IF(COUNTIF('کدهای پیام‌داروساز'!$A$2:$A$2442,A2039)&gt;0,"بله","خیر")</f>
        <v/>
      </c>
    </row>
    <row r="2040" ht="15" customHeight="1" s="14">
      <c r="A2040" s="24" t="n">
        <v>18129</v>
      </c>
      <c r="B2040" s="24" t="inlineStr">
        <is>
          <t>موسيليوم (طعم ليمو) ملين گياهي ساشه - ايران داروک</t>
        </is>
      </c>
      <c r="C2040" s="25">
        <f>IF(COUNTIF('کدهای پیام‌داروساز'!$A$2:$A$2442,A2040)&gt;0,"بله","خیر")</f>
        <v/>
      </c>
    </row>
    <row r="2041" ht="15" customHeight="1" s="14">
      <c r="A2041" s="24" t="n">
        <v>18133</v>
      </c>
      <c r="B2041" s="24" t="inlineStr">
        <is>
          <t>آميفن   قرص بازشونده در دهان خوراکي 160 mg - داروسازي امين</t>
        </is>
      </c>
      <c r="C2041" s="25">
        <f>IF(COUNTIF('کدهای پیام‌داروساز'!$A$2:$A$2442,A2041)&gt;0,"بله","خیر")</f>
        <v/>
      </c>
    </row>
    <row r="2042" ht="15" customHeight="1" s="14">
      <c r="A2042" s="24" t="n">
        <v>18193</v>
      </c>
      <c r="B2042" s="24" t="inlineStr">
        <is>
          <t>انليدو   کپسول خوراکي 10 mg - اکترو خاورميانه</t>
        </is>
      </c>
      <c r="C2042" s="25">
        <f>IF(COUNTIF('کدهای پیام‌داروساز'!$A$2:$A$2442,A2042)&gt;0,"بله","خیر")</f>
        <v/>
      </c>
    </row>
    <row r="2043" ht="15" customHeight="1" s="14">
      <c r="A2043" s="24" t="n">
        <v>18233</v>
      </c>
      <c r="B2043" s="24" t="inlineStr">
        <is>
          <t>پپتي لاک قرص - الحاوي 12 ع</t>
        </is>
      </c>
      <c r="C2043" s="25">
        <f>IF(COUNTIF('کدهای پیام‌داروساز'!$A$2:$A$2442,A2043)&gt;0,"بله","خیر")</f>
        <v/>
      </c>
    </row>
    <row r="2044" ht="15" customHeight="1" s="14">
      <c r="A2044" s="24" t="n">
        <v>18312</v>
      </c>
      <c r="B2044" s="24" t="inlineStr">
        <is>
          <t>پارسلاکس   پودر خوراکي  10 g - پارس بهروزان جم</t>
        </is>
      </c>
      <c r="C2044" s="25">
        <f>IF(COUNTIF('کدهای پیام‌داروساز'!$A$2:$A$2442,A2044)&gt;0,"بله","خیر")</f>
        <v/>
      </c>
    </row>
    <row r="2045" ht="15" customHeight="1" s="14">
      <c r="A2045" s="24" t="n">
        <v>18333</v>
      </c>
      <c r="B2045" s="24" t="inlineStr">
        <is>
          <t>همابيت   تزريقي عضلاني 250 ug/1mL 1 ug - بهستان دارو</t>
        </is>
      </c>
      <c r="C2045" s="25">
        <f>IF(COUNTIF('کدهای پیام‌داروساز'!$A$2:$A$2442,A2045)&gt;0,"بله","خیر")</f>
        <v/>
      </c>
    </row>
    <row r="2046" ht="15" customHeight="1" s="14">
      <c r="A2046" s="24" t="n">
        <v>18354</v>
      </c>
      <c r="B2046" s="24" t="inlineStr">
        <is>
          <t>آميتن (کتوتيفن) 1 م گ / 5 م ل 60 م ل شربت - امين</t>
        </is>
      </c>
      <c r="C2046" s="25">
        <f>IF(COUNTIF('کدهای پیام‌داروساز'!$A$2:$A$2442,A2046)&gt;0,"بله","خیر")</f>
        <v/>
      </c>
    </row>
    <row r="2047" ht="15" customHeight="1" s="14">
      <c r="A2047" s="24" t="n">
        <v>18384</v>
      </c>
      <c r="B2047" s="24" t="inlineStr">
        <is>
          <t>3و4 دي آمينوپريدين   قرص خوراکي 20 mg  [Amb'a'1'U] - فوريتهاي سينا آرات گستر</t>
        </is>
      </c>
      <c r="C2047" s="25">
        <f>IF(COUNTIF('کدهای پیام‌داروساز'!$A$2:$A$2442,A2047)&gt;0,"بله","خیر")</f>
        <v/>
      </c>
    </row>
    <row r="2048" ht="15" customHeight="1" s="14">
      <c r="A2048" s="24" t="n">
        <v>18407</v>
      </c>
      <c r="B2048" s="24" t="inlineStr">
        <is>
          <t>سلناز   تزريقي پرنترال 50 ug/1mL 2 ug - ويرا ليان گروه</t>
        </is>
      </c>
      <c r="C2048" s="25">
        <f>IF(COUNTIF('کدهای پیام‌داروساز'!$A$2:$A$2442,A2048)&gt;0,"بله","خیر")</f>
        <v/>
      </c>
    </row>
    <row r="2049" ht="15" customHeight="1" s="14">
      <c r="A2049" s="24" t="n">
        <v>18420</v>
      </c>
      <c r="B2049" s="24" t="inlineStr">
        <is>
          <t>اپوتريکس   محلول غليظ تزريقي داخل وريدي 150 mg/1mL 6.7 mL - دارو درمان سلامت پارس</t>
        </is>
      </c>
      <c r="C2049" s="25">
        <f>IF(COUNTIF('کدهای پیام‌داروساز'!$A$2:$A$2442,A2049)&gt;0,"بله","خیر")</f>
        <v/>
      </c>
    </row>
    <row r="2050" ht="15" customHeight="1" s="14">
      <c r="A2050" s="24" t="n">
        <v>18430</v>
      </c>
      <c r="B2050" s="24" t="inlineStr">
        <is>
          <t>دپرسول   کپسول انتريک کوتد خوراکي 20 mg - داروسازي توليد دارو</t>
        </is>
      </c>
      <c r="C2050" s="25">
        <f>IF(COUNTIF('کدهای پیام‌داروساز'!$A$2:$A$2442,A2050)&gt;0,"بله","خیر")</f>
        <v/>
      </c>
    </row>
    <row r="2051" ht="15" customHeight="1" s="14">
      <c r="A2051" s="24" t="n">
        <v>18435</v>
      </c>
      <c r="B2051" s="24" t="inlineStr">
        <is>
          <t>آنتراسين   محلول غليظ تزريقي پرنترال 2 mg/1mL 5 mg - درمان ياب دارو</t>
        </is>
      </c>
      <c r="C2051" s="25">
        <f>IF(COUNTIF('کدهای پیام‌داروساز'!$A$2:$A$2442,A2051)&gt;0,"بله","خیر")</f>
        <v/>
      </c>
    </row>
    <row r="2052" ht="15" customHeight="1" s="14">
      <c r="A2052" s="24" t="n">
        <v>18438</v>
      </c>
      <c r="B2052" s="24" t="inlineStr">
        <is>
          <t>لوپرومر   پودر براي تهيه سوسپانسيون تزريقي پيوسته رهش پرنترال 3.75 mg - تحقيقاتي و توليدي واريان فارمد</t>
        </is>
      </c>
      <c r="C2052" s="25">
        <f>IF(COUNTIF('کدهای پیام‌داروساز'!$A$2:$A$2442,A2052)&gt;0,"بله","خیر")</f>
        <v/>
      </c>
    </row>
    <row r="2053" ht="15" customHeight="1" s="14">
      <c r="A2053" s="24" t="n">
        <v>18452</v>
      </c>
      <c r="B2053" s="24" t="inlineStr">
        <is>
          <t>آلندرونيک اسيد/کوله کلسيفرول   قرص خوراکي 70 mg/140 ug - لابراتوارهاي رازک</t>
        </is>
      </c>
      <c r="C2053" s="25">
        <f>IF(COUNTIF('کدهای پیام‌داروساز'!$A$2:$A$2442,A2053)&gt;0,"بله","خیر")</f>
        <v/>
      </c>
    </row>
    <row r="2054" ht="15" customHeight="1" s="14">
      <c r="A2054" s="24" t="n">
        <v>18457</v>
      </c>
      <c r="B2054" s="24" t="inlineStr">
        <is>
          <t>پروکساژل   کپسول حاوي مايع خوراکي 200 mg   - داروسازي دانا</t>
        </is>
      </c>
      <c r="C2054" s="25">
        <f>IF(COUNTIF('کدهای پیام‌داروساز'!$A$2:$A$2442,A2054)&gt;0,"بله","خیر")</f>
        <v/>
      </c>
    </row>
    <row r="2055" ht="15" customHeight="1" s="14">
      <c r="A2055" s="24" t="n">
        <v>18466</v>
      </c>
      <c r="B2055" s="24" t="inlineStr">
        <is>
          <t>زکاماکس پلاس   قرص خوراکي 325 mg/15 mg/200 mg/5 mg - دارو سازي آنوشا</t>
        </is>
      </c>
      <c r="C2055" s="25">
        <f>IF(COUNTIF('کدهای پیام‌داروساز'!$A$2:$A$2442,A2055)&gt;0,"بله","خیر")</f>
        <v/>
      </c>
    </row>
    <row r="2056" ht="15" customHeight="1" s="14">
      <c r="A2056" s="24" t="n">
        <v>18505</v>
      </c>
      <c r="B2056" s="24" t="inlineStr">
        <is>
          <t>تابينوز   پودر لئوفيليزه براي تهيه محلول تزريقي پرنترال 50 mg  mg - نانو فناوران داروئي الوند</t>
        </is>
      </c>
      <c r="C2056" s="25">
        <f>IF(COUNTIF('کدهای پیام‌داروساز'!$A$2:$A$2442,A2056)&gt;0,"بله","خیر")</f>
        <v/>
      </c>
    </row>
    <row r="2057" ht="15" customHeight="1" s="14">
      <c r="A2057" s="24" t="n">
        <v>18556</v>
      </c>
      <c r="B2057" s="24" t="inlineStr">
        <is>
          <t>الوينوتک   محلول غليظ تزريقي پرنترال 20 mg/1mL 15 mg - نانو فناوران داروئي الوند</t>
        </is>
      </c>
      <c r="C2057" s="25">
        <f>IF(COUNTIF('کدهای پیام‌داروساز'!$A$2:$A$2442,A2057)&gt;0,"بله","خیر")</f>
        <v/>
      </c>
    </row>
    <row r="2058" ht="15" customHeight="1" s="14">
      <c r="A2058" s="24" t="n">
        <v>18586</v>
      </c>
      <c r="B2058" s="24" t="inlineStr">
        <is>
          <t>آکوريت 3   قرص خوراکي 275 mg/75 mg/150 mg - دارويي بهين پاد</t>
        </is>
      </c>
      <c r="C2058" s="25">
        <f>IF(COUNTIF('کدهای پیام‌داروساز'!$A$2:$A$2442,A2058)&gt;0,"بله","خیر")</f>
        <v/>
      </c>
    </row>
    <row r="2059" ht="15" customHeight="1" s="14">
      <c r="A2059" s="24" t="n">
        <v>18588</v>
      </c>
      <c r="B2059" s="24" t="inlineStr">
        <is>
          <t>آرتروسن 300MG کپسول - فارمين</t>
        </is>
      </c>
      <c r="C2059" s="25">
        <f>IF(COUNTIF('کدهای پیام‌داروساز'!$A$2:$A$2442,A2059)&gt;0,"بله","خیر")</f>
        <v/>
      </c>
    </row>
    <row r="2060" ht="15" customHeight="1" s="14">
      <c r="A2060" s="24" t="n">
        <v>18626</v>
      </c>
      <c r="B2060" s="24" t="inlineStr">
        <is>
          <t>آفتاکوييکس   محلول، قطره چشمي 0.5 % 5 mL</t>
        </is>
      </c>
      <c r="C2060" s="25">
        <f>IF(COUNTIF('کدهای پیام‌داروساز'!$A$2:$A$2442,A2060)&gt;0,"بله","خیر")</f>
        <v/>
      </c>
    </row>
    <row r="2061" ht="15" customHeight="1" s="14">
      <c r="A2061" s="24" t="n">
        <v>18649</v>
      </c>
      <c r="B2061" s="24" t="inlineStr">
        <is>
          <t>لانسولين (انسولين بي فازيک ايزوفان) 70 % / 30 % 3 ميلي ليتر کارتريج اکسير</t>
        </is>
      </c>
      <c r="C2061" s="25">
        <f>IF(COUNTIF('کدهای پیام‌داروساز'!$A$2:$A$2442,A2061)&gt;0,"بله","خیر")</f>
        <v/>
      </c>
    </row>
    <row r="2062" ht="15" customHeight="1" s="14">
      <c r="A2062" s="24" t="n">
        <v>18672</v>
      </c>
      <c r="B2062" s="24" t="inlineStr">
        <is>
          <t>زيترومکس اس دي   براي تهيه سوسپانسيون پيوسته رهش خوراکي 2 g  g - بهستان دارو</t>
        </is>
      </c>
      <c r="C2062" s="25">
        <f>IF(COUNTIF('کدهای پیام‌داروساز'!$A$2:$A$2442,A2062)&gt;0,"بله","خیر")</f>
        <v/>
      </c>
    </row>
    <row r="2063" ht="15" customHeight="1" s="14">
      <c r="A2063" s="24" t="n">
        <v>18769</v>
      </c>
      <c r="B2063" s="24" t="inlineStr">
        <is>
          <t>دکسترومتورفان   کپسول حاوي مايع خوراکي 15 mg - داروئي ارايشي وبهداشتي مينو</t>
        </is>
      </c>
      <c r="C2063" s="25">
        <f>IF(COUNTIF('کدهای پیام‌داروساز'!$A$2:$A$2442,A2063)&gt;0,"بله","خیر")</f>
        <v/>
      </c>
    </row>
    <row r="2064" ht="15" customHeight="1" s="14">
      <c r="A2064" s="24" t="n">
        <v>18777</v>
      </c>
      <c r="B2064" s="24" t="inlineStr">
        <is>
          <t>دي اچ-ژل   کپسول حاوي مايع خوراکي 25 mg - داروسازي دانا</t>
        </is>
      </c>
      <c r="C2064" s="25">
        <f>IF(COUNTIF('کدهای پیام‌داروساز'!$A$2:$A$2442,A2064)&gt;0,"بله","خیر")</f>
        <v/>
      </c>
    </row>
    <row r="2065" ht="15" customHeight="1" s="14">
      <c r="A2065" s="24" t="n">
        <v>18780</v>
      </c>
      <c r="B2065" s="24" t="inlineStr">
        <is>
          <t>پلازيژل   کپسول با روکش ژلاتين خوراکي 10 mg - داروسازي زهراوي</t>
        </is>
      </c>
      <c r="C2065" s="25">
        <f>IF(COUNTIF('کدهای پیام‌داروساز'!$A$2:$A$2442,A2065)&gt;0,"بله","خیر")</f>
        <v/>
      </c>
    </row>
    <row r="2066" ht="15" customHeight="1" s="14">
      <c r="A2066" s="24" t="n">
        <v>18819</v>
      </c>
      <c r="B2066" s="24" t="inlineStr">
        <is>
          <t>پنوموکانژ13   تزريقي پرنترال  0.5 mL - نيواد فارمد سلامت</t>
        </is>
      </c>
      <c r="C2066" s="25">
        <f>IF(COUNTIF('کدهای پیام‌داروساز'!$A$2:$A$2442,A2066)&gt;0,"بله","خیر")</f>
        <v/>
      </c>
    </row>
    <row r="2067" ht="15" customHeight="1" s="14">
      <c r="A2067" s="24" t="n">
        <v>18820</v>
      </c>
      <c r="B2067" s="24" t="inlineStr">
        <is>
          <t>پرونار 13 واکسن آماده تزريق - فايزر</t>
        </is>
      </c>
      <c r="C2067" s="25">
        <f>IF(COUNTIF('کدهای پیام‌داروساز'!$A$2:$A$2442,A2067)&gt;0,"بله","خیر")</f>
        <v/>
      </c>
    </row>
    <row r="2068" ht="15" customHeight="1" s="14">
      <c r="A2068" s="24" t="n">
        <v>18871</v>
      </c>
      <c r="B2068" s="24" t="inlineStr">
        <is>
          <t>آلروپات   اسپري از راه بيني 0.6 % 20 mL - داروسازي رها اصفهان</t>
        </is>
      </c>
      <c r="C2068" s="25">
        <f>IF(COUNTIF('کدهای پیام‌داروساز'!$A$2:$A$2442,A2068)&gt;0,"بله","خیر")</f>
        <v/>
      </c>
    </row>
    <row r="2069" ht="15" customHeight="1" s="14">
      <c r="A2069" s="24" t="n">
        <v>18897</v>
      </c>
      <c r="B2069" s="24" t="inlineStr">
        <is>
          <t>اوتروژستان   کپسول حاوي مايع خوراکي 100 mg - دارويي بهين پاد</t>
        </is>
      </c>
      <c r="C2069" s="25">
        <f>IF(COUNTIF('کدهای پیام‌داروساز'!$A$2:$A$2442,A2069)&gt;0,"بله","خیر")</f>
        <v/>
      </c>
    </row>
    <row r="2070" ht="15" customHeight="1" s="14">
      <c r="A2070" s="24" t="n">
        <v>18898</v>
      </c>
      <c r="B2070" s="24" t="inlineStr">
        <is>
          <t>اوتروژستان   کپسول حاوي مايع خوراکي 200 mg - دارويي بهين پاد</t>
        </is>
      </c>
      <c r="C2070" s="25">
        <f>IF(COUNTIF('کدهای پیام‌داروساز'!$A$2:$A$2442,A2070)&gt;0,"بله","خیر")</f>
        <v/>
      </c>
    </row>
    <row r="2071" ht="15" customHeight="1" s="14">
      <c r="A2071" s="24" t="n">
        <v>18904</v>
      </c>
      <c r="B2071" s="24" t="inlineStr">
        <is>
          <t>لاتودا   قرص خوراکي 40 mg - بازرگاني سها کيش</t>
        </is>
      </c>
      <c r="C2071" s="25">
        <f>IF(COUNTIF('کدهای پیام‌داروساز'!$A$2:$A$2442,A2071)&gt;0,"بله","خیر")</f>
        <v/>
      </c>
    </row>
    <row r="2072" ht="15" customHeight="1" s="14">
      <c r="A2072" s="24" t="n">
        <v>18932</v>
      </c>
      <c r="B2072" s="24" t="inlineStr">
        <is>
          <t>پتاسيم يديد   قرص خوراکي 65 mg - توليد مواد داروئي درسا دارو</t>
        </is>
      </c>
      <c r="C2072" s="25">
        <f>IF(COUNTIF('کدهای پیام‌داروساز'!$A$2:$A$2442,A2072)&gt;0,"بله","خیر")</f>
        <v/>
      </c>
    </row>
    <row r="2073" ht="15" customHeight="1" s="14">
      <c r="A2073" s="24" t="n">
        <v>18934</v>
      </c>
      <c r="B2073" s="24" t="inlineStr">
        <is>
          <t>اتوپودال   محلول تزريقي داخل وريدي 20 mg/1mL 10 mL - سه دال نانو</t>
        </is>
      </c>
      <c r="C2073" s="25">
        <f>IF(COUNTIF('کدهای پیام‌داروساز'!$A$2:$A$2442,A2073)&gt;0,"بله","خیر")</f>
        <v/>
      </c>
    </row>
    <row r="2074" ht="15" customHeight="1" s="14">
      <c r="A2074" s="24" t="n">
        <v>18949</v>
      </c>
      <c r="B2074" s="24" t="inlineStr">
        <is>
          <t>آگوليپ   قرص خوراکي 25 mg - تدبير کالاي جم</t>
        </is>
      </c>
      <c r="C2074" s="25">
        <f>IF(COUNTIF('کدهای پیام‌داروساز'!$A$2:$A$2442,A2074)&gt;0,"بله","خیر")</f>
        <v/>
      </c>
    </row>
    <row r="2075" ht="15" customHeight="1" s="14">
      <c r="A2075" s="24" t="n">
        <v>18964</v>
      </c>
      <c r="B2075" s="24" t="inlineStr">
        <is>
          <t>اکسازار   قرص خوراکي 15 mg - آذر زيست دارو</t>
        </is>
      </c>
      <c r="C2075" s="25">
        <f>IF(COUNTIF('کدهای پیام‌داروساز'!$A$2:$A$2442,A2075)&gt;0,"بله","خیر")</f>
        <v/>
      </c>
    </row>
    <row r="2076" ht="15" customHeight="1" s="14">
      <c r="A2076" s="24" t="n">
        <v>18967</v>
      </c>
      <c r="B2076" s="24" t="inlineStr">
        <is>
          <t>آب قابل تزريق (کارتريج 3 ميلي ليتر-نمونه)   تزريقي پرنترال 3 mL  mL - دارو سازي بهوزان</t>
        </is>
      </c>
      <c r="C2076" s="25">
        <f>IF(COUNTIF('کدهای پیام‌داروساز'!$A$2:$A$2442,A2076)&gt;0,"بله","خیر")</f>
        <v/>
      </c>
    </row>
    <row r="2077" ht="15" customHeight="1" s="14">
      <c r="A2077" s="24" t="n">
        <v>18972</v>
      </c>
      <c r="B2077" s="24" t="inlineStr">
        <is>
          <t>پگاژن   محلول تزريقي پرنترال 10 mg/1mL 0.6 mg - تحقيقاتي وتوليدي سينا ژن</t>
        </is>
      </c>
      <c r="C2077" s="25">
        <f>IF(COUNTIF('کدهای پیام‌داروساز'!$A$2:$A$2442,A2077)&gt;0,"بله","خیر")</f>
        <v/>
      </c>
    </row>
    <row r="2078" ht="15" customHeight="1" s="14">
      <c r="A2078" s="24" t="n">
        <v>18983</v>
      </c>
      <c r="B2078" s="24" t="inlineStr">
        <is>
          <t>سالين   انما مقعدي 7 g/19 g/118mL  mL - دارو تجهيزات سرو</t>
        </is>
      </c>
      <c r="C2078" s="25">
        <f>IF(COUNTIF('کدهای پیام‌داروساز'!$A$2:$A$2442,A2078)&gt;0,"بله","خیر")</f>
        <v/>
      </c>
    </row>
    <row r="2079" ht="15" customHeight="1" s="14">
      <c r="A2079" s="24" t="n">
        <v>19011</v>
      </c>
      <c r="B2079" s="24" t="inlineStr">
        <is>
          <t>آبيراترون اکويدا   قرص خوراکي 250 mg - رويان آکويدا</t>
        </is>
      </c>
      <c r="C2079" s="25">
        <f>IF(COUNTIF('کدهای پیام‌داروساز'!$A$2:$A$2442,A2079)&gt;0,"بله","خیر")</f>
        <v/>
      </c>
    </row>
    <row r="2080" ht="15" customHeight="1" s="14">
      <c r="A2080" s="24" t="n">
        <v>19051</v>
      </c>
      <c r="B2080" s="24" t="inlineStr">
        <is>
          <t>اکسترانفرول   محلول داخل صفاقي 7.5 g/100mL 2 mL - توسعه مکانيزه نوين آوران</t>
        </is>
      </c>
      <c r="C2080" s="25">
        <f>IF(COUNTIF('کدهای پیام‌داروساز'!$A$2:$A$2442,A2080)&gt;0,"بله","خیر")</f>
        <v/>
      </c>
    </row>
    <row r="2081" ht="15" customHeight="1" s="14">
      <c r="A2081" s="24" t="n">
        <v>19093</v>
      </c>
      <c r="B2081" s="24" t="inlineStr">
        <is>
          <t>اندومترين   قرص واژينال 100 mg - درمان ياب دارو</t>
        </is>
      </c>
      <c r="C2081" s="25">
        <f>IF(COUNTIF('کدهای پیام‌داروساز'!$A$2:$A$2442,A2081)&gt;0,"بله","خیر")</f>
        <v/>
      </c>
    </row>
    <row r="2082" ht="15" customHeight="1" s="14">
      <c r="A2082" s="24" t="n">
        <v>19116</v>
      </c>
      <c r="B2082" s="24" t="inlineStr">
        <is>
          <t>ايتالپت100ميلي گرم/ميلي ليتر(لوتيراستام)شربت - SANOFI</t>
        </is>
      </c>
      <c r="C2082" s="25">
        <f>IF(COUNTIF('کدهای پیام‌داروساز'!$A$2:$A$2442,A2082)&gt;0,"بله","خیر")</f>
        <v/>
      </c>
    </row>
    <row r="2083" ht="15" customHeight="1" s="14">
      <c r="A2083" s="24" t="n">
        <v>19172</v>
      </c>
      <c r="B2083" s="24" t="inlineStr">
        <is>
          <t>بوتاسنس   پودر لئوفيليزه براي تهيه محلول تزريقي پرنترال 300 [iU]  [iU] - داروسازي آرايشي و بهداشتي ايران داروک</t>
        </is>
      </c>
      <c r="C2083" s="25">
        <f>IF(COUNTIF('کدهای پیام‌داروساز'!$A$2:$A$2442,A2083)&gt;0,"بله","خیر")</f>
        <v/>
      </c>
    </row>
    <row r="2084" ht="15" customHeight="1" s="14">
      <c r="A2084" s="24" t="n">
        <v>19232</v>
      </c>
      <c r="B2084" s="24" t="inlineStr">
        <is>
          <t>استاپارکين   قرص خوراکي 100 mg/25 mg/200 mg - فن آوريهاي نوين دارويي آتيه</t>
        </is>
      </c>
      <c r="C2084" s="25">
        <f>IF(COUNTIF('کدهای پیام‌داروساز'!$A$2:$A$2442,A2084)&gt;0,"بله","خیر")</f>
        <v/>
      </c>
    </row>
    <row r="2085" ht="15" customHeight="1" s="14">
      <c r="A2085" s="24" t="n">
        <v>19263</v>
      </c>
      <c r="B2085" s="24" t="inlineStr">
        <is>
          <t>اسپينورال   قرص پيوسته رهش خوراکي 10 mg - داروسازي ريحانه اصفهان</t>
        </is>
      </c>
      <c r="C2085" s="25">
        <f>IF(COUNTIF('کدهای پیام‌داروساز'!$A$2:$A$2442,A2085)&gt;0,"بله","خیر")</f>
        <v/>
      </c>
    </row>
    <row r="2086" ht="15" customHeight="1" s="14">
      <c r="A2086" s="24" t="n">
        <v>19407</v>
      </c>
      <c r="B2086" s="24" t="inlineStr">
        <is>
          <t>رنيوان اچ   قرص خوراکي 320 mg/25 mg - داروسازي سامي ساز</t>
        </is>
      </c>
      <c r="C2086" s="25">
        <f>IF(COUNTIF('کدهای پیام‌داروساز'!$A$2:$A$2442,A2086)&gt;0,"بله","خیر")</f>
        <v/>
      </c>
    </row>
    <row r="2087" ht="15" customHeight="1" s="14">
      <c r="A2087" s="24" t="n">
        <v>19412</v>
      </c>
      <c r="B2087" s="24" t="inlineStr">
        <is>
          <t>آميتزو   کپسول خوراکي 140 mg - نانو فناوران داروئي الوند</t>
        </is>
      </c>
      <c r="C2087" s="25">
        <f>IF(COUNTIF('کدهای پیام‌داروساز'!$A$2:$A$2442,A2087)&gt;0,"بله","خیر")</f>
        <v/>
      </c>
    </row>
    <row r="2088" ht="15" customHeight="1" s="14">
      <c r="A2088" s="24" t="n">
        <v>19418</v>
      </c>
      <c r="B2088" s="24" t="inlineStr">
        <is>
          <t>آني کلاز   قرص پيوسته رهش خوراکي 60 mg - داروسازي آني درمان</t>
        </is>
      </c>
      <c r="C2088" s="25">
        <f>IF(COUNTIF('کدهای پیام‌داروساز'!$A$2:$A$2442,A2088)&gt;0,"بله","خیر")</f>
        <v/>
      </c>
    </row>
    <row r="2089" ht="15" customHeight="1" s="14">
      <c r="A2089" s="24" t="n">
        <v>19428</v>
      </c>
      <c r="B2089" s="24" t="inlineStr">
        <is>
          <t>ايزي فايو-تي تي   سوسپانسيون تزريقي پرنترال 1 {dose} 0.5 mL - سان فارمد آسيا</t>
        </is>
      </c>
      <c r="C2089" s="25">
        <f>IF(COUNTIF('کدهای پیام‌داروساز'!$A$2:$A$2442,A2089)&gt;0,"بله","خیر")</f>
        <v/>
      </c>
    </row>
    <row r="2090" ht="15" customHeight="1" s="14">
      <c r="A2090" s="24" t="n">
        <v>19431</v>
      </c>
      <c r="B2090" s="24" t="inlineStr">
        <is>
          <t>ديلتيازم2درصدژل-کاسپين</t>
        </is>
      </c>
      <c r="C2090" s="25">
        <f>IF(COUNTIF('کدهای پیام‌داروساز'!$A$2:$A$2442,A2090)&gt;0,"بله","خیر")</f>
        <v/>
      </c>
    </row>
    <row r="2091" ht="15" customHeight="1" s="14">
      <c r="A2091" s="24" t="n">
        <v>19438</v>
      </c>
      <c r="B2091" s="24" t="inlineStr">
        <is>
          <t>PRADAXA 150 MG CAP   کپسول خوراکي 150 mg</t>
        </is>
      </c>
      <c r="C2091" s="25">
        <f>IF(COUNTIF('کدهای پیام‌داروساز'!$A$2:$A$2442,A2091)&gt;0,"بله","خیر")</f>
        <v/>
      </c>
    </row>
    <row r="2092" ht="15" customHeight="1" s="14">
      <c r="A2092" s="24" t="n">
        <v>19472</v>
      </c>
      <c r="B2092" s="24" t="inlineStr">
        <is>
          <t>ترزامين 2(سيپروهپتادين) شربت 60 م ل - امين</t>
        </is>
      </c>
      <c r="C2092" s="25">
        <f>IF(COUNTIF('کدهای پیام‌داروساز'!$A$2:$A$2442,A2092)&gt;0,"بله","خیر")</f>
        <v/>
      </c>
    </row>
    <row r="2093" ht="15" customHeight="1" s="14">
      <c r="A2093" s="24" t="n">
        <v>19586</v>
      </c>
      <c r="B2093" s="24" t="inlineStr">
        <is>
          <t>کالازينتول   پماد موضعي 0.44 g/20.625 g/10 g/100 g 70 g - سبحان دارو</t>
        </is>
      </c>
      <c r="C2093" s="25">
        <f>IF(COUNTIF('کدهای پیام‌داروساز'!$A$2:$A$2442,A2093)&gt;0,"بله","خیر")</f>
        <v/>
      </c>
    </row>
    <row r="2094" ht="15" customHeight="1" s="14">
      <c r="A2094" s="24" t="n">
        <v>19696</v>
      </c>
      <c r="B2094" s="24" t="inlineStr">
        <is>
          <t>وندسا   قرص خوراکي 300 mg - نو آوران دارويي کيميا</t>
        </is>
      </c>
      <c r="C2094" s="25">
        <f>IF(COUNTIF('کدهای پیام‌داروساز'!$A$2:$A$2442,A2094)&gt;0,"بله","خیر")</f>
        <v/>
      </c>
    </row>
    <row r="2095" ht="15" customHeight="1" s="14">
      <c r="A2095" s="24" t="n">
        <v>19736</v>
      </c>
      <c r="B2095" s="24" t="inlineStr">
        <is>
          <t>ريسپردال کنستا   پودر براي تهيه سوسپانسيون تزريقي پيوسته رهش پرنترال 37.5 mg  mg - بهستان دارو</t>
        </is>
      </c>
      <c r="C2095" s="25">
        <f>IF(COUNTIF('کدهای پیام‌داروساز'!$A$2:$A$2442,A2095)&gt;0,"بله","خیر")</f>
        <v/>
      </c>
    </row>
    <row r="2096" ht="15" customHeight="1" s="14">
      <c r="A2096" s="24" t="n">
        <v>19773</v>
      </c>
      <c r="B2096" s="24" t="inlineStr">
        <is>
          <t>آملوديپين / والسارتان   قرص خوراکي 5 mg/80 mg - داروسازي و مکملهاي غذايي حياتي کارن</t>
        </is>
      </c>
      <c r="C2096" s="25">
        <f>IF(COUNTIF('کدهای پیام‌داروساز'!$A$2:$A$2442,A2096)&gt;0,"بله","خیر")</f>
        <v/>
      </c>
    </row>
    <row r="2097" ht="15" customHeight="1" s="14">
      <c r="A2097" s="24" t="n">
        <v>19776</v>
      </c>
      <c r="B2097" s="24" t="inlineStr">
        <is>
          <t>بنزوکائين   ژل بوکال 7.5 % 15 g - ايران دارو</t>
        </is>
      </c>
      <c r="C2097" s="25">
        <f>IF(COUNTIF('کدهای پیام‌داروساز'!$A$2:$A$2442,A2097)&gt;0,"بله","خیر")</f>
        <v/>
      </c>
    </row>
    <row r="2098" ht="15" customHeight="1" s="14">
      <c r="A2098" s="24" t="n">
        <v>19781</v>
      </c>
      <c r="B2098" s="24" t="inlineStr">
        <is>
          <t>اکسازار   قرص خوراکي 30 mg - آذر زيست دارو</t>
        </is>
      </c>
      <c r="C2098" s="25">
        <f>IF(COUNTIF('کدهای پیام‌داروساز'!$A$2:$A$2442,A2098)&gt;0,"بله","خیر")</f>
        <v/>
      </c>
    </row>
    <row r="2099" ht="15" customHeight="1" s="14">
      <c r="A2099" s="24" t="n">
        <v>19787</v>
      </c>
      <c r="B2099" s="24" t="inlineStr">
        <is>
          <t>پتاسيم يديد   قرص خوراکي 130 mg - توليد مواد داروئي درسا دارو</t>
        </is>
      </c>
      <c r="C2099" s="25">
        <f>IF(COUNTIF('کدهای پیام‌داروساز'!$A$2:$A$2442,A2099)&gt;0,"بله","خیر")</f>
        <v/>
      </c>
    </row>
    <row r="2100" ht="15" customHeight="1" s="14">
      <c r="A2100" s="24" t="n">
        <v>19797</v>
      </c>
      <c r="B2100" s="24" t="inlineStr">
        <is>
          <t>تاوالوسين   قرص خوراکي 750 mg - داروسازي تهران شيمي</t>
        </is>
      </c>
      <c r="C2100" s="25">
        <f>IF(COUNTIF('کدهای پیام‌داروساز'!$A$2:$A$2442,A2100)&gt;0,"بله","خیر")</f>
        <v/>
      </c>
    </row>
    <row r="2101" ht="15" customHeight="1" s="14">
      <c r="A2101" s="24" t="n">
        <v>19835</v>
      </c>
      <c r="B2101" s="24" t="inlineStr">
        <is>
          <t>آدنوريک   قرص خوراکي 80 mg - بازرگاني سها کيش</t>
        </is>
      </c>
      <c r="C2101" s="25">
        <f>IF(COUNTIF('کدهای پیام‌داروساز'!$A$2:$A$2442,A2101)&gt;0,"بله","خیر")</f>
        <v/>
      </c>
    </row>
    <row r="2102" ht="15" customHeight="1" s="14">
      <c r="A2102" s="24" t="n">
        <v>19859</v>
      </c>
      <c r="B2102" s="24" t="inlineStr">
        <is>
          <t>آتروونت   محلول استنشاقي 250 ug/1mL 2 ug</t>
        </is>
      </c>
      <c r="C2102" s="25">
        <f>IF(COUNTIF('کدهای پیام‌داروساز'!$A$2:$A$2442,A2102)&gt;0,"بله","خیر")</f>
        <v/>
      </c>
    </row>
    <row r="2103" ht="15" customHeight="1" s="14">
      <c r="A2103" s="24" t="n">
        <v>19875</v>
      </c>
      <c r="B2103" s="24" t="inlineStr">
        <is>
          <t>اکتراپيد   تزريقي پرنترال 100 [iU]/1mL 3 [iU]</t>
        </is>
      </c>
      <c r="C2103" s="25">
        <f>IF(COUNTIF('کدهای پیام‌داروساز'!$A$2:$A$2442,A2103)&gt;0,"بله","خیر")</f>
        <v/>
      </c>
    </row>
    <row r="2104" ht="15" customHeight="1" s="14">
      <c r="A2104" s="24" t="n">
        <v>19877</v>
      </c>
      <c r="B2104" s="24" t="inlineStr">
        <is>
          <t>انسولاتارد   تزريقي پرنترال 100 [iU]/1mL 3 [iU]</t>
        </is>
      </c>
      <c r="C2104" s="25">
        <f>IF(COUNTIF('کدهای پیام‌داروساز'!$A$2:$A$2442,A2104)&gt;0,"بله","خیر")</f>
        <v/>
      </c>
    </row>
    <row r="2105" ht="15" customHeight="1" s="14">
      <c r="A2105" s="24" t="n">
        <v>19892</v>
      </c>
      <c r="B2105" s="24" t="inlineStr">
        <is>
          <t>آمينوپلاسمال بي.براون 10% الکتروليت   محلول تزريقي داخل وريدي 250 mL - نيکان فارمد</t>
        </is>
      </c>
      <c r="C2105" s="25">
        <f>IF(COUNTIF('کدهای پیام‌داروساز'!$A$2:$A$2442,A2105)&gt;0,"بله","خیر")</f>
        <v/>
      </c>
    </row>
    <row r="2106" ht="15" customHeight="1" s="14">
      <c r="A2106" s="24" t="n">
        <v>19899</v>
      </c>
      <c r="B2106" s="24" t="inlineStr">
        <is>
          <t>آروفرن   قرص پيوسته رهش خوراکي 800 mg - دارو درمان آرنگ</t>
        </is>
      </c>
      <c r="C2106" s="25">
        <f>IF(COUNTIF('کدهای پیام‌داروساز'!$A$2:$A$2442,A2106)&gt;0,"بله","خیر")</f>
        <v/>
      </c>
    </row>
    <row r="2107" ht="15" customHeight="1" s="14">
      <c r="A2107" s="24" t="n">
        <v>19923</v>
      </c>
      <c r="B2107" s="24" t="inlineStr">
        <is>
          <t>آمينوپلاسمال بي.براون 5% الکتروليت   محلول تزريقي داخل وريدي 250 mL - نيکان فارمد</t>
        </is>
      </c>
      <c r="C2107" s="25">
        <f>IF(COUNTIF('کدهای پیام‌داروساز'!$A$2:$A$2442,A2107)&gt;0,"بله","خیر")</f>
        <v/>
      </c>
    </row>
    <row r="2108" ht="15" customHeight="1" s="14">
      <c r="A2108" s="24" t="n">
        <v>19926</v>
      </c>
      <c r="B2108" s="24" t="inlineStr">
        <is>
          <t>آمينوپلاسمال بي.براون 5% الکتروليت   محلول تزريقي داخل وريدي 500 mL - نيکان فارمد</t>
        </is>
      </c>
      <c r="C2108" s="25">
        <f>IF(COUNTIF('کدهای پیام‌داروساز'!$A$2:$A$2442,A2108)&gt;0,"بله","خیر")</f>
        <v/>
      </c>
    </row>
    <row r="2109" ht="15" customHeight="1" s="14">
      <c r="A2109" s="24" t="n">
        <v>19930</v>
      </c>
      <c r="B2109" s="24" t="inlineStr">
        <is>
          <t>ديکلوتان   قرص پيوسته رهش خوراکي 75 mg - سبحان دارو</t>
        </is>
      </c>
      <c r="C2109" s="25">
        <f>IF(COUNTIF('کدهای پیام‌داروساز'!$A$2:$A$2442,A2109)&gt;0,"بله","خیر")</f>
        <v/>
      </c>
    </row>
    <row r="2110" ht="15" customHeight="1" s="14">
      <c r="A2110" s="24" t="n">
        <v>19949</v>
      </c>
      <c r="B2110" s="24" t="inlineStr">
        <is>
          <t>دايمتيکون   کپسول حاوي مايع خوراکي 180 mg - روزدارو</t>
        </is>
      </c>
      <c r="C2110" s="25">
        <f>IF(COUNTIF('کدهای پیام‌داروساز'!$A$2:$A$2442,A2110)&gt;0,"بله","خیر")</f>
        <v/>
      </c>
    </row>
    <row r="2111" ht="15" customHeight="1" s="14">
      <c r="A2111" s="24" t="n">
        <v>19959</v>
      </c>
      <c r="B2111" s="24" t="inlineStr">
        <is>
          <t>اکت-هيب   محلول غليظ تزريقي پرنترال 1 {dose} 0.5 {dose} - کي بي سي</t>
        </is>
      </c>
      <c r="C2111" s="25">
        <f>IF(COUNTIF('کدهای پیام‌داروساز'!$A$2:$A$2442,A2111)&gt;0,"بله","خیر")</f>
        <v/>
      </c>
    </row>
    <row r="2112" ht="15" customHeight="1" s="14">
      <c r="A2112" s="24" t="n">
        <v>19983</v>
      </c>
      <c r="B2112" s="24" t="inlineStr">
        <is>
          <t>آرو-کوئتياپين   قرص پيوسته رهش خوراکي 200 mg - دارو درمان آرنگ</t>
        </is>
      </c>
      <c r="C2112" s="25">
        <f>IF(COUNTIF('کدهای پیام‌داروساز'!$A$2:$A$2442,A2112)&gt;0,"بله","خیر")</f>
        <v/>
      </c>
    </row>
    <row r="2113" ht="15" customHeight="1" s="14">
      <c r="A2113" s="24" t="n">
        <v>19984</v>
      </c>
      <c r="B2113" s="24" t="inlineStr">
        <is>
          <t>ترانکوپين   قرص پيوسته رهش خوراکي 50 mg - تدبير کالاي جم</t>
        </is>
      </c>
      <c r="C2113" s="25">
        <f>IF(COUNTIF('کدهای پیام‌داروساز'!$A$2:$A$2442,A2113)&gt;0,"بله","خیر")</f>
        <v/>
      </c>
    </row>
    <row r="2114" ht="15" customHeight="1" s="14">
      <c r="A2114" s="24" t="n">
        <v>20003</v>
      </c>
      <c r="B2114" s="24" t="inlineStr">
        <is>
          <t>آباوير   قرص خوراکي 300 mg - رايان دارو ايرانيان</t>
        </is>
      </c>
      <c r="C2114" s="25">
        <f>IF(COUNTIF('کدهای پیام‌داروساز'!$A$2:$A$2442,A2114)&gt;0,"بله","خیر")</f>
        <v/>
      </c>
    </row>
    <row r="2115" ht="15" customHeight="1" s="14">
      <c r="A2115" s="24" t="n">
        <v>20048</v>
      </c>
      <c r="B2115" s="24" t="inlineStr">
        <is>
          <t>اويرو   قرص خوراکي 0.25 mg - دارويي البرز زاگرس</t>
        </is>
      </c>
      <c r="C2115" s="25">
        <f>IF(COUNTIF('کدهای پیام‌داروساز'!$A$2:$A$2442,A2115)&gt;0,"بله","خیر")</f>
        <v/>
      </c>
    </row>
    <row r="2116" ht="15" customHeight="1" s="14">
      <c r="A2116" s="24" t="n">
        <v>20050</v>
      </c>
      <c r="B2116" s="24" t="inlineStr">
        <is>
          <t>افينيتور   قرص خوراکي 0.75 mg  mg - رايان دارو ايرانيان</t>
        </is>
      </c>
      <c r="C2116" s="25">
        <f>IF(COUNTIF('کدهای پیام‌داروساز'!$A$2:$A$2442,A2116)&gt;0,"بله","خیر")</f>
        <v/>
      </c>
    </row>
    <row r="2117" ht="15" customHeight="1" s="14">
      <c r="A2117" s="24" t="n">
        <v>20081</v>
      </c>
      <c r="B2117" s="24" t="inlineStr">
        <is>
          <t>آمينوون 10%   محلول تزريقي داخل وريدي 500 mL - درمان ياب دارو</t>
        </is>
      </c>
      <c r="C2117" s="25">
        <f>IF(COUNTIF('کدهای پیام‌داروساز'!$A$2:$A$2442,A2117)&gt;0,"بله","خیر")</f>
        <v/>
      </c>
    </row>
    <row r="2118" ht="15" customHeight="1" s="14">
      <c r="A2118" s="24" t="n">
        <v>20131</v>
      </c>
      <c r="B2118" s="24" t="inlineStr">
        <is>
          <t>فرنولين   پودر با دوز اندازه گيري شده استنشاقي 400 ug/1{dose} 200 {Puff} - دارو سازي کيميا سلامت نيکان</t>
        </is>
      </c>
      <c r="C2118" s="25">
        <f>IF(COUNTIF('کدهای پیام‌داروساز'!$A$2:$A$2442,A2118)&gt;0,"بله","خیر")</f>
        <v/>
      </c>
    </row>
    <row r="2119" ht="15" customHeight="1" s="14">
      <c r="A2119" s="24" t="n">
        <v>20156</v>
      </c>
      <c r="B2119" s="24" t="inlineStr">
        <is>
          <t>پيور تک دوز قطره چشمي - FARMIGEA</t>
        </is>
      </c>
      <c r="C2119" s="25">
        <f>IF(COUNTIF('کدهای پیام‌داروساز'!$A$2:$A$2442,A2119)&gt;0,"بله","خیر")</f>
        <v/>
      </c>
    </row>
    <row r="2120" ht="15" customHeight="1" s="14">
      <c r="A2120" s="24" t="n">
        <v>20184</v>
      </c>
      <c r="B2120" s="24" t="inlineStr">
        <is>
          <t>رولنيوم   ديسک استنشاقي 50 ug/250 ug/1{dose} 60 ug - رويان دارو</t>
        </is>
      </c>
      <c r="C2120" s="25">
        <f>IF(COUNTIF('کدهای پیام‌داروساز'!$A$2:$A$2442,A2120)&gt;0,"بله","خیر")</f>
        <v/>
      </c>
    </row>
    <row r="2121" ht="15" customHeight="1" s="14">
      <c r="A2121" s="24" t="n">
        <v>20185</v>
      </c>
      <c r="B2121" s="24" t="inlineStr">
        <is>
          <t>سرتايد ديسکوس   ديسک استنشاقي 50 ug/100 ug/1{dose} 60 {dose} - کوبل دارو</t>
        </is>
      </c>
      <c r="C2121" s="25">
        <f>IF(COUNTIF('کدهای پیام‌داروساز'!$A$2:$A$2442,A2121)&gt;0,"بله","خیر")</f>
        <v/>
      </c>
    </row>
    <row r="2122" ht="15" customHeight="1" s="14">
      <c r="A2122" s="24" t="n">
        <v>20186</v>
      </c>
      <c r="B2122" s="24" t="inlineStr">
        <is>
          <t>سرتايد ديسکاس 100/50 ميکروگرم 60پاف (فلوتيکازون پروپيونات / سالمترول زينافوات) اينهالر - GLAXOSMITHK</t>
        </is>
      </c>
      <c r="C2122" s="25">
        <f>IF(COUNTIF('کدهای پیام‌داروساز'!$A$2:$A$2442,A2122)&gt;0,"بله","خیر")</f>
        <v/>
      </c>
    </row>
    <row r="2123" ht="15" customHeight="1" s="14">
      <c r="A2123" s="24" t="n">
        <v>20203</v>
      </c>
      <c r="B2123" s="24" t="inlineStr">
        <is>
          <t>ريزاتان   قرص بازشونده در دهان خوراکي 10 mg - داروسازي تهران شيمي</t>
        </is>
      </c>
      <c r="C2123" s="25">
        <f>IF(COUNTIF('کدهای پیام‌داروساز'!$A$2:$A$2442,A2123)&gt;0,"بله","خیر")</f>
        <v/>
      </c>
    </row>
    <row r="2124" ht="15" customHeight="1" s="14">
      <c r="A2124" s="24" t="n">
        <v>20298</v>
      </c>
      <c r="B2124" s="24" t="inlineStr">
        <is>
          <t>ايرينوتکان   پودر براي تهيه محلول تزريقي داخل وريدي 40 mg  mg - هيراد فارمد</t>
        </is>
      </c>
      <c r="C2124" s="25">
        <f>IF(COUNTIF('کدهای پیام‌داروساز'!$A$2:$A$2442,A2124)&gt;0,"بله","خیر")</f>
        <v/>
      </c>
    </row>
    <row r="2125" ht="15" customHeight="1" s="14">
      <c r="A2125" s="24" t="n">
        <v>20299</v>
      </c>
      <c r="B2125" s="24" t="inlineStr">
        <is>
          <t>ايرينوتکان   پودر براي تهيه محلول تزريقي داخل وريدي 100 mg  mg - بازرگاني اسپيد شاهد</t>
        </is>
      </c>
      <c r="C2125" s="25">
        <f>IF(COUNTIF('کدهای پیام‌داروساز'!$A$2:$A$2442,A2125)&gt;0,"بله","خیر")</f>
        <v/>
      </c>
    </row>
    <row r="2126" ht="15" customHeight="1" s="14">
      <c r="A2126" s="24" t="n">
        <v>20306</v>
      </c>
      <c r="B2126" s="24" t="inlineStr">
        <is>
          <t>رپيدسولين   محلول تزريقي پرنترال 100 [iU]/1mL 3 [iU] - فرآورده هاي پويش دارو</t>
        </is>
      </c>
      <c r="C2126" s="25">
        <f>IF(COUNTIF('کدهای پیام‌داروساز'!$A$2:$A$2442,A2126)&gt;0,"بله","خیر")</f>
        <v/>
      </c>
    </row>
    <row r="2127" ht="15" customHeight="1" s="14">
      <c r="A2127" s="24" t="n">
        <v>20307</v>
      </c>
      <c r="B2127" s="24" t="inlineStr">
        <is>
          <t>آفاکلاو 643- فارمنتين (کو-آموکسي کلاو)سوسپانسيون 100ML -آفاشيمي</t>
        </is>
      </c>
      <c r="C2127" s="25">
        <f>IF(COUNTIF('کدهای پیام‌داروساز'!$A$2:$A$2442,A2127)&gt;0,"بله","خیر")</f>
        <v/>
      </c>
    </row>
    <row r="2128" ht="15" customHeight="1" s="14">
      <c r="A2128" s="24" t="n">
        <v>20387</v>
      </c>
      <c r="B2128" s="24" t="inlineStr">
        <is>
          <t>زولميگران   قرص خوراکي 5 mg - باختر بيو شيمي</t>
        </is>
      </c>
      <c r="C2128" s="25">
        <f>IF(COUNTIF('کدهای پیام‌داروساز'!$A$2:$A$2442,A2128)&gt;0,"بله","خیر")</f>
        <v/>
      </c>
    </row>
    <row r="2129" ht="15" customHeight="1" s="14">
      <c r="A2129" s="24" t="n">
        <v>20629</v>
      </c>
      <c r="B2129" s="24" t="inlineStr">
        <is>
          <t>اکسازار   قرص پيوسته رهش خوراکي 20 mg - آذر زيست دارو</t>
        </is>
      </c>
      <c r="C2129" s="25">
        <f>IF(COUNTIF('کدهای پیام‌داروساز'!$A$2:$A$2442,A2129)&gt;0,"بله","خیر")</f>
        <v/>
      </c>
    </row>
    <row r="2130" ht="15" customHeight="1" s="14">
      <c r="A2130" s="24" t="n">
        <v>20686</v>
      </c>
      <c r="B2130" s="24" t="inlineStr">
        <is>
          <t>دوبوتامين   محلول تزريقي داخل وريدي 12.5 mg/1mL 20 mL - روناک</t>
        </is>
      </c>
      <c r="C2130" s="25">
        <f>IF(COUNTIF('کدهای پیام‌داروساز'!$A$2:$A$2442,A2130)&gt;0,"بله","خیر")</f>
        <v/>
      </c>
    </row>
    <row r="2131" ht="15" customHeight="1" s="14">
      <c r="A2131" s="24" t="n">
        <v>20711</v>
      </c>
      <c r="B2131" s="24" t="inlineStr">
        <is>
          <t>ايزوسوپرا   کپسول حاوي مايع خوراکي 16 mg - کوشان فارمد</t>
        </is>
      </c>
      <c r="C2131" s="25">
        <f>IF(COUNTIF('کدهای پیام‌داروساز'!$A$2:$A$2442,A2131)&gt;0,"بله","خیر")</f>
        <v/>
      </c>
    </row>
    <row r="2132" ht="15" customHeight="1" s="14">
      <c r="A2132" s="24" t="n">
        <v>20731</v>
      </c>
      <c r="B2132" s="24" t="inlineStr">
        <is>
          <t>تالوکسا   قرص خوراکي 600 mg  [Amb'a'1'U] - فوريتهاي سينا آرات گستر</t>
        </is>
      </c>
      <c r="C2132" s="25">
        <f>IF(COUNTIF('کدهای پیام‌داروساز'!$A$2:$A$2442,A2132)&gt;0,"بله","خیر")</f>
        <v/>
      </c>
    </row>
    <row r="2133" ht="15" customHeight="1" s="14">
      <c r="A2133" s="24" t="n">
        <v>20878</v>
      </c>
      <c r="B2133" s="24" t="inlineStr">
        <is>
          <t>ژنوتروپين    پودر لئوفيليزه براي تهيه محلول تزريقي پرنترال 16 [iU]  mg - بهستان دارو</t>
        </is>
      </c>
      <c r="C2133" s="25">
        <f>IF(COUNTIF('کدهای پیام‌داروساز'!$A$2:$A$2442,A2133)&gt;0,"بله","خیر")</f>
        <v/>
      </c>
    </row>
    <row r="2134" ht="15" customHeight="1" s="14">
      <c r="A2134" s="24" t="n">
        <v>20922</v>
      </c>
      <c r="B2134" s="24" t="inlineStr">
        <is>
          <t>رنيوان اچ   قرص خوراکي 320 mg/12.5 mg - داروسازي سامي ساز</t>
        </is>
      </c>
      <c r="C2134" s="25">
        <f>IF(COUNTIF('کدهای پیام‌داروساز'!$A$2:$A$2442,A2134)&gt;0,"بله","خیر")</f>
        <v/>
      </c>
    </row>
    <row r="2135" ht="15" customHeight="1" s="14">
      <c r="A2135" s="24" t="n">
        <v>20923</v>
      </c>
      <c r="B2135" s="24" t="inlineStr">
        <is>
          <t>لوراپرل   کپسول حاوي مايع خوراکي 10 mg - داروسازي زهراوي</t>
        </is>
      </c>
      <c r="C2135" s="25">
        <f>IF(COUNTIF('کدهای پیام‌داروساز'!$A$2:$A$2442,A2135)&gt;0,"بله","خیر")</f>
        <v/>
      </c>
    </row>
    <row r="2136" ht="15" customHeight="1" s="14">
      <c r="A2136" s="24" t="n">
        <v>20943</v>
      </c>
      <c r="B2136" s="24" t="inlineStr">
        <is>
          <t>اريبولين   محلول تزريقي پرنترال 0.44 mg/1mL 2 mg - گسترش بازرگاني دارو پخش</t>
        </is>
      </c>
      <c r="C2136" s="25">
        <f>IF(COUNTIF('کدهای پیام‌داروساز'!$A$2:$A$2442,A2136)&gt;0,"بله","خیر")</f>
        <v/>
      </c>
    </row>
    <row r="2137" ht="15" customHeight="1" s="14">
      <c r="A2137" s="24" t="n">
        <v>21030</v>
      </c>
      <c r="B2137" s="24" t="inlineStr">
        <is>
          <t>فنوفن   تزريقي پرنترال 100 mg/1mL 4 mL - داروسازي کاسپين تأمين</t>
        </is>
      </c>
      <c r="C2137" s="25">
        <f>IF(COUNTIF('کدهای پیام‌داروساز'!$A$2:$A$2442,A2137)&gt;0,"بله","خیر")</f>
        <v/>
      </c>
    </row>
    <row r="2138" ht="15" customHeight="1" s="14">
      <c r="A2138" s="24" t="n">
        <v>21088</v>
      </c>
      <c r="B2138" s="24" t="inlineStr">
        <is>
          <t>آزلاستين هيدروکلرايد   اسپري با دوز اندازه گيري شده از راه بيني 137 ug/1{Puff} 10 ug - داروسازي جابرابن حيان</t>
        </is>
      </c>
      <c r="C2138" s="25">
        <f>IF(COUNTIF('کدهای پیام‌داروساز'!$A$2:$A$2442,A2138)&gt;0,"بله","خیر")</f>
        <v/>
      </c>
    </row>
    <row r="2139" ht="15" customHeight="1" s="14">
      <c r="A2139" s="24" t="n">
        <v>21097</v>
      </c>
      <c r="B2139" s="24" t="inlineStr">
        <is>
          <t>زئومين   پودر لئوفيليزه براي تهيه محلول تزريقي پرنترال 50 [iU]  [iU] - بازرگاني خسرو مديسا طب</t>
        </is>
      </c>
      <c r="C2139" s="25">
        <f>IF(COUNTIF('کدهای پیام‌داروساز'!$A$2:$A$2442,A2139)&gt;0,"بله","خیر")</f>
        <v/>
      </c>
    </row>
    <row r="2140" ht="15" customHeight="1" s="14">
      <c r="A2140" s="24" t="n">
        <v>21109</v>
      </c>
      <c r="B2140" s="24" t="inlineStr">
        <is>
          <t>اپيلاميد   قرص خوراکي 200 mg - تدبير کالاي جم</t>
        </is>
      </c>
      <c r="C2140" s="25">
        <f>IF(COUNTIF('کدهای پیام‌داروساز'!$A$2:$A$2442,A2140)&gt;0,"بله","خیر")</f>
        <v/>
      </c>
    </row>
    <row r="2141" ht="15" customHeight="1" s="14">
      <c r="A2141" s="24" t="n">
        <v>21178</v>
      </c>
      <c r="B2141" s="24" t="inlineStr">
        <is>
          <t>ممانتين   محلول خوراکي 2 mg/1mL 240 mL - رامو فارمين</t>
        </is>
      </c>
      <c r="C2141" s="25">
        <f>IF(COUNTIF('کدهای پیام‌داروساز'!$A$2:$A$2442,A2141)&gt;0,"بله","خیر")</f>
        <v/>
      </c>
    </row>
    <row r="2142" ht="15" customHeight="1" s="14">
      <c r="A2142" s="24" t="n">
        <v>21183</v>
      </c>
      <c r="B2142" s="24" t="inlineStr">
        <is>
          <t>اکسيلامر   قرص خوراکي 800 mg - داروسازي اکسير</t>
        </is>
      </c>
      <c r="C2142" s="25">
        <f>IF(COUNTIF('کدهای پیام‌داروساز'!$A$2:$A$2442,A2142)&gt;0,"بله","خیر")</f>
        <v/>
      </c>
    </row>
    <row r="2143" ht="15" customHeight="1" s="14">
      <c r="A2143" s="24" t="n">
        <v>21240</v>
      </c>
      <c r="B2143" s="24" t="inlineStr">
        <is>
          <t>السوتر   محلول تزريقي داخل وريدي 20 mg/1mL 4 mL - داروسازي سبحان انکولوژي</t>
        </is>
      </c>
      <c r="C2143" s="25">
        <f>IF(COUNTIF('کدهای پیام‌داروساز'!$A$2:$A$2442,A2143)&gt;0,"بله","خیر")</f>
        <v/>
      </c>
    </row>
    <row r="2144" ht="15" customHeight="1" s="14">
      <c r="A2144" s="24" t="n">
        <v>21241</v>
      </c>
      <c r="B2144" s="24" t="inlineStr">
        <is>
          <t>السوتر   محلول تزريقي داخل وريدي 20 mg/1mL 8 mL - داروسازي سبحان انکولوژي</t>
        </is>
      </c>
      <c r="C2144" s="25">
        <f>IF(COUNTIF('کدهای پیام‌داروساز'!$A$2:$A$2442,A2144)&gt;0,"بله","خیر")</f>
        <v/>
      </c>
    </row>
    <row r="2145" ht="15" customHeight="1" s="14">
      <c r="A2145" s="24" t="n">
        <v>21258</v>
      </c>
      <c r="B2145" s="24" t="inlineStr">
        <is>
          <t>منوئو   تزريقي پرنترال 1 {dose} 0.5 mL - کوبل دارو</t>
        </is>
      </c>
      <c r="C2145" s="25">
        <f>IF(COUNTIF('کدهای پیام‌داروساز'!$A$2:$A$2442,A2145)&gt;0,"بله","خیر")</f>
        <v/>
      </c>
    </row>
    <row r="2146" ht="15" customHeight="1" s="14">
      <c r="A2146" s="24" t="n">
        <v>21266</v>
      </c>
      <c r="B2146" s="24" t="inlineStr">
        <is>
          <t>بلس   سوسپانسيون تزريقي از راه تراشه 27 mg/1mL 5 mL - تدبير کالاي جم</t>
        </is>
      </c>
      <c r="C2146" s="25">
        <f>IF(COUNTIF('کدهای پیام‌داروساز'!$A$2:$A$2442,A2146)&gt;0,"بله","خیر")</f>
        <v/>
      </c>
    </row>
    <row r="2147" ht="15" customHeight="1" s="14">
      <c r="A2147" s="24" t="n">
        <v>21302</v>
      </c>
      <c r="B2147" s="24" t="inlineStr">
        <is>
          <t>تيراوا   قرص حل شونده خوراکي 100 mg - داروسازي مداوا</t>
        </is>
      </c>
      <c r="C2147" s="25">
        <f>IF(COUNTIF('کدهای پیام‌داروساز'!$A$2:$A$2442,A2147)&gt;0,"بله","خیر")</f>
        <v/>
      </c>
    </row>
    <row r="2148" ht="15" customHeight="1" s="14">
      <c r="A2148" s="24" t="n">
        <v>21323</v>
      </c>
      <c r="B2148" s="24" t="inlineStr">
        <is>
          <t>تروتودين   کپسول پيوسته رهش خوراکي 2 mg - دارو سازي آنوشا</t>
        </is>
      </c>
      <c r="C2148" s="25">
        <f>IF(COUNTIF('کدهای پیام‌داروساز'!$A$2:$A$2442,A2148)&gt;0,"بله","خیر")</f>
        <v/>
      </c>
    </row>
    <row r="2149" ht="15" customHeight="1" s="14">
      <c r="A2149" s="24" t="n">
        <v>21337</v>
      </c>
      <c r="B2149" s="24" t="inlineStr">
        <is>
          <t>آنيفورمين   قرص پيوسته رهش خوراکي 500 mg - داروسازي آني درمان</t>
        </is>
      </c>
      <c r="C2149" s="25">
        <f>IF(COUNTIF('کدهای پیام‌داروساز'!$A$2:$A$2442,A2149)&gt;0,"بله","خیر")</f>
        <v/>
      </c>
    </row>
    <row r="2150" ht="15" customHeight="1" s="14">
      <c r="A2150" s="24" t="n">
        <v>21368</v>
      </c>
      <c r="B2150" s="24" t="inlineStr">
        <is>
          <t>بودِفورم   پودر با دوز اندازه گيري شده استنشاقي 160 ug/4.5 ug/1{dose} 120 {Puff} - دارو سازي کيميا سلامت نيکان</t>
        </is>
      </c>
      <c r="C2150" s="25">
        <f>IF(COUNTIF('کدهای پیام‌داروساز'!$A$2:$A$2442,A2150)&gt;0,"بله","خیر")</f>
        <v/>
      </c>
    </row>
    <row r="2151" ht="15" customHeight="1" s="14">
      <c r="A2151" s="24" t="n">
        <v>21373</v>
      </c>
      <c r="B2151" s="24" t="inlineStr">
        <is>
          <t>مگافن رست   قرص خوراکي 500 mg/25 mg - کيش مديفارم</t>
        </is>
      </c>
      <c r="C2151" s="25">
        <f>IF(COUNTIF('کدهای پیام‌داروساز'!$A$2:$A$2442,A2151)&gt;0,"بله","خیر")</f>
        <v/>
      </c>
    </row>
    <row r="2152" ht="15" customHeight="1" s="14">
      <c r="A2152" s="24" t="n">
        <v>21444</v>
      </c>
      <c r="B2152" s="24" t="inlineStr">
        <is>
          <t>فروونتا   تزريقي پرنترال 100 mg/1mL 1 mL - زيست اروند فارمد</t>
        </is>
      </c>
      <c r="C2152" s="25">
        <f>IF(COUNTIF('کدهای پیام‌داروساز'!$A$2:$A$2442,A2152)&gt;0,"بله","خیر")</f>
        <v/>
      </c>
    </row>
    <row r="2153" ht="15" customHeight="1" s="14">
      <c r="A2153" s="24" t="n">
        <v>21446</v>
      </c>
      <c r="B2153" s="24" t="inlineStr">
        <is>
          <t>آسمانکس توئيست هالر   اينهالر استنشاقي 200 ug/1{Puff} 60 {Puff} - بهستان دارو</t>
        </is>
      </c>
      <c r="C2153" s="25">
        <f>IF(COUNTIF('کدهای پیام‌داروساز'!$A$2:$A$2442,A2153)&gt;0,"بله","خیر")</f>
        <v/>
      </c>
    </row>
    <row r="2154" ht="15" customHeight="1" s="14">
      <c r="A2154" s="24" t="n">
        <v>21447</v>
      </c>
      <c r="B2154" s="24" t="inlineStr">
        <is>
          <t>آسمانکس توئيست هالر   اينهالر استنشاقي 400 ug/1{Puff} 30 {Puff} - بهستان دارو</t>
        </is>
      </c>
      <c r="C2154" s="25">
        <f>IF(COUNTIF('کدهای پیام‌داروساز'!$A$2:$A$2442,A2154)&gt;0,"بله","خیر")</f>
        <v/>
      </c>
    </row>
    <row r="2155" ht="15" customHeight="1" s="14">
      <c r="A2155" s="24" t="n">
        <v>21448</v>
      </c>
      <c r="B2155" s="24" t="inlineStr">
        <is>
          <t>آسمانکس توئيست هالر   اينهالر استنشاقي 400 ug/1{Puff} 60 {Puff} - بهستان دارو</t>
        </is>
      </c>
      <c r="C2155" s="25">
        <f>IF(COUNTIF('کدهای پیام‌داروساز'!$A$2:$A$2442,A2155)&gt;0,"بله","خیر")</f>
        <v/>
      </c>
    </row>
    <row r="2156" ht="15" customHeight="1" s="14">
      <c r="A2156" s="24" t="n">
        <v>21484</v>
      </c>
      <c r="B2156" s="24" t="inlineStr">
        <is>
          <t>آملوژين 10 (آملوديپين) قرص - ثنامد</t>
        </is>
      </c>
      <c r="C2156" s="25">
        <f>IF(COUNTIF('کدهای پیام‌داروساز'!$A$2:$A$2442,A2156)&gt;0,"بله","خیر")</f>
        <v/>
      </c>
    </row>
    <row r="2157" ht="15" customHeight="1" s="14">
      <c r="A2157" s="24" t="n">
        <v>21561</v>
      </c>
      <c r="B2157" s="24" t="inlineStr">
        <is>
          <t>ايزى فايو - تى تى   سوسپانسيون تزريقي پرنترال 10 {dose}  mL - مهندسي توسعه و تامين ستاره خاورميانه</t>
        </is>
      </c>
      <c r="C2157" s="25">
        <f>IF(COUNTIF('کدهای پیام‌داروساز'!$A$2:$A$2442,A2157)&gt;0,"بله","خیر")</f>
        <v/>
      </c>
    </row>
    <row r="2158" ht="15" customHeight="1" s="14">
      <c r="A2158" s="24" t="n">
        <v>21572</v>
      </c>
      <c r="B2158" s="24" t="inlineStr">
        <is>
          <t>يرووي   محلول غليظ تزريقي پرنترال 5 mg/1mL 40 - يارا طب خاورميانه</t>
        </is>
      </c>
      <c r="C2158" s="25">
        <f>IF(COUNTIF('کدهای پیام‌داروساز'!$A$2:$A$2442,A2158)&gt;0,"بله","خیر")</f>
        <v/>
      </c>
    </row>
    <row r="2159" ht="15" customHeight="1" s="14">
      <c r="A2159" s="24" t="n">
        <v>21607</v>
      </c>
      <c r="B2159" s="24" t="inlineStr">
        <is>
          <t>سيپروترون استات   قرص خوراکي 100 mg - استراژن دارو</t>
        </is>
      </c>
      <c r="C2159" s="25">
        <f>IF(COUNTIF('کدهای پیام‌داروساز'!$A$2:$A$2442,A2159)&gt;0,"بله","خیر")</f>
        <v/>
      </c>
    </row>
    <row r="2160" ht="15" customHeight="1" s="14">
      <c r="A2160" s="24" t="n">
        <v>21610</v>
      </c>
      <c r="B2160" s="24" t="inlineStr">
        <is>
          <t>اگزاکيد   شربت خوراکي 0.67 mg/10 mg/5mL 120 mL - داروسازي اکسير</t>
        </is>
      </c>
      <c r="C2160" s="25">
        <f>IF(COUNTIF('کدهای پیام‌داروساز'!$A$2:$A$2442,A2160)&gt;0,"بله","خیر")</f>
        <v/>
      </c>
    </row>
    <row r="2161" ht="15" customHeight="1" s="14">
      <c r="A2161" s="24" t="n">
        <v>21719</v>
      </c>
      <c r="B2161" s="24" t="inlineStr">
        <is>
          <t>سيلور سولفاديازين   کرم موضعي 1 % 500 g - سبحان دارو</t>
        </is>
      </c>
      <c r="C2161" s="25">
        <f>IF(COUNTIF('کدهای پیام‌داروساز'!$A$2:$A$2442,A2161)&gt;0,"بله","خیر")</f>
        <v/>
      </c>
    </row>
    <row r="2162" ht="15" customHeight="1" s="14">
      <c r="A2162" s="24" t="n">
        <v>21742</v>
      </c>
      <c r="B2162" s="24" t="inlineStr">
        <is>
          <t>استامينوفن /کافئين/ايبوپروفن   کپسول حاوي مايع خوراکي 325 mg/40 mg/200 mg - پارس دارو</t>
        </is>
      </c>
      <c r="C2162" s="25">
        <f>IF(COUNTIF('کدهای پیام‌داروساز'!$A$2:$A$2442,A2162)&gt;0,"بله","خیر")</f>
        <v/>
      </c>
    </row>
    <row r="2163" ht="15" customHeight="1" s="14">
      <c r="A2163" s="24" t="n">
        <v>21746</v>
      </c>
      <c r="B2163" s="24" t="inlineStr">
        <is>
          <t>دايسينل   قرص خوراکي 0.15 mg/30 ug - استراژن دارو</t>
        </is>
      </c>
      <c r="C2163" s="25">
        <f>IF(COUNTIF('کدهای پیام‌داروساز'!$A$2:$A$2442,A2163)&gt;0,"بله","خیر")</f>
        <v/>
      </c>
    </row>
    <row r="2164" ht="15" customHeight="1" s="14">
      <c r="A2164" s="24" t="n">
        <v>21791</v>
      </c>
      <c r="B2164" s="24" t="inlineStr">
        <is>
          <t>استاسنس   محلول خوراکي 120 mg/5mL 120 mL - تريتا داروي هزاره سوم</t>
        </is>
      </c>
      <c r="C2164" s="25">
        <f>IF(COUNTIF('کدهای پیام‌داروساز'!$A$2:$A$2442,A2164)&gt;0,"بله","خیر")</f>
        <v/>
      </c>
    </row>
    <row r="2165" ht="15" customHeight="1" s="14">
      <c r="A2165" s="24" t="n">
        <v>21807</v>
      </c>
      <c r="B2165" s="24" t="inlineStr">
        <is>
          <t>راويزون   اسپري، سوسپانسيون از راه بيني 0.05 % 20 mL - داروسازي رها اصفهان</t>
        </is>
      </c>
      <c r="C2165" s="25">
        <f>IF(COUNTIF('کدهای پیام‌داروساز'!$A$2:$A$2442,A2165)&gt;0,"بله","خیر")</f>
        <v/>
      </c>
    </row>
    <row r="2166" ht="15" customHeight="1" s="14">
      <c r="A2166" s="24" t="n">
        <v>21809</v>
      </c>
      <c r="B2166" s="24" t="inlineStr">
        <is>
          <t>پاورهردلتازکس   آئروسل، فوم موضعي 2 % 60 g - دلتا دارو</t>
        </is>
      </c>
      <c r="C2166" s="25">
        <f>IF(COUNTIF('کدهای پیام‌داروساز'!$A$2:$A$2442,A2166)&gt;0,"بله","خیر")</f>
        <v/>
      </c>
    </row>
    <row r="2167" ht="15" customHeight="1" s="14">
      <c r="A2167" s="24" t="n">
        <v>21810</v>
      </c>
      <c r="B2167" s="24" t="inlineStr">
        <is>
          <t>پاورهردلتازکس   آئروسل، فوم موضعي 5 % 60 g - دلتا دارو</t>
        </is>
      </c>
      <c r="C2167" s="25">
        <f>IF(COUNTIF('کدهای پیام‌داروساز'!$A$2:$A$2442,A2167)&gt;0,"بله","خیر")</f>
        <v/>
      </c>
    </row>
    <row r="2168" ht="15" customHeight="1" s="14">
      <c r="A2168" s="24" t="n">
        <v>21832</v>
      </c>
      <c r="B2168" s="24" t="inlineStr">
        <is>
          <t>بيبي کلد   شربت خوراکي 160 mg/12.5 mg/2.5 mg/5mL 60 mL - داروسازي امين</t>
        </is>
      </c>
      <c r="C2168" s="25">
        <f>IF(COUNTIF('کدهای پیام‌داروساز'!$A$2:$A$2442,A2168)&gt;0,"بله","خیر")</f>
        <v/>
      </c>
    </row>
    <row r="2169" ht="15" customHeight="1" s="14">
      <c r="A2169" s="24" t="n">
        <v>21850</v>
      </c>
      <c r="B2169" s="24" t="inlineStr">
        <is>
          <t>تاليدورايد اچ پي ام   کپسول خوراکي 100 mg - هيراد فارمد</t>
        </is>
      </c>
      <c r="C2169" s="25">
        <f>IF(COUNTIF('کدهای پیام‌داروساز'!$A$2:$A$2442,A2169)&gt;0,"بله","خیر")</f>
        <v/>
      </c>
    </row>
    <row r="2170" ht="15" customHeight="1" s="14">
      <c r="A2170" s="24" t="n">
        <v>21853</v>
      </c>
      <c r="B2170" s="24" t="inlineStr">
        <is>
          <t>لووفلوکساسين   محلول غليظ تزريقي پرنترال 25 mg/1mL 20 mL - داروسازي اکسير</t>
        </is>
      </c>
      <c r="C2170" s="25">
        <f>IF(COUNTIF('کدهای پیام‌داروساز'!$A$2:$A$2442,A2170)&gt;0,"بله","خیر")</f>
        <v/>
      </c>
    </row>
    <row r="2171" ht="15" customHeight="1" s="14">
      <c r="A2171" s="24" t="n">
        <v>21942</v>
      </c>
      <c r="B2171" s="24" t="inlineStr">
        <is>
          <t>بوکسوزايد   قرص خوراکي 400 mg - دارو سازي آنوشا</t>
        </is>
      </c>
      <c r="C2171" s="25">
        <f>IF(COUNTIF('کدهای پیام‌داروساز'!$A$2:$A$2442,A2171)&gt;0,"بله","خیر")</f>
        <v/>
      </c>
    </row>
    <row r="2172" ht="15" customHeight="1" s="14">
      <c r="A2172" s="24" t="n">
        <v>21978</v>
      </c>
      <c r="B2172" s="24" t="inlineStr">
        <is>
          <t>ادوالژين فلش   قرص خوراکي 200 mg - داروسازي دکتر عبيدي</t>
        </is>
      </c>
      <c r="C2172" s="25">
        <f>IF(COUNTIF('کدهای پیام‌داروساز'!$A$2:$A$2442,A2172)&gt;0,"بله","خیر")</f>
        <v/>
      </c>
    </row>
    <row r="2173" ht="15" customHeight="1" s="14">
      <c r="A2173" s="24" t="n">
        <v>21979</v>
      </c>
      <c r="B2173" s="24" t="inlineStr">
        <is>
          <t>ادوالژين   قرص خوراکي 400 mg - داروسازي دکتر عبيدي</t>
        </is>
      </c>
      <c r="C2173" s="25">
        <f>IF(COUNTIF('کدهای پیام‌داروساز'!$A$2:$A$2442,A2173)&gt;0,"بله","خیر")</f>
        <v/>
      </c>
    </row>
    <row r="2174" ht="15" customHeight="1" s="14">
      <c r="A2174" s="24" t="n">
        <v>21986</v>
      </c>
      <c r="B2174" s="24" t="inlineStr">
        <is>
          <t>استامينوفن نيکسادا   سوسپانسيون، قطره خوراکي 100 mg/1mL 15 mL - نيک سامان دارو</t>
        </is>
      </c>
      <c r="C2174" s="25">
        <f>IF(COUNTIF('کدهای پیام‌داروساز'!$A$2:$A$2442,A2174)&gt;0,"بله","خیر")</f>
        <v/>
      </c>
    </row>
    <row r="2175" ht="15" customHeight="1" s="14">
      <c r="A2175" s="24" t="n">
        <v>22018</v>
      </c>
      <c r="B2175" s="24" t="inlineStr">
        <is>
          <t>آرتنيکس   محلول تزريقي پرنترال 120 mg/1.7 mL 1.7 mg - آريوژن فارمد</t>
        </is>
      </c>
      <c r="C2175" s="25">
        <f>IF(COUNTIF('کدهای پیام‌داروساز'!$A$2:$A$2442,A2175)&gt;0,"بله","خیر")</f>
        <v/>
      </c>
    </row>
    <row r="2176" ht="15" customHeight="1" s="14">
      <c r="A2176" s="24" t="n">
        <v>22078</v>
      </c>
      <c r="B2176" s="24" t="inlineStr">
        <is>
          <t>تيدي فلو   شربت خوراکي 125 mg/50 mg/2.5 mg/5mL 120 mL - داروسازي توليد دارو</t>
        </is>
      </c>
      <c r="C2176" s="25">
        <f>IF(COUNTIF('کدهای پیام‌داروساز'!$A$2:$A$2442,A2176)&gt;0,"بله","خیر")</f>
        <v/>
      </c>
    </row>
    <row r="2177" ht="15" customHeight="1" s="14">
      <c r="A2177" s="24" t="n">
        <v>22092</v>
      </c>
      <c r="B2177" s="24" t="inlineStr">
        <is>
          <t>گايافنزين   کپسول با روکش ژلاتين خوراکي 100 mg - دارو سازي تهران دارو</t>
        </is>
      </c>
      <c r="C2177" s="25">
        <f>IF(COUNTIF('کدهای پیام‌داروساز'!$A$2:$A$2442,A2177)&gt;0,"بله","خیر")</f>
        <v/>
      </c>
    </row>
    <row r="2178" ht="15" customHeight="1" s="14">
      <c r="A2178" s="24" t="n">
        <v>22093</v>
      </c>
      <c r="B2178" s="24" t="inlineStr">
        <is>
          <t>گايافنزين   کپسول با روکش ژلاتين خوراکي 200 mg - دارو سازي تهران دارو</t>
        </is>
      </c>
      <c r="C2178" s="25">
        <f>IF(COUNTIF('کدهای پیام‌داروساز'!$A$2:$A$2442,A2178)&gt;0,"بله","خیر")</f>
        <v/>
      </c>
    </row>
    <row r="2179" ht="15" customHeight="1" s="14">
      <c r="A2179" s="24" t="n">
        <v>22141</v>
      </c>
      <c r="B2179" s="24" t="inlineStr">
        <is>
          <t>روفاکسيم   قرص خوراکي 550 mg</t>
        </is>
      </c>
      <c r="C2179" s="25">
        <f>IF(COUNTIF('کدهای پیام‌داروساز'!$A$2:$A$2442,A2179)&gt;0,"بله","خیر")</f>
        <v/>
      </c>
    </row>
    <row r="2180" ht="15" customHeight="1" s="14">
      <c r="A2180" s="24" t="n">
        <v>22315</v>
      </c>
      <c r="B2180" s="24" t="inlineStr">
        <is>
          <t>فيلزوما   پودر براي تهيه محلول تزريقي پرنترال 60 mg  mg - نانو فناوران داروئي الوند</t>
        </is>
      </c>
      <c r="C2180" s="25">
        <f>IF(COUNTIF('کدهای پیام‌داروساز'!$A$2:$A$2442,A2180)&gt;0,"بله","خیر")</f>
        <v/>
      </c>
    </row>
    <row r="2181" ht="15" customHeight="1" s="14">
      <c r="A2181" s="24" t="n">
        <v>22330</v>
      </c>
      <c r="B2181" s="24" t="inlineStr">
        <is>
          <t>آرگاترا   محلول غليظ تزريقي پرنترال 100 mg/1mL 2.5 mg - رايان دارو ايرانيان</t>
        </is>
      </c>
      <c r="C2181" s="25">
        <f>IF(COUNTIF('کدهای پیام‌داروساز'!$A$2:$A$2442,A2181)&gt;0,"بله","خیر")</f>
        <v/>
      </c>
    </row>
    <row r="2182" ht="15" customHeight="1" s="14">
      <c r="A2182" s="24" t="n">
        <v>22333</v>
      </c>
      <c r="B2182" s="24" t="inlineStr">
        <is>
          <t>مگاکورت   اسپري، سوسپانسيون از راه بيني 0.05 % 15 mL - کيش مديفارم</t>
        </is>
      </c>
      <c r="C2182" s="25">
        <f>IF(COUNTIF('کدهای پیام‌داروساز'!$A$2:$A$2442,A2182)&gt;0,"بله","خیر")</f>
        <v/>
      </c>
    </row>
    <row r="2183" ht="15" customHeight="1" s="14">
      <c r="A2183" s="24" t="n">
        <v>22368</v>
      </c>
      <c r="B2183" s="24" t="inlineStr">
        <is>
          <t>ويتامين ب 1   تزريقي پرنترال 100 mg/1mL  mL - داروسازي کاسپين تأمين</t>
        </is>
      </c>
      <c r="C2183" s="25">
        <f>IF(COUNTIF('کدهای پیام‌داروساز'!$A$2:$A$2442,A2183)&gt;0,"بله","خیر")</f>
        <v/>
      </c>
    </row>
    <row r="2184" ht="15" customHeight="1" s="14">
      <c r="A2184" s="24" t="n">
        <v>22396</v>
      </c>
      <c r="B2184" s="24" t="inlineStr">
        <is>
          <t>هپاتکت سي پي   تزريقي پرنترال 50 [iU]/1mL 2 [iU] - درمان آرا</t>
        </is>
      </c>
      <c r="C2184" s="25">
        <f>IF(COUNTIF('کدهای پیام‌داروساز'!$A$2:$A$2442,A2184)&gt;0,"بله","خیر")</f>
        <v/>
      </c>
    </row>
    <row r="2185" ht="15" customHeight="1" s="14">
      <c r="A2185" s="24" t="n">
        <v>22398</v>
      </c>
      <c r="B2185" s="24" t="inlineStr">
        <is>
          <t>هپاتکت سي پي   تزريقي پرنترال 50 [iU]/1mL 40 [iU] - پلاسما گستر پارس</t>
        </is>
      </c>
      <c r="C2185" s="25">
        <f>IF(COUNTIF('کدهای پیام‌داروساز'!$A$2:$A$2442,A2185)&gt;0,"بله","خیر")</f>
        <v/>
      </c>
    </row>
    <row r="2186" ht="15" customHeight="1" s="14">
      <c r="A2186" s="24" t="n">
        <v>22412</v>
      </c>
      <c r="B2186" s="24" t="inlineStr">
        <is>
          <t>پلريکسادال   تزريقي پرنترال 20 mg/1mL 1.2 mg - سه دال نانو</t>
        </is>
      </c>
      <c r="C2186" s="25">
        <f>IF(COUNTIF('کدهای پیام‌داروساز'!$A$2:$A$2442,A2186)&gt;0,"بله","خیر")</f>
        <v/>
      </c>
    </row>
    <row r="2187" ht="15" customHeight="1" s="14">
      <c r="A2187" s="24" t="n">
        <v>22419</v>
      </c>
      <c r="B2187" s="24" t="inlineStr">
        <is>
          <t>ويليت   پودر لئوفيليزه براي تهيه محلول تزريقي پرنترال 1000 [iU]/1000 [iU] 1000 [iU] - پالايش و پژوهش خون</t>
        </is>
      </c>
      <c r="C2187" s="25">
        <f>IF(COUNTIF('کدهای پیام‌داروساز'!$A$2:$A$2442,A2187)&gt;0,"بله","خیر")</f>
        <v/>
      </c>
    </row>
    <row r="2188" ht="15" customHeight="1" s="14">
      <c r="A2188" s="24" t="n">
        <v>22422</v>
      </c>
      <c r="B2188" s="24" t="inlineStr">
        <is>
          <t>اليگارد   پودر براي تهيه سوسپانسيون تزريقي پيوسته رهش پرنترال 7.5 mg  mg - بهستان دارو</t>
        </is>
      </c>
      <c r="C2188" s="25">
        <f>IF(COUNTIF('کدهای پیام‌داروساز'!$A$2:$A$2442,A2188)&gt;0,"بله","خیر")</f>
        <v/>
      </c>
    </row>
    <row r="2189" ht="15" customHeight="1" s="14">
      <c r="A2189" s="24" t="n">
        <v>22428</v>
      </c>
      <c r="B2189" s="24" t="inlineStr">
        <is>
          <t>بايوسيتال   قرص خوراکي 50 mg - باختر بيو شيمي</t>
        </is>
      </c>
      <c r="C2189" s="25">
        <f>IF(COUNTIF('کدهای پیام‌داروساز'!$A$2:$A$2442,A2189)&gt;0,"بله","خیر")</f>
        <v/>
      </c>
    </row>
    <row r="2190" ht="15" customHeight="1" s="14">
      <c r="A2190" s="24" t="n">
        <v>22429</v>
      </c>
      <c r="B2190" s="24" t="inlineStr">
        <is>
          <t>بايوسيتال   قرص خوراکي 25 mg - باختر بيو شيمي</t>
        </is>
      </c>
      <c r="C2190" s="25">
        <f>IF(COUNTIF('کدهای پیام‌داروساز'!$A$2:$A$2442,A2190)&gt;0,"بله","خیر")</f>
        <v/>
      </c>
    </row>
    <row r="2191" ht="15" customHeight="1" s="14">
      <c r="A2191" s="24" t="n">
        <v>22456</v>
      </c>
      <c r="B2191" s="24" t="inlineStr">
        <is>
          <t>زالترپ   محلول غليظ تزريقي پرنترال 25 mg/1mL 4 [Amb'a'1'U] - فوريتهاي سينا آرات گستر</t>
        </is>
      </c>
      <c r="C2191" s="25">
        <f>IF(COUNTIF('کدهای پیام‌داروساز'!$A$2:$A$2442,A2191)&gt;0,"بله","خیر")</f>
        <v/>
      </c>
    </row>
    <row r="2192" ht="15" customHeight="1" s="14">
      <c r="A2192" s="24" t="n">
        <v>22525</v>
      </c>
      <c r="B2192" s="24" t="inlineStr">
        <is>
          <t>داناوير   قرص خوراکي 600 mg - رايان دارو ايرانيان</t>
        </is>
      </c>
      <c r="C2192" s="25">
        <f>IF(COUNTIF('کدهای پیام‌داروساز'!$A$2:$A$2442,A2192)&gt;0,"بله","خیر")</f>
        <v/>
      </c>
    </row>
    <row r="2193" ht="15" customHeight="1" s="14">
      <c r="A2193" s="24" t="n">
        <v>22527</v>
      </c>
      <c r="B2193" s="24" t="inlineStr">
        <is>
          <t>رالتگراوير   قرص خوراکي 400 mg - بازرگاني سها کيش</t>
        </is>
      </c>
      <c r="C2193" s="25">
        <f>IF(COUNTIF('کدهای پیام‌داروساز'!$A$2:$A$2442,A2193)&gt;0,"بله","خیر")</f>
        <v/>
      </c>
    </row>
    <row r="2194" ht="15" customHeight="1" s="14">
      <c r="A2194" s="24" t="n">
        <v>22558</v>
      </c>
      <c r="B2194" s="24" t="inlineStr">
        <is>
          <t>آيديناتکس   کپسول حاوي مايع خوراکي 40 mg - يارا طب خاورميانه</t>
        </is>
      </c>
      <c r="C2194" s="25">
        <f>IF(COUNTIF('کدهای پیام‌داروساز'!$A$2:$A$2442,A2194)&gt;0,"بله","خیر")</f>
        <v/>
      </c>
    </row>
    <row r="2195" ht="15" customHeight="1" s="14">
      <c r="A2195" s="24" t="n">
        <v>22637</v>
      </c>
      <c r="B2195" s="24" t="inlineStr">
        <is>
          <t>ديکلوفناک   پلاستر موضعي 120 mg  mL - هيواد دارو ايرانيان</t>
        </is>
      </c>
      <c r="C2195" s="25">
        <f>IF(COUNTIF('کدهای پیام‌داروساز'!$A$2:$A$2442,A2195)&gt;0,"بله","خیر")</f>
        <v/>
      </c>
    </row>
    <row r="2196" ht="15" customHeight="1" s="14">
      <c r="A2196" s="24" t="n">
        <v>22646</v>
      </c>
      <c r="B2196" s="24" t="inlineStr">
        <is>
          <t>آيليا   تزريقي پرنترال 40 mg/1mL 0.1 - پويش دارو گستر برتر فارس</t>
        </is>
      </c>
      <c r="C2196" s="25">
        <f>IF(COUNTIF('کدهای پیام‌داروساز'!$A$2:$A$2442,A2196)&gt;0,"بله","خیر")</f>
        <v/>
      </c>
    </row>
    <row r="2197" ht="15" customHeight="1" s="14">
      <c r="A2197" s="24" t="n">
        <v>22661</v>
      </c>
      <c r="B2197" s="24" t="inlineStr">
        <is>
          <t>پي دي پويتين 10000 (اريتروپويتين آلفا ) سرنگ آماده -پويش دارو</t>
        </is>
      </c>
      <c r="C2197" s="25">
        <f>IF(COUNTIF('کدهای پیام‌داروساز'!$A$2:$A$2442,A2197)&gt;0,"بله","خیر")</f>
        <v/>
      </c>
    </row>
    <row r="2198" ht="15" customHeight="1" s="14">
      <c r="A2198" s="24" t="n">
        <v>22662</v>
      </c>
      <c r="B2198" s="24" t="inlineStr">
        <is>
          <t>سيناپويتين10000(اريتروپويتين بتا)سرنگ آماده تزريق-سيناژن</t>
        </is>
      </c>
      <c r="C2198" s="25">
        <f>IF(COUNTIF('کدهای پیام‌داروساز'!$A$2:$A$2442,A2198)&gt;0,"بله","خیر")</f>
        <v/>
      </c>
    </row>
    <row r="2199" ht="15" customHeight="1" s="14">
      <c r="A2199" s="24" t="n">
        <v>22666</v>
      </c>
      <c r="B2199" s="24" t="inlineStr">
        <is>
          <t>ساکسندا   محلول تزريقي پرنترال 6 mg/1mL 3 mg</t>
        </is>
      </c>
      <c r="C2199" s="25">
        <f>IF(COUNTIF('کدهای پیام‌داروساز'!$A$2:$A$2442,A2199)&gt;0,"بله","خیر")</f>
        <v/>
      </c>
    </row>
    <row r="2200" ht="15" customHeight="1" s="14">
      <c r="A2200" s="24" t="n">
        <v>22689</v>
      </c>
      <c r="B2200" s="24" t="inlineStr">
        <is>
          <t>اينفيو-مگنسول   تزريقي پرنترال 50 % 50 mL</t>
        </is>
      </c>
      <c r="C2200" s="25">
        <f>IF(COUNTIF('کدهای پیام‌داروساز'!$A$2:$A$2442,A2200)&gt;0,"بله","خیر")</f>
        <v/>
      </c>
    </row>
    <row r="2201" ht="15" customHeight="1" s="14">
      <c r="A2201" s="24" t="n">
        <v>22698</v>
      </c>
      <c r="B2201" s="24" t="inlineStr">
        <is>
          <t>تبازيو   قرص خوراکي 14 mg - زيست دارو دانش</t>
        </is>
      </c>
      <c r="C2201" s="25">
        <f>IF(COUNTIF('کدهای پیام‌داروساز'!$A$2:$A$2442,A2201)&gt;0,"بله","خیر")</f>
        <v/>
      </c>
    </row>
    <row r="2202" ht="15" customHeight="1" s="14">
      <c r="A2202" s="24" t="n">
        <v>22816</v>
      </c>
      <c r="B2202" s="24" t="inlineStr">
        <is>
          <t>سافلوتان   محلول، قطره چشمي 15 ug/1mL 0.3 mL - بازرگاني سها کيش</t>
        </is>
      </c>
      <c r="C2202" s="25">
        <f>IF(COUNTIF('کدهای پیام‌داروساز'!$A$2:$A$2442,A2202)&gt;0,"بله","خیر")</f>
        <v/>
      </c>
    </row>
    <row r="2203" ht="15" customHeight="1" s="14">
      <c r="A2203" s="24" t="n">
        <v>22820</v>
      </c>
      <c r="B2203" s="24" t="inlineStr">
        <is>
          <t>متيل پردنيزولون (بصورت سديم سوکسينات)   پودر براي تهيه محلول تزريقي پرنترال 250 mg  mg - داروسازي جابرابن حيان</t>
        </is>
      </c>
      <c r="C2203" s="25">
        <f>IF(COUNTIF('کدهای پیام‌داروساز'!$A$2:$A$2442,A2203)&gt;0,"بله","خیر")</f>
        <v/>
      </c>
    </row>
    <row r="2204" ht="15" customHeight="1" s="14">
      <c r="A2204" s="24" t="n">
        <v>22854</v>
      </c>
      <c r="B2204" s="24" t="inlineStr">
        <is>
          <t>سيرامزا   محلول غليظ تزريقي پرنترال 10 mg/1mL 10 mg - آرنيکا سلامت ايرانيان</t>
        </is>
      </c>
      <c r="C2204" s="25">
        <f>IF(COUNTIF('کدهای پیام‌داروساز'!$A$2:$A$2442,A2204)&gt;0,"بله","خیر")</f>
        <v/>
      </c>
    </row>
    <row r="2205" ht="15" customHeight="1" s="14">
      <c r="A2205" s="24" t="n">
        <v>22856</v>
      </c>
      <c r="B2205" s="24" t="inlineStr">
        <is>
          <t>آرلتو   قرص خوراکي 20 mg - دارو درمان آرنگ</t>
        </is>
      </c>
      <c r="C2205" s="25">
        <f>IF(COUNTIF('کدهای پیام‌داروساز'!$A$2:$A$2442,A2205)&gt;0,"بله","خیر")</f>
        <v/>
      </c>
    </row>
    <row r="2206" ht="15" customHeight="1" s="14">
      <c r="A2206" s="24" t="n">
        <v>22858</v>
      </c>
      <c r="B2206" s="24" t="inlineStr">
        <is>
          <t>پازوپانيب   قرص خوراکي 200 mg - داروسازي سبحان انکولوژي</t>
        </is>
      </c>
      <c r="C2206" s="25">
        <f>IF(COUNTIF('کدهای پیام‌داروساز'!$A$2:$A$2442,A2206)&gt;0,"بله","خیر")</f>
        <v/>
      </c>
    </row>
    <row r="2207" ht="15" customHeight="1" s="14">
      <c r="A2207" s="24" t="n">
        <v>22867</v>
      </c>
      <c r="B2207" s="24" t="inlineStr">
        <is>
          <t>سوالدي   قرص خوراکي 400 mg - شفا ياب گستر</t>
        </is>
      </c>
      <c r="C2207" s="25">
        <f>IF(COUNTIF('کدهای پیام‌داروساز'!$A$2:$A$2442,A2207)&gt;0,"بله","خیر")</f>
        <v/>
      </c>
    </row>
    <row r="2208" ht="15" customHeight="1" s="14">
      <c r="A2208" s="24" t="n">
        <v>22891</v>
      </c>
      <c r="B2208" s="24" t="inlineStr">
        <is>
          <t>سينا آمفوليش   ژل موضعي 0.4 % 15 g - اکسير نانو سينا</t>
        </is>
      </c>
      <c r="C2208" s="25">
        <f>IF(COUNTIF('کدهای پیام‌داروساز'!$A$2:$A$2442,A2208)&gt;0,"بله","خیر")</f>
        <v/>
      </c>
    </row>
    <row r="2209" ht="15" customHeight="1" s="14">
      <c r="A2209" s="24" t="n">
        <v>22925</v>
      </c>
      <c r="B2209" s="24" t="inlineStr">
        <is>
          <t>آوي ديفوما   کپسول انتريک کوتد خوراکي 120 mg - داروسازي آوه سينا</t>
        </is>
      </c>
      <c r="C2209" s="25">
        <f>IF(COUNTIF('کدهای پیام‌داروساز'!$A$2:$A$2442,A2209)&gt;0,"بله","خیر")</f>
        <v/>
      </c>
    </row>
    <row r="2210" ht="15" customHeight="1" s="14">
      <c r="A2210" s="24" t="n">
        <v>22926</v>
      </c>
      <c r="B2210" s="24" t="inlineStr">
        <is>
          <t>آوي ديفوما   کپسول انتريک کوتد خوراکي 240 mg - داروسازي آوه سينا</t>
        </is>
      </c>
      <c r="C2210" s="25">
        <f>IF(COUNTIF('کدهای پیام‌داروساز'!$A$2:$A$2442,A2210)&gt;0,"بله","خیر")</f>
        <v/>
      </c>
    </row>
    <row r="2211" ht="15" customHeight="1" s="14">
      <c r="A2211" s="24" t="n">
        <v>23027</v>
      </c>
      <c r="B2211" s="24" t="inlineStr">
        <is>
          <t>پاروکستين   قرص خوراکي 40 mg - پور سينا</t>
        </is>
      </c>
      <c r="C2211" s="25">
        <f>IF(COUNTIF('کدهای پیام‌داروساز'!$A$2:$A$2442,A2211)&gt;0,"بله","خیر")</f>
        <v/>
      </c>
    </row>
    <row r="2212" ht="15" customHeight="1" s="14">
      <c r="A2212" s="24" t="n">
        <v>23052</v>
      </c>
      <c r="B2212" s="24" t="inlineStr">
        <is>
          <t>بيوجرموسيد   کرم واژينال 2 %/2 % 40 g - دارو سازي بهوزان</t>
        </is>
      </c>
      <c r="C2212" s="25">
        <f>IF(COUNTIF('کدهای پیام‌داروساز'!$A$2:$A$2442,A2212)&gt;0,"بله","خیر")</f>
        <v/>
      </c>
    </row>
    <row r="2213" ht="15" customHeight="1" s="14">
      <c r="A2213" s="24" t="n">
        <v>23065</v>
      </c>
      <c r="B2213" s="24" t="inlineStr">
        <is>
          <t>پنتوزان پلي سولفات سديم   قرص خوراکي 25 mg - بازرگاني سها کيش</t>
        </is>
      </c>
      <c r="C2213" s="25">
        <f>IF(COUNTIF('کدهای پیام‌داروساز'!$A$2:$A$2442,A2213)&gt;0,"بله","خیر")</f>
        <v/>
      </c>
    </row>
    <row r="2214" ht="15" customHeight="1" s="14">
      <c r="A2214" s="24" t="n">
        <v>23088</v>
      </c>
      <c r="B2214" s="24" t="inlineStr">
        <is>
          <t>امپاتوس   قرص خوراکي 100 mg - ماه داروي حکيم</t>
        </is>
      </c>
      <c r="C2214" s="25">
        <f>IF(COUNTIF('کدهای پیام‌داروساز'!$A$2:$A$2442,A2214)&gt;0,"بله","خیر")</f>
        <v/>
      </c>
    </row>
    <row r="2215" ht="15" customHeight="1" s="14">
      <c r="A2215" s="24" t="n">
        <v>23108</v>
      </c>
      <c r="B2215" s="24" t="inlineStr">
        <is>
          <t xml:space="preserve">ويتامين ب 12 1000 م ک گ   آمپول - دارو پخش </t>
        </is>
      </c>
      <c r="C2215" s="25">
        <f>IF(COUNTIF('کدهای پیام‌داروساز'!$A$2:$A$2442,A2215)&gt;0,"بله","خیر")</f>
        <v/>
      </c>
    </row>
    <row r="2216" ht="15" customHeight="1" s="14">
      <c r="A2216" s="24" t="n">
        <v>23124</v>
      </c>
      <c r="B2216" s="24" t="inlineStr">
        <is>
          <t>پمرولاک   تزريقي پرنترال 15 mg/1mL 1 mL</t>
        </is>
      </c>
      <c r="C2216" s="25">
        <f>IF(COUNTIF('کدهای پیام‌داروساز'!$A$2:$A$2442,A2216)&gt;0,"بله","خیر")</f>
        <v/>
      </c>
    </row>
    <row r="2217" ht="15" customHeight="1" s="14">
      <c r="A2217" s="24" t="n">
        <v>23125</v>
      </c>
      <c r="B2217" s="24" t="inlineStr">
        <is>
          <t>اسويمر   محلول تزريقي پرنترال 40 mg/1mL  mL - دارو سازي اسوه</t>
        </is>
      </c>
      <c r="C2217" s="25">
        <f>IF(COUNTIF('کدهای پیام‌داروساز'!$A$2:$A$2442,A2217)&gt;0,"بله","خیر")</f>
        <v/>
      </c>
    </row>
    <row r="2218" ht="15" customHeight="1" s="14">
      <c r="A2218" s="24" t="n">
        <v>23155</v>
      </c>
      <c r="B2218" s="24" t="inlineStr">
        <is>
          <t>ايماتينيب   قرص خوراکي 400 mg - دارو سازي اسوه</t>
        </is>
      </c>
      <c r="C2218" s="25">
        <f>IF(COUNTIF('کدهای پیام‌داروساز'!$A$2:$A$2442,A2218)&gt;0,"بله","خیر")</f>
        <v/>
      </c>
    </row>
    <row r="2219" ht="15" customHeight="1" s="14">
      <c r="A2219" s="24" t="n">
        <v>23161</v>
      </c>
      <c r="B2219" s="24" t="inlineStr">
        <is>
          <t>استيوارگا   قرص خوراکي 40 mg  [Amb'a'1'U] - فوريتهاي سينا آرات گستر</t>
        </is>
      </c>
      <c r="C2219" s="25">
        <f>IF(COUNTIF('کدهای پیام‌داروساز'!$A$2:$A$2442,A2219)&gt;0,"بله","خیر")</f>
        <v/>
      </c>
    </row>
    <row r="2220" ht="15" customHeight="1" s="14">
      <c r="A2220" s="24" t="n">
        <v>23169</v>
      </c>
      <c r="B2220" s="24" t="inlineStr">
        <is>
          <t>تايگسيکلين نورمون   پودر لئوفيليزه براي تهيه محلول تزريقي پرنترال 50 mg  mg - تچرا دارو</t>
        </is>
      </c>
      <c r="C2220" s="25">
        <f>IF(COUNTIF('کدهای پیام‌داروساز'!$A$2:$A$2442,A2220)&gt;0,"بله","خیر")</f>
        <v/>
      </c>
    </row>
    <row r="2221" ht="15" customHeight="1" s="14">
      <c r="A2221" s="24" t="n">
        <v>23171</v>
      </c>
      <c r="B2221" s="24" t="inlineStr">
        <is>
          <t>زنهيل   آئروسل با دوز اندازه گيري شده استنشاقي 100 ug/5 ug/1{dose} 120 {dose} - بهستان دارو</t>
        </is>
      </c>
      <c r="C2221" s="25">
        <f>IF(COUNTIF('کدهای پیام‌داروساز'!$A$2:$A$2442,A2221)&gt;0,"بله","خیر")</f>
        <v/>
      </c>
    </row>
    <row r="2222" ht="15" customHeight="1" s="14">
      <c r="A2222" s="24" t="n">
        <v>23172</v>
      </c>
      <c r="B2222" s="24" t="inlineStr">
        <is>
          <t>زنهيل   آئروسل با دوز اندازه گيري شده استنشاقي 200 ug/5 ug/1{dose} 120 {dose} - بهستان دارو</t>
        </is>
      </c>
      <c r="C2222" s="25">
        <f>IF(COUNTIF('کدهای پیام‌داروساز'!$A$2:$A$2442,A2222)&gt;0,"بله","خیر")</f>
        <v/>
      </c>
    </row>
    <row r="2223" ht="15" customHeight="1" s="14">
      <c r="A2223" s="24" t="n">
        <v>23213</v>
      </c>
      <c r="B2223" s="24" t="inlineStr">
        <is>
          <t>50mg/5 mlمحلول تزريقي متوترکسات    تزريقي پرنترال 10 mg/1mL 1.5</t>
        </is>
      </c>
      <c r="C2223" s="25">
        <f>IF(COUNTIF('کدهای پیام‌داروساز'!$A$2:$A$2442,A2223)&gt;0,"بله","خیر")</f>
        <v/>
      </c>
    </row>
    <row r="2224" ht="15" customHeight="1" s="14">
      <c r="A2224" s="24" t="n">
        <v>23306</v>
      </c>
      <c r="B2224" s="24" t="inlineStr">
        <is>
          <t>نئوسيتامين   محلول تزريقي پرنترال 1000 ug/1mL  ug - بازرگاني سها کيش</t>
        </is>
      </c>
      <c r="C2224" s="25">
        <f>IF(COUNTIF('کدهای پیام‌داروساز'!$A$2:$A$2442,A2224)&gt;0,"بله","خیر")</f>
        <v/>
      </c>
    </row>
    <row r="2225" ht="15" customHeight="1" s="14">
      <c r="A2225" s="24" t="n">
        <v>23311</v>
      </c>
      <c r="B2225" s="24" t="inlineStr">
        <is>
          <t>پنژل   ژل موضعي 10 % 60 g - پارس بهروزان جم</t>
        </is>
      </c>
      <c r="C2225" s="25">
        <f>IF(COUNTIF('کدهای پیام‌داروساز'!$A$2:$A$2442,A2225)&gt;0,"بله","خیر")</f>
        <v/>
      </c>
    </row>
    <row r="2226" ht="15" customHeight="1" s="14">
      <c r="A2226" s="24" t="n">
        <v>23312</v>
      </c>
      <c r="B2226" s="24" t="inlineStr">
        <is>
          <t>پنژل   ژل موضعي 5 % 60 g - پارس بهروزان جم</t>
        </is>
      </c>
      <c r="C2226" s="25">
        <f>IF(COUNTIF('کدهای پیام‌داروساز'!$A$2:$A$2442,A2226)&gt;0,"بله","خیر")</f>
        <v/>
      </c>
    </row>
    <row r="2227" ht="15" customHeight="1" s="14">
      <c r="A2227" s="24" t="n">
        <v>23358</v>
      </c>
      <c r="B2227" s="24" t="inlineStr">
        <is>
          <t>مگلومين کامپاند   محلول تزريقي پرنترال 66 %/10 %  mL - داروسازي شهيد قاضي</t>
        </is>
      </c>
      <c r="C2227" s="25">
        <f>IF(COUNTIF('کدهای پیام‌داروساز'!$A$2:$A$2442,A2227)&gt;0,"بله","خیر")</f>
        <v/>
      </c>
    </row>
    <row r="2228" ht="15" customHeight="1" s="14">
      <c r="A2228" s="24" t="n">
        <v>23448</v>
      </c>
      <c r="B2228" s="24" t="inlineStr">
        <is>
          <t>جاکاوي   قرص خوراکي 5 mg  [Amb'a'1'U] - فوريتهاي سينا آرات گستر</t>
        </is>
      </c>
      <c r="C2228" s="25">
        <f>IF(COUNTIF('کدهای پیام‌داروساز'!$A$2:$A$2442,A2228)&gt;0,"بله","خیر")</f>
        <v/>
      </c>
    </row>
    <row r="2229" ht="15" customHeight="1" s="14">
      <c r="A2229" s="24" t="n">
        <v>23470</v>
      </c>
      <c r="B2229" s="24" t="inlineStr">
        <is>
          <t>سوبوپاسوير   قرص خوراکي 90 mg/400 mg - توسعه بازرگاني دارويي سبحان</t>
        </is>
      </c>
      <c r="C2229" s="25">
        <f>IF(COUNTIF('کدهای پیام‌داروساز'!$A$2:$A$2442,A2229)&gt;0,"بله","خیر")</f>
        <v/>
      </c>
    </row>
    <row r="2230" ht="15" customHeight="1" s="14">
      <c r="A2230" s="24" t="n">
        <v>23506</v>
      </c>
      <c r="B2230" s="24" t="inlineStr">
        <is>
          <t>لئوکين   پودر لئوفيليزه براي تهيه محلول تزريقي پرنترال 250 ug  ug - شهاب درمان</t>
        </is>
      </c>
      <c r="C2230" s="25">
        <f>IF(COUNTIF('کدهای پیام‌داروساز'!$A$2:$A$2442,A2230)&gt;0,"بله","خیر")</f>
        <v/>
      </c>
    </row>
    <row r="2231" ht="15" customHeight="1" s="14">
      <c r="A2231" s="24" t="n">
        <v>23538</v>
      </c>
      <c r="B2231" s="24" t="inlineStr">
        <is>
          <t>زلبوراف   قرص خوراکي 240 mg  mg - رايان دارو ايرانيان</t>
        </is>
      </c>
      <c r="C2231" s="25">
        <f>IF(COUNTIF('کدهای پیام‌داروساز'!$A$2:$A$2442,A2231)&gt;0,"بله","خیر")</f>
        <v/>
      </c>
    </row>
    <row r="2232" ht="15" customHeight="1" s="14">
      <c r="A2232" s="24" t="n">
        <v>23984</v>
      </c>
      <c r="B2232" s="24" t="inlineStr">
        <is>
          <t>يرووي   محلول غليظ تزريقي پرنترال 5 mg/1mL 10 - يارا طب خاورميانه</t>
        </is>
      </c>
      <c r="C2232" s="25">
        <f>IF(COUNTIF('کدهای پیام‌داروساز'!$A$2:$A$2442,A2232)&gt;0,"بله","خیر")</f>
        <v/>
      </c>
    </row>
    <row r="2233" ht="15" customHeight="1" s="14">
      <c r="A2233" s="24" t="n">
        <v>23986</v>
      </c>
      <c r="B2233" s="24" t="inlineStr">
        <is>
          <t>پرجتا   محلول غليظ تزريقي پرنترال 30 mg/1mL 14 mg - بازرگاني سها کيش</t>
        </is>
      </c>
      <c r="C2233" s="25">
        <f>IF(COUNTIF('کدهای پیام‌داروساز'!$A$2:$A$2442,A2233)&gt;0,"بله","خیر")</f>
        <v/>
      </c>
    </row>
    <row r="2234" ht="15" customHeight="1" s="14">
      <c r="A2234" s="24" t="n">
        <v>24006</v>
      </c>
      <c r="B2234" s="24" t="inlineStr">
        <is>
          <t>سيرامزا   محلول غليظ تزريقي پرنترال 10 mg/1mL 50 mg - اوزان</t>
        </is>
      </c>
      <c r="C2234" s="25">
        <f>IF(COUNTIF('کدهای پیام‌داروساز'!$A$2:$A$2442,A2234)&gt;0,"بله","خیر")</f>
        <v/>
      </c>
    </row>
    <row r="2235" ht="15" customHeight="1" s="14">
      <c r="A2235" s="24" t="n">
        <v>24054</v>
      </c>
      <c r="B2235" s="24" t="inlineStr">
        <is>
          <t>گروتروپين-2   محلول تزريقي پرنترال 30 [iU]/2.7mL  [iU] - رويان دارو</t>
        </is>
      </c>
      <c r="C2235" s="25">
        <f>IF(COUNTIF('کدهای پیام‌داروساز'!$A$2:$A$2442,A2235)&gt;0,"بله","خیر")</f>
        <v/>
      </c>
    </row>
    <row r="2236" ht="15" customHeight="1" s="14">
      <c r="A2236" s="24" t="n">
        <v>24097</v>
      </c>
      <c r="B2236" s="24" t="inlineStr">
        <is>
          <t>آرفنيد   قرص خوراکي 200 mg - دارو درمان آرنگ</t>
        </is>
      </c>
      <c r="C2236" s="25">
        <f>IF(COUNTIF('کدهای پیام‌داروساز'!$A$2:$A$2442,A2236)&gt;0,"بله","خیر")</f>
        <v/>
      </c>
    </row>
    <row r="2237" ht="15" customHeight="1" s="14">
      <c r="A2237" s="24" t="n">
        <v>24191</v>
      </c>
      <c r="B2237" s="24" t="inlineStr">
        <is>
          <t>سولانترا   کرم موضعي 1 % 30 % - شهاب درمان</t>
        </is>
      </c>
      <c r="C2237" s="25">
        <f>IF(COUNTIF('کدهای پیام‌داروساز'!$A$2:$A$2442,A2237)&gt;0,"بله","خیر")</f>
        <v/>
      </c>
    </row>
    <row r="2238" ht="15" customHeight="1" s="14">
      <c r="A2238" s="24" t="n">
        <v>24205</v>
      </c>
      <c r="B2238" s="24" t="inlineStr">
        <is>
          <t>برني ادالتس    گرانول براي تهيه محلول خوراکي 3 g  g - اهران تجارت</t>
        </is>
      </c>
      <c r="C2238" s="25">
        <f>IF(COUNTIF('کدهای پیام‌داروساز'!$A$2:$A$2442,A2238)&gt;0,"بله","خیر")</f>
        <v/>
      </c>
    </row>
    <row r="2239" ht="15" customHeight="1" s="14">
      <c r="A2239" s="24" t="n">
        <v>24303</v>
      </c>
      <c r="B2239" s="24" t="inlineStr">
        <is>
          <t>اسميا    قرص خوراکي 5 mg  [Amb'a'1'U] - فوريتهاي سينا آرات گستر</t>
        </is>
      </c>
      <c r="C2239" s="25">
        <f>IF(COUNTIF('کدهای پیام‌داروساز'!$A$2:$A$2442,A2239)&gt;0,"بله","خیر")</f>
        <v/>
      </c>
    </row>
    <row r="2240" ht="15" customHeight="1" s="14">
      <c r="A2240" s="24" t="n">
        <v>24400</v>
      </c>
      <c r="B2240" s="24" t="inlineStr">
        <is>
          <t>زئومين   پودر لئوفيليزه براي تهيه محلول تزريقي پرنترال 200 [iU]  [iU] - بازرگاني خسرو مديسا طب</t>
        </is>
      </c>
      <c r="C2240" s="25">
        <f>IF(COUNTIF('کدهای پیام‌داروساز'!$A$2:$A$2442,A2240)&gt;0,"بله","خیر")</f>
        <v/>
      </c>
    </row>
    <row r="2241" ht="15" customHeight="1" s="14">
      <c r="A2241" s="24" t="n">
        <v>24452</v>
      </c>
      <c r="B2241" s="24" t="inlineStr">
        <is>
          <t>ريزولانگ   کپسول خوراکي 250 mg - نو آوران دارويي کيميا</t>
        </is>
      </c>
      <c r="C2241" s="25">
        <f>IF(COUNTIF('کدهای پیام‌داروساز'!$A$2:$A$2442,A2241)&gt;0,"بله","خیر")</f>
        <v/>
      </c>
    </row>
    <row r="2242" ht="15" customHeight="1" s="14">
      <c r="A2242" s="24" t="n">
        <v>24484</v>
      </c>
      <c r="B2242" s="24" t="inlineStr">
        <is>
          <t>پازوپانيب   قرص خوراکي 400 mg - داروسازي سبحان انکولوژي</t>
        </is>
      </c>
      <c r="C2242" s="25">
        <f>IF(COUNTIF('کدهای پیام‌داروساز'!$A$2:$A$2442,A2242)&gt;0,"بله","خیر")</f>
        <v/>
      </c>
    </row>
    <row r="2243" ht="15" customHeight="1" s="14">
      <c r="A2243" s="24" t="n">
        <v>24603</v>
      </c>
      <c r="B2243" s="24" t="inlineStr">
        <is>
          <t>روپيواکائين   محلول تزريقي پرنترال 2 mg/1 mL 10 mg - سينا پيشگام دارو نوين</t>
        </is>
      </c>
      <c r="C2243" s="25">
        <f>IF(COUNTIF('کدهای پیام‌داروساز'!$A$2:$A$2442,A2243)&gt;0,"بله","خیر")</f>
        <v/>
      </c>
    </row>
    <row r="2244" ht="15" customHeight="1" s="14">
      <c r="A2244" s="24" t="n">
        <v>24605</v>
      </c>
      <c r="B2244" s="24" t="inlineStr">
        <is>
          <t>روپيواکائين    محلول تزريقي پرنترال 5 mg/1 mL 10 mg - سينا پيشگام دارو نوين</t>
        </is>
      </c>
      <c r="C2244" s="25">
        <f>IF(COUNTIF('کدهای پیام‌داروساز'!$A$2:$A$2442,A2244)&gt;0,"بله","خیر")</f>
        <v/>
      </c>
    </row>
    <row r="2245" ht="15" customHeight="1" s="14">
      <c r="A2245" s="24" t="n">
        <v>24616</v>
      </c>
      <c r="B2245" s="24" t="inlineStr">
        <is>
          <t>جاکاوي   قرص خوراکي 20 mg  mg - رايان دارو ايرانيان</t>
        </is>
      </c>
      <c r="C2245" s="25">
        <f>IF(COUNTIF('کدهای پیام‌داروساز'!$A$2:$A$2442,A2245)&gt;0,"بله","خیر")</f>
        <v/>
      </c>
    </row>
    <row r="2246" ht="15" customHeight="1" s="14">
      <c r="A2246" s="24" t="n">
        <v>24689</v>
      </c>
      <c r="B2246" s="24" t="inlineStr">
        <is>
          <t>رالتگراوير   قرص جويدني خوراکي 100 mg - بازرگاني سها کيش</t>
        </is>
      </c>
      <c r="C2246" s="25">
        <f>IF(COUNTIF('کدهای پیام‌داروساز'!$A$2:$A$2442,A2246)&gt;0,"بله","خیر")</f>
        <v/>
      </c>
    </row>
    <row r="2247" ht="15" customHeight="1" s="14">
      <c r="A2247" s="24" t="n">
        <v>24746</v>
      </c>
      <c r="B2247" s="24" t="inlineStr">
        <is>
          <t>آباکاوير   محلول خوراکي 20 mg/1mL 240 mL - ماه داروي حکيم</t>
        </is>
      </c>
      <c r="C2247" s="25">
        <f>IF(COUNTIF('کدهای پیام‌داروساز'!$A$2:$A$2442,A2247)&gt;0,"بله","خیر")</f>
        <v/>
      </c>
    </row>
    <row r="2248" ht="15" customHeight="1" s="14">
      <c r="A2248" s="24" t="n">
        <v>25082</v>
      </c>
      <c r="B2248" s="24" t="inlineStr">
        <is>
          <t xml:space="preserve">گارداسيل 0.5 م ل واکسن آماده تزريق -9 ظرفيتي ام اس دي </t>
        </is>
      </c>
      <c r="C2248" s="25">
        <f>IF(COUNTIF('کدهای پیام‌داروساز'!$A$2:$A$2442,A2248)&gt;0,"بله","خیر")</f>
        <v/>
      </c>
    </row>
    <row r="2249" ht="15" customHeight="1" s="14">
      <c r="A2249" s="24" t="n">
        <v>25137</v>
      </c>
      <c r="B2249" s="24" t="inlineStr">
        <is>
          <t>آدنوريک   قرص خوراکي 120 mg  [Amb'a'1'U] - فوريتهاي سينا آرات گستر</t>
        </is>
      </c>
      <c r="C2249" s="25">
        <f>IF(COUNTIF('کدهای پیام‌داروساز'!$A$2:$A$2442,A2249)&gt;0,"بله","خیر")</f>
        <v/>
      </c>
    </row>
    <row r="2250" ht="15" customHeight="1" s="14">
      <c r="A2250" s="24" t="n">
        <v>25187</v>
      </c>
      <c r="B2250" s="24" t="inlineStr">
        <is>
          <t>اکسي دکس   محلول تزريقي پرنترال 250 mg/1mL 2 mL - داروسازي اکسير</t>
        </is>
      </c>
      <c r="C2250" s="25">
        <f>IF(COUNTIF('کدهای پیام‌داروساز'!$A$2:$A$2442,A2250)&gt;0,"بله","خیر")</f>
        <v/>
      </c>
    </row>
    <row r="2251" ht="15" customHeight="1" s="14">
      <c r="A2251" s="24" t="n">
        <v>25268</v>
      </c>
      <c r="B2251" s="24" t="inlineStr">
        <is>
          <t>زاک آريا   محلول تزريقي پرنترال 25 mg/1mL 4 mg - تحقيقاتي وتوليدي سينا ژن</t>
        </is>
      </c>
      <c r="C2251" s="25">
        <f>IF(COUNTIF('کدهای پیام‌داروساز'!$A$2:$A$2442,A2251)&gt;0,"بله","خیر")</f>
        <v/>
      </c>
    </row>
    <row r="2252" ht="15" customHeight="1" s="14">
      <c r="A2252" s="24" t="n">
        <v>25308</v>
      </c>
      <c r="B2252" s="24" t="inlineStr">
        <is>
          <t>ويميزيم   محلول غليظ تزريقي پرنترال 1 mg/1mL 5 mg - بازرگاني سها کيش</t>
        </is>
      </c>
      <c r="C2252" s="25">
        <f>IF(COUNTIF('کدهای پیام‌داروساز'!$A$2:$A$2442,A2252)&gt;0,"بله","خیر")</f>
        <v/>
      </c>
    </row>
    <row r="2253" ht="15" customHeight="1" s="14">
      <c r="A2253" s="24" t="n">
        <v>50001</v>
      </c>
      <c r="B2253" s="24" t="inlineStr">
        <is>
          <t>اسموف ليپيد 20%   محلول تزريقي داخل وريدي 500 mL - روژين دارو</t>
        </is>
      </c>
      <c r="C2253" s="25">
        <f>IF(COUNTIF('کدهای پیام‌داروساز'!$A$2:$A$2442,A2253)&gt;0,"بله","خیر")</f>
        <v/>
      </c>
    </row>
    <row r="2254" ht="15" customHeight="1" s="14">
      <c r="A2254" s="24" t="n">
        <v>50003</v>
      </c>
      <c r="B2254" s="24" t="inlineStr">
        <is>
          <t>داتکس   قرص خوراکي 60 mg/400 mg - توسعه بازرگاني دارويي سبحان</t>
        </is>
      </c>
      <c r="C2254" s="25">
        <f>IF(COUNTIF('کدهای پیام‌داروساز'!$A$2:$A$2442,A2254)&gt;0,"بله","خیر")</f>
        <v/>
      </c>
    </row>
    <row r="2255" ht="15" customHeight="1" s="14">
      <c r="A2255" s="24" t="n">
        <v>50005</v>
      </c>
      <c r="B2255" s="24" t="inlineStr">
        <is>
          <t>آرلتو   قرص خوراکي 15 mg - دارو درمان آرنگ</t>
        </is>
      </c>
      <c r="C2255" s="25">
        <f>IF(COUNTIF('کدهای پیام‌داروساز'!$A$2:$A$2442,A2255)&gt;0,"بله","خیر")</f>
        <v/>
      </c>
    </row>
    <row r="2256" ht="15" customHeight="1" s="14">
      <c r="A2256" s="24" t="n">
        <v>50021</v>
      </c>
      <c r="B2256" s="24" t="inlineStr">
        <is>
          <t>سوماتواستاتين-ايومديکا   پودر براي تهيه محلول تزريقي پرنترال 3 mg  mg - وليان دارو</t>
        </is>
      </c>
      <c r="C2256" s="25">
        <f>IF(COUNTIF('کدهای پیام‌داروساز'!$A$2:$A$2442,A2256)&gt;0,"بله","خیر")</f>
        <v/>
      </c>
    </row>
    <row r="2257" ht="15" customHeight="1" s="14">
      <c r="A2257" s="24" t="n">
        <v>50022</v>
      </c>
      <c r="B2257" s="24" t="inlineStr">
        <is>
          <t>پنتاسا اکستند   گرانول پيوسته رهش خوراکي 2 g  g</t>
        </is>
      </c>
      <c r="C2257" s="25">
        <f>IF(COUNTIF('کدهای پیام‌داروساز'!$A$2:$A$2442,A2257)&gt;0,"بله","خیر")</f>
        <v/>
      </c>
    </row>
    <row r="2258" ht="15" customHeight="1" s="14">
      <c r="A2258" s="24" t="n">
        <v>50029</v>
      </c>
      <c r="B2258" s="24" t="inlineStr">
        <is>
          <t>آفاکوليست   پودر براي تهيه محلول تزريقي پرنترال 2000000 [iU]  [iU] - آفا شيمي</t>
        </is>
      </c>
      <c r="C2258" s="25">
        <f>IF(COUNTIF('کدهای پیام‌داروساز'!$A$2:$A$2442,A2258)&gt;0,"بله","خیر")</f>
        <v/>
      </c>
    </row>
    <row r="2259" ht="15" customHeight="1" s="14">
      <c r="A2259" s="24" t="n">
        <v>50030</v>
      </c>
      <c r="B2259" s="24" t="inlineStr">
        <is>
          <t>آفاکوليست   پودر براي تهيه محلول تزريقي پرنترال 4500000 [iU]  [iU] - آفا شيمي</t>
        </is>
      </c>
      <c r="C2259" s="25">
        <f>IF(COUNTIF('کدهای پیام‌داروساز'!$A$2:$A$2442,A2259)&gt;0,"بله","خیر")</f>
        <v/>
      </c>
    </row>
    <row r="2260" ht="15" customHeight="1" s="14">
      <c r="A2260" s="24" t="n">
        <v>50033</v>
      </c>
      <c r="B2260" s="24" t="inlineStr">
        <is>
          <t>رتليز   پودر براي تهيه محلول تزريقي پرنترال 10.4 [iU]  mg - دارو سازي اسوه</t>
        </is>
      </c>
      <c r="C2260" s="25">
        <f>IF(COUNTIF('کدهای پیام‌داروساز'!$A$2:$A$2442,A2260)&gt;0,"بله","خیر")</f>
        <v/>
      </c>
    </row>
    <row r="2261" ht="15" customHeight="1" s="14">
      <c r="A2261" s="24" t="n">
        <v>50047</v>
      </c>
      <c r="B2261" s="24" t="inlineStr">
        <is>
          <t>لوونور   محلول غليظ تزريقي پرنترال 1 mg/1mL 4 mg - يارا طب خاورميانه</t>
        </is>
      </c>
      <c r="C2261" s="25">
        <f>IF(COUNTIF('کدهای پیام‌داروساز'!$A$2:$A$2442,A2261)&gt;0,"بله","خیر")</f>
        <v/>
      </c>
    </row>
    <row r="2262" ht="15" customHeight="1" s="14">
      <c r="A2262" s="24" t="n">
        <v>50056</v>
      </c>
      <c r="B2262" s="24" t="inlineStr">
        <is>
          <t>توبرادکس   سوسپانسيون، قطره چشمي 0.3 %/0.1 % 5 mL - پويش دارو گستر برتر فارس</t>
        </is>
      </c>
      <c r="C2262" s="25">
        <f>IF(COUNTIF('کدهای پیام‌داروساز'!$A$2:$A$2442,A2262)&gt;0,"بله","خیر")</f>
        <v/>
      </c>
    </row>
    <row r="2263" ht="15" customHeight="1" s="14">
      <c r="A2263" s="24" t="n">
        <v>50059</v>
      </c>
      <c r="B2263" s="24" t="inlineStr">
        <is>
          <t>دپيکسول   قرص خوراکي 3 mg - آنکو دارو</t>
        </is>
      </c>
      <c r="C2263" s="25">
        <f>IF(COUNTIF('کدهای پیام‌داروساز'!$A$2:$A$2442,A2263)&gt;0,"بله","خیر")</f>
        <v/>
      </c>
    </row>
    <row r="2264" ht="15" customHeight="1" s="14">
      <c r="A2264" s="24" t="n">
        <v>50061</v>
      </c>
      <c r="B2264" s="24" t="inlineStr">
        <is>
          <t>آتيکسول   تزريقي پرنترال 20 mg/1mL 1 mg</t>
        </is>
      </c>
      <c r="C2264" s="25">
        <f>IF(COUNTIF('کدهای پیام‌داروساز'!$A$2:$A$2442,A2264)&gt;0,"بله","خیر")</f>
        <v/>
      </c>
    </row>
    <row r="2265" ht="15" customHeight="1" s="14">
      <c r="A2265" s="24" t="n">
        <v>50071</v>
      </c>
      <c r="B2265" s="24" t="inlineStr">
        <is>
          <t>آمپول امنيتروپ 15 واحد/1.5 ميلي ليتر</t>
        </is>
      </c>
      <c r="C2265" s="25">
        <f>IF(COUNTIF('کدهای پیام‌داروساز'!$A$2:$A$2442,A2265)&gt;0,"بله","خیر")</f>
        <v/>
      </c>
    </row>
    <row r="2266" ht="15" customHeight="1" s="14">
      <c r="A2266" s="24" t="n">
        <v>50075</v>
      </c>
      <c r="B2266" s="24" t="inlineStr">
        <is>
          <t>ادتات کلسيم دي سديم   تزريقي پرنترال 200 mg/1mL 5 mg - ثمين دارو آرکا</t>
        </is>
      </c>
      <c r="C2266" s="25">
        <f>IF(COUNTIF('کدهای پیام‌داروساز'!$A$2:$A$2442,A2266)&gt;0,"بله","خیر")</f>
        <v/>
      </c>
    </row>
    <row r="2267" ht="15" customHeight="1" s="14">
      <c r="A2267" s="24" t="n">
        <v>50079</v>
      </c>
      <c r="B2267" s="24" t="inlineStr">
        <is>
          <t>آر-کاپرول   تزريقي پرنترال 50 mg/1mL 2 mg - بازرگاني سها کيش</t>
        </is>
      </c>
      <c r="C2267" s="25">
        <f>IF(COUNTIF('کدهای پیام‌داروساز'!$A$2:$A$2442,A2267)&gt;0,"بله","خیر")</f>
        <v/>
      </c>
    </row>
    <row r="2268" ht="15" customHeight="1" s="14">
      <c r="A2268" s="24" t="n">
        <v>50080</v>
      </c>
      <c r="B2268" s="24" t="inlineStr">
        <is>
          <t>اي تي جي-فرزنيوس   تزريقي پرنترال 20 mg/1mL  mg - درمان ياب آنا</t>
        </is>
      </c>
      <c r="C2268" s="25">
        <f>IF(COUNTIF('کدهای پیام‌داروساز'!$A$2:$A$2442,A2268)&gt;0,"بله","خیر")</f>
        <v/>
      </c>
    </row>
    <row r="2269" ht="15" customHeight="1" s="14">
      <c r="A2269" s="24" t="n">
        <v>50081</v>
      </c>
      <c r="B2269" s="24" t="inlineStr">
        <is>
          <t>هايزنترا   تزريقي پرنترال 200 mg/1mL 5 g - اوين دارو</t>
        </is>
      </c>
      <c r="C2269" s="25">
        <f>IF(COUNTIF('کدهای پیام‌داروساز'!$A$2:$A$2442,A2269)&gt;0,"بله","خیر")</f>
        <v/>
      </c>
    </row>
    <row r="2270" ht="15" customHeight="1" s="14">
      <c r="A2270" s="24" t="n">
        <v>50082</v>
      </c>
      <c r="B2270" s="24" t="inlineStr">
        <is>
          <t>هايزنترا   تزريقي پرنترال 200 mg/1mL 10 g - اوين دارو</t>
        </is>
      </c>
      <c r="C2270" s="25">
        <f>IF(COUNTIF('کدهای پیام‌داروساز'!$A$2:$A$2442,A2270)&gt;0,"بله","خیر")</f>
        <v/>
      </c>
    </row>
    <row r="2271" ht="15" customHeight="1" s="14">
      <c r="A2271" s="24" t="n">
        <v>50088</v>
      </c>
      <c r="B2271" s="24" t="inlineStr">
        <is>
          <t>اويتريت   محلول خوراکي 1 mg/1mL 100 mL - تدبير کالاي جم</t>
        </is>
      </c>
      <c r="C2271" s="25">
        <f>IF(COUNTIF('کدهای پیام‌داروساز'!$A$2:$A$2442,A2271)&gt;0,"بله","خیر")</f>
        <v/>
      </c>
    </row>
    <row r="2272" ht="15" customHeight="1" s="14">
      <c r="A2272" s="24" t="n">
        <v>50096</v>
      </c>
      <c r="B2272" s="24" t="inlineStr">
        <is>
          <t>رسليگو   ايمپلنت پرنترال 3.6 mg - کيميا سلامت ايرانيان</t>
        </is>
      </c>
      <c r="C2272" s="25">
        <f>IF(COUNTIF('کدهای پیام‌داروساز'!$A$2:$A$2442,A2272)&gt;0,"بله","خیر")</f>
        <v/>
      </c>
    </row>
    <row r="2273" ht="15" customHeight="1" s="14">
      <c r="A2273" s="24" t="n">
        <v>50097</v>
      </c>
      <c r="B2273" s="24" t="inlineStr">
        <is>
          <t>رسليگو   ايمپلنت پرنترال 10.8 mg - کيميا سلامت ايرانيان</t>
        </is>
      </c>
      <c r="C2273" s="25">
        <f>IF(COUNTIF('کدهای پیام‌داروساز'!$A$2:$A$2442,A2273)&gt;0,"بله","خیر")</f>
        <v/>
      </c>
    </row>
    <row r="2274" ht="15" customHeight="1" s="14">
      <c r="A2274" s="24" t="n">
        <v>50107</v>
      </c>
      <c r="B2274" s="24" t="inlineStr">
        <is>
          <t>اپيدرا سولواستار   محلول تزريقي پرنترال 100 [iU]/1mL 3 [iU]</t>
        </is>
      </c>
      <c r="C2274" s="25">
        <f>IF(COUNTIF('کدهای پیام‌داروساز'!$A$2:$A$2442,A2274)&gt;0,"بله","خیر")</f>
        <v/>
      </c>
    </row>
    <row r="2275" ht="15" customHeight="1" s="14">
      <c r="A2275" s="24" t="n">
        <v>50111</v>
      </c>
      <c r="B2275" s="24" t="inlineStr">
        <is>
          <t>رنولا   پودر براي تهيه سوسپانسيون   خوراکي 2.4 g  g - کوبل دارو</t>
        </is>
      </c>
      <c r="C2275" s="25">
        <f>IF(COUNTIF('کدهای پیام‌داروساز'!$A$2:$A$2442,A2275)&gt;0,"بله","خیر")</f>
        <v/>
      </c>
    </row>
    <row r="2276" ht="15" customHeight="1" s="14">
      <c r="A2276" s="24" t="n">
        <v>50114</v>
      </c>
      <c r="B2276" s="24" t="inlineStr">
        <is>
          <t>اکساتنت   محلول تزريقي پرنترال 2 mg/1mL 300 mg - داروسازي دکتر عبيدي</t>
        </is>
      </c>
      <c r="C2276" s="25">
        <f>IF(COUNTIF('کدهای پیام‌داروساز'!$A$2:$A$2442,A2276)&gt;0,"بله","خیر")</f>
        <v/>
      </c>
    </row>
    <row r="2277" ht="15" customHeight="1" s="14">
      <c r="A2277" s="24" t="n">
        <v>50179</v>
      </c>
      <c r="B2277" s="24" t="inlineStr">
        <is>
          <t>اليمل ان9اي   امولسيون تزريقي داخل وريدي 1000 mL - کار و انديشه</t>
        </is>
      </c>
      <c r="C2277" s="25">
        <f>IF(COUNTIF('کدهای پیام‌داروساز'!$A$2:$A$2442,A2277)&gt;0,"بله","خیر")</f>
        <v/>
      </c>
    </row>
    <row r="2278" ht="15" customHeight="1" s="14">
      <c r="A2278" s="24" t="n">
        <v>50180</v>
      </c>
      <c r="B2278" s="24" t="inlineStr">
        <is>
          <t>اليمل ان7اي   امولسيون تزريقي داخل وريدي 1000 mL - کار و انديشه</t>
        </is>
      </c>
      <c r="C2278" s="25">
        <f>IF(COUNTIF('کدهای پیام‌داروساز'!$A$2:$A$2442,A2278)&gt;0,"بله","خیر")</f>
        <v/>
      </c>
    </row>
    <row r="2279" ht="15" customHeight="1" s="14">
      <c r="A2279" s="24" t="n">
        <v>50181</v>
      </c>
      <c r="B2279" s="24" t="inlineStr">
        <is>
          <t>فلوداکسي گلوکز اف18   محلول تزريقي پرنترال 10 mCi  uCi - پارس ايزوتوپ</t>
        </is>
      </c>
      <c r="C2279" s="25">
        <f>IF(COUNTIF('کدهای پیام‌داروساز'!$A$2:$A$2442,A2279)&gt;0,"بله","خیر")</f>
        <v/>
      </c>
    </row>
    <row r="2280" ht="15" customHeight="1" s="14">
      <c r="A2280" s="24" t="n">
        <v>50196</v>
      </c>
      <c r="B2280" s="24" t="inlineStr">
        <is>
          <t>کولوئيدال کروميک فسفات (فسفر-32)   محلول تزريقي پرنترال 5 mCi  mCi - پارس ايزوتوپ</t>
        </is>
      </c>
      <c r="C2280" s="25">
        <f>IF(COUNTIF('کدهای پیام‌داروساز'!$A$2:$A$2442,A2280)&gt;0,"بله","خیر")</f>
        <v/>
      </c>
    </row>
    <row r="2281" ht="15" customHeight="1" s="14">
      <c r="A2281" s="24" t="n">
        <v>50197</v>
      </c>
      <c r="B2281" s="24" t="inlineStr">
        <is>
          <t>کربن-14 اوره   کپسول خوراکي 1 mCi  mCi - پارس ايزوتوپ</t>
        </is>
      </c>
      <c r="C2281" s="25">
        <f>IF(COUNTIF('کدهای پیام‌داروساز'!$A$2:$A$2442,A2281)&gt;0,"بله","خیر")</f>
        <v/>
      </c>
    </row>
    <row r="2282" ht="15" customHeight="1" s="14">
      <c r="A2282" s="24" t="n">
        <v>50200</v>
      </c>
      <c r="B2282" s="24" t="inlineStr">
        <is>
          <t>آنتيموني-تي. اس   محلول تزريقي زير جلدي 1.5 mg  mg - پارس ايزوتوپ</t>
        </is>
      </c>
      <c r="C2282" s="25">
        <f>IF(COUNTIF('کدهای پیام‌داروساز'!$A$2:$A$2442,A2282)&gt;0,"بله","خیر")</f>
        <v/>
      </c>
    </row>
    <row r="2283" ht="15" customHeight="1" s="14">
      <c r="A2283" s="24" t="n">
        <v>50202</v>
      </c>
      <c r="B2283" s="24" t="inlineStr">
        <is>
          <t>پگاسيس   تزريقي پرنترال 360 ug/1mL 0.5 mL - داروسازي سبحان انکولوژي</t>
        </is>
      </c>
      <c r="C2283" s="25">
        <f>IF(COUNTIF('کدهای پیام‌داروساز'!$A$2:$A$2442,A2283)&gt;0,"بله","خیر")</f>
        <v/>
      </c>
    </row>
    <row r="2284" ht="15" customHeight="1" s="14">
      <c r="A2284" s="24" t="n">
        <v>50221</v>
      </c>
      <c r="B2284" s="24" t="inlineStr">
        <is>
          <t>پابا-کا   پودر خوراکي 3 g  g - سلامت انديشان راتا</t>
        </is>
      </c>
      <c r="C2284" s="25">
        <f>IF(COUNTIF('کدهای پیام‌داروساز'!$A$2:$A$2442,A2284)&gt;0,"بله","خیر")</f>
        <v/>
      </c>
    </row>
    <row r="2285" ht="15" customHeight="1" s="14">
      <c r="A2285" s="24" t="n">
        <v>50244</v>
      </c>
      <c r="B2285" s="24" t="inlineStr">
        <is>
          <t>ديزوپيراميد   کپسول خوراکي 100 mg - پويش دارو گستر برتر فارس</t>
        </is>
      </c>
      <c r="C2285" s="25">
        <f>IF(COUNTIF('کدهای پیام‌داروساز'!$A$2:$A$2442,A2285)&gt;0,"بله","خیر")</f>
        <v/>
      </c>
    </row>
    <row r="2286" ht="15" customHeight="1" s="14">
      <c r="A2286" s="24" t="n">
        <v>50253</v>
      </c>
      <c r="B2286" s="24" t="inlineStr">
        <is>
          <t>سي سي -نفرول   قرص خوراکي 500 mg</t>
        </is>
      </c>
      <c r="C2286" s="25">
        <f>IF(COUNTIF('کدهای پیام‌داروساز'!$A$2:$A$2442,A2286)&gt;0,"بله","خیر")</f>
        <v/>
      </c>
    </row>
    <row r="2287" ht="15" customHeight="1" s="14">
      <c r="A2287" s="24" t="n">
        <v>50266</v>
      </c>
      <c r="B2287" s="24" t="inlineStr">
        <is>
          <t>هيتزرا   قرص خوراکي 12.5 mg - کيمياکالاي رازي</t>
        </is>
      </c>
      <c r="C2287" s="25">
        <f>IF(COUNTIF('کدهای پیام‌داروساز'!$A$2:$A$2442,A2287)&gt;0,"بله","خیر")</f>
        <v/>
      </c>
    </row>
    <row r="2288" ht="15" customHeight="1" s="14">
      <c r="A2288" s="24" t="n">
        <v>50267</v>
      </c>
      <c r="B2288" s="24" t="inlineStr">
        <is>
          <t>اتانول   محلول غير قابل مصرف 96 % 2.5 L - پارس الکل</t>
        </is>
      </c>
      <c r="C2288" s="25">
        <f>IF(COUNTIF('کدهای پیام‌داروساز'!$A$2:$A$2442,A2288)&gt;0,"بله","خیر")</f>
        <v/>
      </c>
    </row>
    <row r="2289" ht="15" customHeight="1" s="14">
      <c r="A2289" s="24" t="n">
        <v>50268</v>
      </c>
      <c r="B2289" s="24" t="inlineStr">
        <is>
          <t>اتانول   محلول غير قابل مصرف 96 % 1 L - الين الکل کاسپين</t>
        </is>
      </c>
      <c r="C2289" s="25">
        <f>IF(COUNTIF('کدهای پیام‌داروساز'!$A$2:$A$2442,A2289)&gt;0,"بله","خیر")</f>
        <v/>
      </c>
    </row>
    <row r="2290" ht="15" customHeight="1" s="14">
      <c r="A2290" s="24" t="n">
        <v>50270</v>
      </c>
      <c r="B2290" s="24" t="inlineStr">
        <is>
          <t>اتانول   محلول غير قابل مصرف 70 % 5 L - الين الکل کاسپين</t>
        </is>
      </c>
      <c r="C2290" s="25">
        <f>IF(COUNTIF('کدهای پیام‌داروساز'!$A$2:$A$2442,A2290)&gt;0,"بله","خیر")</f>
        <v/>
      </c>
    </row>
    <row r="2291" ht="15" customHeight="1" s="14">
      <c r="A2291" s="24" t="n">
        <v>50271</v>
      </c>
      <c r="B2291" s="24" t="inlineStr">
        <is>
          <t>اتانول   محلول غير قابل مصرف 99.6 % 2.5 L - پارس الکل</t>
        </is>
      </c>
      <c r="C2291" s="25">
        <f>IF(COUNTIF('کدهای پیام‌داروساز'!$A$2:$A$2442,A2291)&gt;0,"بله","خیر")</f>
        <v/>
      </c>
    </row>
    <row r="2292" ht="15" customHeight="1" s="14">
      <c r="A2292" s="24" t="n">
        <v>50272</v>
      </c>
      <c r="B2292" s="24" t="inlineStr">
        <is>
          <t>اتانول   محلول غير قابل مصرف 99.6 % 1 L - پارس الکل</t>
        </is>
      </c>
      <c r="C2292" s="25">
        <f>IF(COUNTIF('کدهای پیام‌داروساز'!$A$2:$A$2442,A2292)&gt;0,"بله","خیر")</f>
        <v/>
      </c>
    </row>
    <row r="2293" ht="15" customHeight="1" s="14">
      <c r="A2293" s="24" t="n">
        <v>50275</v>
      </c>
      <c r="B2293" s="24" t="inlineStr">
        <is>
          <t>آسمانکس توئيست هالر   اينهالر استنشاقي 200 ug/1{Puff} 30 {Puff} - بهستان دارو</t>
        </is>
      </c>
      <c r="C2293" s="25">
        <f>IF(COUNTIF('کدهای پیام‌داروساز'!$A$2:$A$2442,A2293)&gt;0,"بله","خیر")</f>
        <v/>
      </c>
    </row>
    <row r="2294" ht="15" customHeight="1" s="14">
      <c r="A2294" s="24" t="n">
        <v>50280</v>
      </c>
      <c r="B2294" s="24" t="inlineStr">
        <is>
          <t>افدرين هيدروکلرايد   تزريقي پرنترال 50 mg/1mL 1 mg - رايان دارو ايرانيان</t>
        </is>
      </c>
      <c r="C2294" s="25">
        <f>IF(COUNTIF('کدهای پیام‌داروساز'!$A$2:$A$2442,A2294)&gt;0,"بله","خیر")</f>
        <v/>
      </c>
    </row>
    <row r="2295" ht="15" customHeight="1" s="14">
      <c r="A2295" s="24" t="n">
        <v>50293</v>
      </c>
      <c r="B2295" s="24" t="inlineStr">
        <is>
          <t>آنزاتاکس   تزريقي پرنترال 6 mg/1mL 50 mg - بهستان دارو</t>
        </is>
      </c>
      <c r="C2295" s="25">
        <f>IF(COUNTIF('کدهای پیام‌داروساز'!$A$2:$A$2442,A2295)&gt;0,"بله","خیر")</f>
        <v/>
      </c>
    </row>
    <row r="2296" ht="15" customHeight="1" s="14">
      <c r="A2296" s="24" t="n">
        <v>50294</v>
      </c>
      <c r="B2296" s="24" t="inlineStr">
        <is>
          <t>جمسدال   محلول غليظ تزريقي پرنترال 38 mg/1 mL 5.26 mg - سه دال نانو</t>
        </is>
      </c>
      <c r="C2296" s="25">
        <f>IF(COUNTIF('کدهای پیام‌داروساز'!$A$2:$A$2442,A2296)&gt;0,"بله","خیر")</f>
        <v/>
      </c>
    </row>
    <row r="2297" ht="15" customHeight="1" s="14">
      <c r="A2297" s="24" t="n">
        <v>50295</v>
      </c>
      <c r="B2297" s="24" t="inlineStr">
        <is>
          <t>جمسدال   محلول غليظ تزريقي پرنترال 38 mg/1 mL 26.3 mg - سه دال نانو</t>
        </is>
      </c>
      <c r="C2297" s="25">
        <f>IF(COUNTIF('کدهای پیام‌داروساز'!$A$2:$A$2442,A2297)&gt;0,"بله","خیر")</f>
        <v/>
      </c>
    </row>
    <row r="2298" ht="15" customHeight="1" s="14">
      <c r="A2298" s="24" t="n">
        <v>50297</v>
      </c>
      <c r="B2298" s="24" t="inlineStr">
        <is>
          <t>متوترکسات   تزريقي پرنترال 25 mg/1mL 20 mg - بهستان دارو</t>
        </is>
      </c>
      <c r="C2298" s="25">
        <f>IF(COUNTIF('کدهای پیام‌داروساز'!$A$2:$A$2442,A2298)&gt;0,"بله","خیر")</f>
        <v/>
      </c>
    </row>
    <row r="2299" ht="15" customHeight="1" s="14">
      <c r="A2299" s="24" t="n">
        <v>50327</v>
      </c>
      <c r="B2299" s="24" t="inlineStr">
        <is>
          <t>گوترون   قرص خوراکي 2.5 mg  mg - نوآوران فخر دارو</t>
        </is>
      </c>
      <c r="C2299" s="25">
        <f>IF(COUNTIF('کدهای پیام‌داروساز'!$A$2:$A$2442,A2299)&gt;0,"بله","خیر")</f>
        <v/>
      </c>
    </row>
    <row r="2300" ht="15" customHeight="1" s="14">
      <c r="A2300" s="24" t="n">
        <v>50330</v>
      </c>
      <c r="B2300" s="24" t="inlineStr">
        <is>
          <t>تيناکيد   تزريقي پرنترال 600 ug/1mL 0.2 mL - آريا تينا ژن</t>
        </is>
      </c>
      <c r="C2300" s="25">
        <f>IF(COUNTIF('کدهای پیام‌داروساز'!$A$2:$A$2442,A2300)&gt;0,"بله","خیر")</f>
        <v/>
      </c>
    </row>
    <row r="2301" ht="15" customHeight="1" s="14">
      <c r="A2301" s="24" t="n">
        <v>50332</v>
      </c>
      <c r="B2301" s="24" t="inlineStr">
        <is>
          <t>اسلتاميوير   پودر براي تهيه محلول خوراکي 30 mg/5mL 100 mL - ماه داروي تجهيز</t>
        </is>
      </c>
      <c r="C2301" s="25">
        <f>IF(COUNTIF('کدهای پیام‌داروساز'!$A$2:$A$2442,A2301)&gt;0,"بله","خیر")</f>
        <v/>
      </c>
    </row>
    <row r="2302" ht="15" customHeight="1" s="14">
      <c r="A2302" s="24" t="n">
        <v>50333</v>
      </c>
      <c r="B2302" s="24" t="inlineStr">
        <is>
          <t>داروناوير   قرص خوراکي 150 mg  [Amb'a'1'U] - ماه داروي تجهيز</t>
        </is>
      </c>
      <c r="C2302" s="25">
        <f>IF(COUNTIF('کدهای پیام‌داروساز'!$A$2:$A$2442,A2302)&gt;0,"بله","خیر")</f>
        <v/>
      </c>
    </row>
    <row r="2303" ht="15" customHeight="1" s="14">
      <c r="A2303" s="24" t="n">
        <v>50337</v>
      </c>
      <c r="B2303" s="24" t="inlineStr">
        <is>
          <t>بيوپوليو   محلول خوراکي 20 {dose}  {dose} - پويش درمان راتا</t>
        </is>
      </c>
      <c r="C2303" s="25">
        <f>IF(COUNTIF('کدهای پیام‌داروساز'!$A$2:$A$2442,A2303)&gt;0,"بله","خیر")</f>
        <v/>
      </c>
    </row>
    <row r="2304" ht="15" customHeight="1" s="14">
      <c r="A2304" s="24" t="n">
        <v>50341</v>
      </c>
      <c r="B2304" s="24" t="inlineStr">
        <is>
          <t>ستادين- دي سي   شربت خوراکي 160 mg/1 mg/5 mg/2.5 mg/5mL 120 mL - داروسازي رها اصفهان</t>
        </is>
      </c>
      <c r="C2304" s="25">
        <f>IF(COUNTIF('کدهای پیام‌داروساز'!$A$2:$A$2442,A2304)&gt;0,"بله","خیر")</f>
        <v/>
      </c>
    </row>
    <row r="2305" ht="15" customHeight="1" s="14">
      <c r="A2305" s="24" t="n">
        <v>50342</v>
      </c>
      <c r="B2305" s="24" t="inlineStr">
        <is>
          <t>دي کلد   قرص خوراکي 325 mg/5 mg - داروئي ارايشي وبهداشتي مينو</t>
        </is>
      </c>
      <c r="C2305" s="25">
        <f>IF(COUNTIF('کدهای پیام‌داروساز'!$A$2:$A$2442,A2305)&gt;0,"بله","خیر")</f>
        <v/>
      </c>
    </row>
    <row r="2306" ht="15" customHeight="1" s="14">
      <c r="A2306" s="24" t="n">
        <v>50345</v>
      </c>
      <c r="B2306" s="24" t="inlineStr">
        <is>
          <t>پرگووريس   پودر براي تهيه محلول تزريقي پرنترال 150 [iU]/75 [iU]  ug</t>
        </is>
      </c>
      <c r="C2306" s="25">
        <f>IF(COUNTIF('کدهای پیام‌داروساز'!$A$2:$A$2442,A2306)&gt;0,"بله","خیر")</f>
        <v/>
      </c>
    </row>
    <row r="2307" ht="15" customHeight="1" s="14">
      <c r="A2307" s="24" t="n">
        <v>50346</v>
      </c>
      <c r="B2307" s="24" t="inlineStr">
        <is>
          <t>اليگارد   پودر براي تهيه سوسپانسيون تزريقي پيوسته رهش پرنترال 22.5 mg  mg - بهستان دارو</t>
        </is>
      </c>
      <c r="C2307" s="25">
        <f>IF(COUNTIF('کدهای پیام‌داروساز'!$A$2:$A$2442,A2307)&gt;0,"بله","خیر")</f>
        <v/>
      </c>
    </row>
    <row r="2308" ht="15" customHeight="1" s="14">
      <c r="A2308" s="24" t="n">
        <v>50348</v>
      </c>
      <c r="B2308" s="24" t="inlineStr">
        <is>
          <t>آوي گريپ   قرص خوراکي 650 mg/10 mg/4 mg - داروسازي آوه سينا</t>
        </is>
      </c>
      <c r="C2308" s="25">
        <f>IF(COUNTIF('کدهای پیام‌داروساز'!$A$2:$A$2442,A2308)&gt;0,"بله","خیر")</f>
        <v/>
      </c>
    </row>
    <row r="2309" ht="15" customHeight="1" s="14">
      <c r="A2309" s="24" t="n">
        <v>50357</v>
      </c>
      <c r="B2309" s="24" t="inlineStr">
        <is>
          <t>داکلاتاسوير   قرص خوراکي 30 mg - تامين آوا سلامت</t>
        </is>
      </c>
      <c r="C2309" s="25">
        <f>IF(COUNTIF('کدهای پیام‌داروساز'!$A$2:$A$2442,A2309)&gt;0,"بله","خیر")</f>
        <v/>
      </c>
    </row>
    <row r="2310" ht="15" customHeight="1" s="14">
      <c r="A2310" s="24" t="n">
        <v>50358</v>
      </c>
      <c r="B2310" s="24" t="inlineStr">
        <is>
          <t>داکلاتاسوير   قرص خوراکي 60 mg - تامين آوا سلامت</t>
        </is>
      </c>
      <c r="C2310" s="25">
        <f>IF(COUNTIF('کدهای پیام‌داروساز'!$A$2:$A$2442,A2310)&gt;0,"بله","خیر")</f>
        <v/>
      </c>
    </row>
    <row r="2311" ht="15" customHeight="1" s="14">
      <c r="A2311" s="24" t="n">
        <v>50359</v>
      </c>
      <c r="B2311" s="24" t="inlineStr">
        <is>
          <t>اليمل ان7اي   امولسيون تزريقي داخل وريدي 2000 mL - کار و انديشه</t>
        </is>
      </c>
      <c r="C2311" s="25">
        <f>IF(COUNTIF('کدهای پیام‌داروساز'!$A$2:$A$2442,A2311)&gt;0,"بله","خیر")</f>
        <v/>
      </c>
    </row>
    <row r="2312" ht="15" customHeight="1" s="14">
      <c r="A2312" s="24" t="n">
        <v>50360</v>
      </c>
      <c r="B2312" s="24" t="inlineStr">
        <is>
          <t>اليمل ان9اي   امولسيون تزريقي داخل وريدي 2000 mL - کار و انديشه</t>
        </is>
      </c>
      <c r="C2312" s="25">
        <f>IF(COUNTIF('کدهای پیام‌داروساز'!$A$2:$A$2442,A2312)&gt;0,"بله","خیر")</f>
        <v/>
      </c>
    </row>
    <row r="2313" ht="15" customHeight="1" s="14">
      <c r="A2313" s="24" t="n">
        <v>50366</v>
      </c>
      <c r="B2313" s="24" t="inlineStr">
        <is>
          <t>پري اليمل ان4اي   امولسيون تزريقي داخل وريدي 1500 mL - کار و انديشه</t>
        </is>
      </c>
      <c r="C2313" s="25">
        <f>IF(COUNTIF('کدهای پیام‌داروساز'!$A$2:$A$2442,A2313)&gt;0,"بله","خیر")</f>
        <v/>
      </c>
    </row>
    <row r="2314" ht="15" customHeight="1" s="14">
      <c r="A2314" s="24" t="n">
        <v>50367</v>
      </c>
      <c r="B2314" s="24" t="inlineStr">
        <is>
          <t>پري اليمل ان4اي   امولسيون تزريقي داخل وريدي 2000 mL - کار و انديشه</t>
        </is>
      </c>
      <c r="C2314" s="25">
        <f>IF(COUNTIF('کدهای پیام‌داروساز'!$A$2:$A$2442,A2314)&gt;0,"بله","خیر")</f>
        <v/>
      </c>
    </row>
    <row r="2315" ht="15" customHeight="1" s="14">
      <c r="A2315" s="24" t="n">
        <v>50371</v>
      </c>
      <c r="B2315" s="24" t="inlineStr">
        <is>
          <t>آفتاکوييکس   محلول، قطره چشمي 0.5 % 0.3 mL - راسن درمان</t>
        </is>
      </c>
      <c r="C2315" s="25">
        <f>IF(COUNTIF('کدهای پیام‌داروساز'!$A$2:$A$2442,A2315)&gt;0,"بله","خیر")</f>
        <v/>
      </c>
    </row>
    <row r="2316" ht="15" customHeight="1" s="14">
      <c r="A2316" s="24" t="n">
        <v>50378</v>
      </c>
      <c r="B2316" s="24" t="inlineStr">
        <is>
          <t>ستادين - دي سي شربت 200 ميلي ليتر - رها</t>
        </is>
      </c>
      <c r="C2316" s="25">
        <f>IF(COUNTIF('کدهای پیام‌داروساز'!$A$2:$A$2442,A2316)&gt;0,"بله","خیر")</f>
        <v/>
      </c>
    </row>
    <row r="2317" ht="15" customHeight="1" s="14">
      <c r="A2317" s="24" t="n">
        <v>50382</v>
      </c>
      <c r="B2317" s="24" t="inlineStr">
        <is>
          <t>روپيواکائين کابي   محلول تزريقي پرنترال 2 mg/1 mL 100 mg - درمان ياب دارو</t>
        </is>
      </c>
      <c r="C2317" s="25">
        <f>IF(COUNTIF('کدهای پیام‌داروساز'!$A$2:$A$2442,A2317)&gt;0,"بله","خیر")</f>
        <v/>
      </c>
    </row>
    <row r="2318" ht="15" customHeight="1" s="14">
      <c r="A2318" s="24" t="n">
        <v>50390</v>
      </c>
      <c r="B2318" s="24" t="inlineStr">
        <is>
          <t>ايپراتروپيوم برومايد / سالبوتامول   محلول استنشاقي 200 ug/1 mg/1mL 2.5 mL - داروسازي شهيد قاضي</t>
        </is>
      </c>
      <c r="C2318" s="25">
        <f>IF(COUNTIF('کدهای پیام‌داروساز'!$A$2:$A$2442,A2318)&gt;0,"بله","خیر")</f>
        <v/>
      </c>
    </row>
    <row r="2319" ht="15" customHeight="1" s="14">
      <c r="A2319" s="24" t="n">
        <v>50392</v>
      </c>
      <c r="B2319" s="24" t="inlineStr">
        <is>
          <t>انليدو   کپسول خوراکي 15 mg - اکترو خاورميانه</t>
        </is>
      </c>
      <c r="C2319" s="25">
        <f>IF(COUNTIF('کدهای پیام‌داروساز'!$A$2:$A$2442,A2319)&gt;0,"بله","خیر")</f>
        <v/>
      </c>
    </row>
    <row r="2320" ht="15" customHeight="1" s="14">
      <c r="A2320" s="24" t="n">
        <v>50393</v>
      </c>
      <c r="B2320" s="24" t="inlineStr">
        <is>
          <t>الانزاپين   پودر براي تهيه محلول تزريقي پرنترال 10 mg - نوين دارو پژوه ايرانيان</t>
        </is>
      </c>
      <c r="C2320" s="25">
        <f>IF(COUNTIF('کدهای پیام‌داروساز'!$A$2:$A$2442,A2320)&gt;0,"بله","خیر")</f>
        <v/>
      </c>
    </row>
    <row r="2321" ht="15" customHeight="1" s="14">
      <c r="A2321" s="24" t="n">
        <v>50401</v>
      </c>
      <c r="B2321" s="24" t="inlineStr">
        <is>
          <t>اندورين-آي اچ   قرص خوراکي 2 mg - ايران هورمون</t>
        </is>
      </c>
      <c r="C2321" s="25">
        <f>IF(COUNTIF('کدهای پیام‌داروساز'!$A$2:$A$2442,A2321)&gt;0,"بله","خیر")</f>
        <v/>
      </c>
    </row>
    <row r="2322" ht="15" customHeight="1" s="14">
      <c r="A2322" s="24" t="n">
        <v>50402</v>
      </c>
      <c r="B2322" s="24" t="inlineStr">
        <is>
          <t>فمي مايسين   کرم واژينال 2 %/2 % 30 g - داروسازي توليد دارو</t>
        </is>
      </c>
      <c r="C2322" s="25">
        <f>IF(COUNTIF('کدهای پیام‌داروساز'!$A$2:$A$2442,A2322)&gt;0,"بله","خیر")</f>
        <v/>
      </c>
    </row>
    <row r="2323" ht="15" customHeight="1" s="14">
      <c r="A2323" s="24" t="n">
        <v>50404</v>
      </c>
      <c r="B2323" s="24" t="inlineStr">
        <is>
          <t>پانفورت   کپسول (پلت هاي انتريک کوتد) خوراکي 10000 [iU] - آرين سلامت سينا</t>
        </is>
      </c>
      <c r="C2323" s="25">
        <f>IF(COUNTIF('کدهای پیام‌داروساز'!$A$2:$A$2442,A2323)&gt;0,"بله","خیر")</f>
        <v/>
      </c>
    </row>
    <row r="2324" ht="15" customHeight="1" s="14">
      <c r="A2324" s="24" t="n">
        <v>50415</v>
      </c>
      <c r="B2324" s="24" t="inlineStr">
        <is>
          <t>واکسن زنده تخفيف حدت يافته سرخک، اوريون و سرخجه   پودر لئوفيليزه براي تهيه محلول تزريقي پرنترال 5 {dose} 2.5 {dose} - موسسه تحقيقات واکسن وسرم سازي رازي</t>
        </is>
      </c>
      <c r="C2324" s="25">
        <f>IF(COUNTIF('کدهای پیام‌داروساز'!$A$2:$A$2442,A2324)&gt;0,"بله","خیر")</f>
        <v/>
      </c>
    </row>
    <row r="2325" ht="15" customHeight="1" s="14">
      <c r="A2325" s="24" t="n">
        <v>50423</v>
      </c>
      <c r="B2325" s="24" t="inlineStr">
        <is>
          <t>آکسوتروپ   تزريقي پرنترال 20 [iU]/1mL 1.5 mg - آريوژن فارمد</t>
        </is>
      </c>
      <c r="C2325" s="25">
        <f>IF(COUNTIF('کدهای پیام‌داروساز'!$A$2:$A$2442,A2325)&gt;0,"بله","خیر")</f>
        <v/>
      </c>
    </row>
    <row r="2326" ht="15" customHeight="1" s="14">
      <c r="A2326" s="24" t="n">
        <v>50426</v>
      </c>
      <c r="B2326" s="24" t="inlineStr">
        <is>
          <t>اينتسا   کپسول پيوسته رهش خوراکي 500 mg - دارو سازي آنوشا</t>
        </is>
      </c>
      <c r="C2326" s="25">
        <f>IF(COUNTIF('کدهای پیام‌داروساز'!$A$2:$A$2442,A2326)&gt;0,"بله","خیر")</f>
        <v/>
      </c>
    </row>
    <row r="2327" ht="15" customHeight="1" s="14">
      <c r="A2327" s="24" t="n">
        <v>50429</v>
      </c>
      <c r="B2327" s="24" t="inlineStr">
        <is>
          <t>آرتلاک   محلول چشمي 3.2 mg/1mL 0.5 mg</t>
        </is>
      </c>
      <c r="C2327" s="25">
        <f>IF(COUNTIF('کدهای پیام‌داروساز'!$A$2:$A$2442,A2327)&gt;0,"بله","خیر")</f>
        <v/>
      </c>
    </row>
    <row r="2328" ht="15" customHeight="1" s="14">
      <c r="A2328" s="24" t="n">
        <v>50433</v>
      </c>
      <c r="B2328" s="24" t="inlineStr">
        <is>
          <t>پرومتازين   تزريقي پرنترال 25 mg/1mL 2 mL - البرز دارو</t>
        </is>
      </c>
      <c r="C2328" s="25">
        <f>IF(COUNTIF('کدهای پیام‌داروساز'!$A$2:$A$2442,A2328)&gt;0,"بله","خیر")</f>
        <v/>
      </c>
    </row>
    <row r="2329" ht="15" customHeight="1" s="14">
      <c r="A2329" s="24" t="n">
        <v>50438</v>
      </c>
      <c r="B2329" s="24" t="inlineStr">
        <is>
          <t>آوي دفرون   قرص جوشان خوراکي 500 mg - داروسازي آوه سينا</t>
        </is>
      </c>
      <c r="C2329" s="25">
        <f>IF(COUNTIF('کدهای پیام‌داروساز'!$A$2:$A$2442,A2329)&gt;0,"بله","خیر")</f>
        <v/>
      </c>
    </row>
    <row r="2330" ht="15" customHeight="1" s="14">
      <c r="A2330" s="24" t="n">
        <v>50460</v>
      </c>
      <c r="B2330" s="24" t="inlineStr">
        <is>
          <t>امني اسکن   تزريقي پرنترال 287 mg/1mL 10 g - اهران تجارت</t>
        </is>
      </c>
      <c r="C2330" s="25">
        <f>IF(COUNTIF('کدهای پیام‌داروساز'!$A$2:$A$2442,A2330)&gt;0,"بله","خیر")</f>
        <v/>
      </c>
    </row>
    <row r="2331" ht="15" customHeight="1" s="14">
      <c r="A2331" s="24" t="n">
        <v>50461</v>
      </c>
      <c r="B2331" s="24" t="inlineStr">
        <is>
          <t>امني اسکن   تزريقي پرنترال 287 mg/1mL 20 g - اهران تجارت</t>
        </is>
      </c>
      <c r="C2331" s="25">
        <f>IF(COUNTIF('کدهای پیام‌داروساز'!$A$2:$A$2442,A2331)&gt;0,"بله","خیر")</f>
        <v/>
      </c>
    </row>
    <row r="2332" ht="15" customHeight="1" s="14">
      <c r="A2332" s="24" t="n">
        <v>50464</v>
      </c>
      <c r="B2332" s="24" t="inlineStr">
        <is>
          <t>آرا-سل   محلول تزريقي پرنترال 50 mg/1mL 20 mg - وليان دارو</t>
        </is>
      </c>
      <c r="C2332" s="25">
        <f>IF(COUNTIF('کدهای پیام‌داروساز'!$A$2:$A$2442,A2332)&gt;0,"بله","خیر")</f>
        <v/>
      </c>
    </row>
    <row r="2333" ht="15" customHeight="1" s="14">
      <c r="A2333" s="24" t="n">
        <v>50472</v>
      </c>
      <c r="B2333" s="24" t="inlineStr">
        <is>
          <t>کوزي   محلول تزريقي پرنترال 5 mg/1mL 100 mg - استراژن دارو</t>
        </is>
      </c>
      <c r="C2333" s="25">
        <f>IF(COUNTIF('کدهای پیام‌داروساز'!$A$2:$A$2442,A2333)&gt;0,"بله","خیر")</f>
        <v/>
      </c>
    </row>
    <row r="2334" ht="15" customHeight="1" s="14">
      <c r="A2334" s="24" t="n">
        <v>50473</v>
      </c>
      <c r="B2334" s="24" t="inlineStr">
        <is>
          <t>نويراپين   سوسپانسيون خوراکي 50 mg/5mL 100 [Amb'a'1'U] - ماه داروي تجهيز</t>
        </is>
      </c>
      <c r="C2334" s="25">
        <f>IF(COUNTIF('کدهای پیام‌داروساز'!$A$2:$A$2442,A2334)&gt;0,"بله","خیر")</f>
        <v/>
      </c>
    </row>
    <row r="2335" ht="15" customHeight="1" s="14">
      <c r="A2335" s="24" t="n">
        <v>50485</v>
      </c>
      <c r="B2335" s="24" t="inlineStr">
        <is>
          <t>فيبرووين   تزريقي پرنترال 0.2 % 5 mg - سينا پيشگام دارو نوين</t>
        </is>
      </c>
      <c r="C2335" s="25">
        <f>IF(COUNTIF('کدهای پیام‌داروساز'!$A$2:$A$2442,A2335)&gt;0,"بله","خیر")</f>
        <v/>
      </c>
    </row>
    <row r="2336" ht="15" customHeight="1" s="14">
      <c r="A2336" s="24" t="n">
        <v>50494</v>
      </c>
      <c r="B2336" s="24" t="inlineStr">
        <is>
          <t>پتاسيم کلرايد   محلول غليظ تزريقي داخل وريدي 1 meq/1mL 50 mL - داروسازي ابوريحان</t>
        </is>
      </c>
      <c r="C2336" s="25">
        <f>IF(COUNTIF('کدهای پیام‌داروساز'!$A$2:$A$2442,A2336)&gt;0,"بله","خیر")</f>
        <v/>
      </c>
    </row>
    <row r="2337" ht="15" customHeight="1" s="14">
      <c r="A2337" s="24" t="n">
        <v>50505</v>
      </c>
      <c r="B2337" s="24" t="inlineStr">
        <is>
          <t>آيوپرومايد   تزريقي پرنترال 370 mg/1mL 20 mL - هيراد فارمد</t>
        </is>
      </c>
      <c r="C2337" s="25">
        <f>IF(COUNTIF('کدهای پیام‌داروساز'!$A$2:$A$2442,A2337)&gt;0,"بله","خیر")</f>
        <v/>
      </c>
    </row>
    <row r="2338" ht="15" customHeight="1" s="14">
      <c r="A2338" s="24" t="n">
        <v>50510</v>
      </c>
      <c r="B2338" s="24" t="inlineStr">
        <is>
          <t>مپاکائين   تزريقي پرنترال 3 % 1.7 mL - تچرا دارو</t>
        </is>
      </c>
      <c r="C2338" s="25">
        <f>IF(COUNTIF('کدهای پیام‌داروساز'!$A$2:$A$2442,A2338)&gt;0,"بله","خیر")</f>
        <v/>
      </c>
    </row>
    <row r="2339" ht="15" customHeight="1" s="14">
      <c r="A2339" s="24" t="n">
        <v>50528</v>
      </c>
      <c r="B2339" s="24" t="inlineStr">
        <is>
          <t>فلويموسيل   محلول استنشاقي 100 mg/1mL 3 mg - درمان ياب آنا</t>
        </is>
      </c>
      <c r="C2339" s="25">
        <f>IF(COUNTIF('کدهای پیام‌داروساز'!$A$2:$A$2442,A2339)&gt;0,"بله","خیر")</f>
        <v/>
      </c>
    </row>
    <row r="2340" ht="15" customHeight="1" s="14">
      <c r="A2340" s="24" t="n">
        <v>50539</v>
      </c>
      <c r="B2340" s="24" t="inlineStr">
        <is>
          <t>ادواگرف   کپسول پيوسته رهش خوراکي 3 mg - بهستان دارو</t>
        </is>
      </c>
      <c r="C2340" s="25">
        <f>IF(COUNTIF('کدهای پیام‌داروساز'!$A$2:$A$2442,A2340)&gt;0,"بله","خیر")</f>
        <v/>
      </c>
    </row>
    <row r="2341" ht="15" customHeight="1" s="14">
      <c r="A2341" s="24" t="n">
        <v>50541</v>
      </c>
      <c r="B2341" s="24" t="inlineStr">
        <is>
          <t>اليگارد   پودر براي تهيه سوسپانسيون تزريقي پيوسته رهش پرنترال 45 mg  mg - بهستان دارو</t>
        </is>
      </c>
      <c r="C2341" s="25">
        <f>IF(COUNTIF('کدهای پیام‌داروساز'!$A$2:$A$2442,A2341)&gt;0,"بله","خیر")</f>
        <v/>
      </c>
    </row>
    <row r="2342" ht="15" customHeight="1" s="14">
      <c r="A2342" s="24" t="n">
        <v>50563</v>
      </c>
      <c r="B2342" s="24" t="inlineStr">
        <is>
          <t>زاوي کلد   کپسول حاوي مايع خوراکي 15 mg/2 mg/5 mg/325 mg - داروسازي زهراوي</t>
        </is>
      </c>
      <c r="C2342" s="25">
        <f>IF(COUNTIF('کدهای پیام‌داروساز'!$A$2:$A$2442,A2342)&gt;0,"بله","خیر")</f>
        <v/>
      </c>
    </row>
    <row r="2343" ht="15" customHeight="1" s="14">
      <c r="A2343" s="24" t="n">
        <v>50564</v>
      </c>
      <c r="B2343" s="24" t="inlineStr">
        <is>
          <t>سافت کلد روز و شب   کپسول حاوي مايع خوراکي 15 mg/2 mg/5 mg/500 mg - داروسازي جابرابن حيان</t>
        </is>
      </c>
      <c r="C2343" s="25">
        <f>IF(COUNTIF('کدهای پیام‌داروساز'!$A$2:$A$2442,A2343)&gt;0,"بله","خیر")</f>
        <v/>
      </c>
    </row>
    <row r="2344" ht="15" customHeight="1" s="14">
      <c r="A2344" s="24" t="n">
        <v>50570</v>
      </c>
      <c r="B2344" s="24" t="inlineStr">
        <is>
          <t>نيتروس اکسايد   گاز استنشاقي  25 kg - توليد گاز بيهوشي شمال</t>
        </is>
      </c>
      <c r="C2344" s="25">
        <f>IF(COUNTIF('کدهای پیام‌داروساز'!$A$2:$A$2442,A2344)&gt;0,"بله","خیر")</f>
        <v/>
      </c>
    </row>
    <row r="2345" ht="15" customHeight="1" s="14">
      <c r="A2345" s="24" t="n">
        <v>50575</v>
      </c>
      <c r="B2345" s="24" t="inlineStr">
        <is>
          <t>انسولين آسپارت   سوسپانسيون تزريقي پرنترال 100 [iU]/1mL 3 [iU]</t>
        </is>
      </c>
      <c r="C2345" s="25">
        <f>IF(COUNTIF('کدهای پیام‌داروساز'!$A$2:$A$2442,A2345)&gt;0,"بله","خیر")</f>
        <v/>
      </c>
    </row>
    <row r="2346" ht="15" customHeight="1" s="14">
      <c r="A2346" s="24" t="n">
        <v>50580</v>
      </c>
      <c r="B2346" s="24" t="inlineStr">
        <is>
          <t>داکوژل   کپسول حاوي مايع خوراکي 10 mg/2 mg/5 mg/500 mg - داروئي ارايشي وبهداشتي مينو</t>
        </is>
      </c>
      <c r="C2346" s="25">
        <f>IF(COUNTIF('کدهای پیام‌داروساز'!$A$2:$A$2442,A2346)&gt;0,"بله","خیر")</f>
        <v/>
      </c>
    </row>
    <row r="2347" ht="15" customHeight="1" s="14">
      <c r="A2347" s="24" t="n">
        <v>50593</v>
      </c>
      <c r="B2347" s="24" t="inlineStr">
        <is>
          <t>نيتروس اکسايد   گاز استنشاقي  7 kg - توليد گاز بيهوشي شمال</t>
        </is>
      </c>
      <c r="C2347" s="25">
        <f>IF(COUNTIF('کدهای پیام‌داروساز'!$A$2:$A$2442,A2347)&gt;0,"بله","خیر")</f>
        <v/>
      </c>
    </row>
    <row r="2348" ht="15" customHeight="1" s="14">
      <c r="A2348" s="24" t="n">
        <v>50594</v>
      </c>
      <c r="B2348" s="24" t="inlineStr">
        <is>
          <t>نيتروس اکسايد   گاز استنشاقي  20 kg - توليد گاز بيهوشي شمال</t>
        </is>
      </c>
      <c r="C2348" s="25">
        <f>IF(COUNTIF('کدهای پیام‌داروساز'!$A$2:$A$2442,A2348)&gt;0,"بله","خیر")</f>
        <v/>
      </c>
    </row>
    <row r="2349" ht="15" customHeight="1" s="14">
      <c r="A2349" s="24" t="n">
        <v>50610</v>
      </c>
      <c r="B2349" s="24" t="inlineStr">
        <is>
          <t>دوپينال   تزريقي (ليپوزومال) پرنترال 2 mg/1mL 10 mg - نانو فناوران داروئي الوند</t>
        </is>
      </c>
      <c r="C2349" s="25">
        <f>IF(COUNTIF('کدهای پیام‌داروساز'!$A$2:$A$2442,A2349)&gt;0,"بله","خیر")</f>
        <v/>
      </c>
    </row>
    <row r="2350" ht="15" customHeight="1" s="14">
      <c r="A2350" s="24" t="n">
        <v>50615</v>
      </c>
      <c r="B2350" s="24" t="inlineStr">
        <is>
          <t>آرتسونيت   شياف مقعدي 50 mg - اريکه تجارت ويستا</t>
        </is>
      </c>
      <c r="C2350" s="25">
        <f>IF(COUNTIF('کدهای پیام‌داروساز'!$A$2:$A$2442,A2350)&gt;0,"بله","خیر")</f>
        <v/>
      </c>
    </row>
    <row r="2351" ht="15" customHeight="1" s="14">
      <c r="A2351" s="24" t="n">
        <v>50618</v>
      </c>
      <c r="B2351" s="24" t="inlineStr">
        <is>
          <t>کين هيدرات   اسپري خوراکي  40 mL - داروئي بهداشتي ليوار</t>
        </is>
      </c>
      <c r="C2351" s="25">
        <f>IF(COUNTIF('کدهای پیام‌داروساز'!$A$2:$A$2442,A2351)&gt;0,"بله","خیر")</f>
        <v/>
      </c>
    </row>
    <row r="2352" ht="15" customHeight="1" s="14">
      <c r="A2352" s="24" t="n">
        <v>50622</v>
      </c>
      <c r="B2352" s="24" t="inlineStr">
        <is>
          <t>آ اس آ   قرص انتريک کوتد خوراکي 81 mg - داروسازي جالينوس</t>
        </is>
      </c>
      <c r="C2352" s="25">
        <f>IF(COUNTIF('کدهای پیام‌داروساز'!$A$2:$A$2442,A2352)&gt;0,"بله","خیر")</f>
        <v/>
      </c>
    </row>
    <row r="2353" ht="15" customHeight="1" s="14">
      <c r="A2353" s="24" t="n">
        <v>50624</v>
      </c>
      <c r="B2353" s="24" t="inlineStr">
        <is>
          <t>آميتزو   پودر لئوفيليزه براي تهيه محلول تزريقي داخل وريدي 100 mg  mg - نانو فناوران داروئي الوند</t>
        </is>
      </c>
      <c r="C2353" s="25">
        <f>IF(COUNTIF('کدهای پیام‌داروساز'!$A$2:$A$2442,A2353)&gt;0,"بله","خیر")</f>
        <v/>
      </c>
    </row>
    <row r="2354" ht="15" customHeight="1" s="14">
      <c r="A2354" s="24" t="n">
        <v>50627</v>
      </c>
      <c r="B2354" s="24" t="inlineStr">
        <is>
          <t>زابوت- آ   تزريقي پرنترال 5000 [iU]/1mL 10 [iU] - داروسازي مصون دارو</t>
        </is>
      </c>
      <c r="C2354" s="25">
        <f>IF(COUNTIF('کدهای پیام‌داروساز'!$A$2:$A$2442,A2354)&gt;0,"بله","خیر")</f>
        <v/>
      </c>
    </row>
    <row r="2355" ht="15" customHeight="1" s="14">
      <c r="A2355" s="24" t="n">
        <v>50628</v>
      </c>
      <c r="B2355" s="24" t="inlineStr">
        <is>
          <t>آساور (آ اس آ) 81 م گ قرص - اکتوورکو</t>
        </is>
      </c>
      <c r="C2355" s="25">
        <f>IF(COUNTIF('کدهای پیام‌داروساز'!$A$2:$A$2442,A2355)&gt;0,"بله","خیر")</f>
        <v/>
      </c>
    </row>
    <row r="2356" ht="15" customHeight="1" s="14">
      <c r="A2356" s="24" t="n">
        <v>50635</v>
      </c>
      <c r="B2356" s="24" t="inlineStr">
        <is>
          <t>پلي پيل-وي (استيل ساليسيليک اسيد/آتورواستاتين/هيدروکلروتيازيد/والسارتان) قرص - البرز دارو</t>
        </is>
      </c>
      <c r="C2356" s="25">
        <f>IF(COUNTIF('کدهای پیام‌داروساز'!$A$2:$A$2442,A2356)&gt;0,"بله","خیر")</f>
        <v/>
      </c>
    </row>
    <row r="2357" ht="15" customHeight="1" s="14">
      <c r="A2357" s="24" t="n">
        <v>50640</v>
      </c>
      <c r="B2357" s="24" t="inlineStr">
        <is>
          <t>آلداپوکس   قرص خوراکي 30 mg - البرز دارو</t>
        </is>
      </c>
      <c r="C2357" s="25">
        <f>IF(COUNTIF('کدهای پیام‌داروساز'!$A$2:$A$2442,A2357)&gt;0,"بله","خیر")</f>
        <v/>
      </c>
    </row>
    <row r="2358" ht="15" customHeight="1" s="14">
      <c r="A2358" s="24" t="n">
        <v>50642</v>
      </c>
      <c r="B2358" s="24" t="inlineStr">
        <is>
          <t>ناتريپيک   محلول، قطره چشمي 5 % 0.5 mL - فرآورده هاي تزريقي و دارويي ايران</t>
        </is>
      </c>
      <c r="C2358" s="25">
        <f>IF(COUNTIF('کدهای پیام‌داروساز'!$A$2:$A$2442,A2358)&gt;0,"بله","خیر")</f>
        <v/>
      </c>
    </row>
    <row r="2359" ht="15" customHeight="1" s="14">
      <c r="A2359" s="24" t="n">
        <v>50647</v>
      </c>
      <c r="B2359" s="24" t="inlineStr">
        <is>
          <t>اسنو تيرز   محلول، قطره چشمي 14 mg/1mL 10 mg</t>
        </is>
      </c>
      <c r="C2359" s="25">
        <f>IF(COUNTIF('کدهای پیام‌داروساز'!$A$2:$A$2442,A2359)&gt;0,"بله","خیر")</f>
        <v/>
      </c>
    </row>
    <row r="2360" ht="15" customHeight="1" s="14">
      <c r="A2360" s="24" t="n">
        <v>50684</v>
      </c>
      <c r="B2360" s="24" t="inlineStr">
        <is>
          <t>استيمديت   قرص پيوسته رهش خوراکي 18 mg - مهردارو</t>
        </is>
      </c>
      <c r="C2360" s="25">
        <f>IF(COUNTIF('کدهای پیام‌داروساز'!$A$2:$A$2442,A2360)&gt;0,"بله","خیر")</f>
        <v/>
      </c>
    </row>
    <row r="2361" ht="15" customHeight="1" s="14">
      <c r="A2361" s="24" t="n">
        <v>50685</v>
      </c>
      <c r="B2361" s="24" t="inlineStr">
        <is>
          <t>ريتافن   قرص پيوسته رهش خوراکي 36 mg</t>
        </is>
      </c>
      <c r="C2361" s="25">
        <f>IF(COUNTIF('کدهای پیام‌داروساز'!$A$2:$A$2442,A2361)&gt;0,"بله","خیر")</f>
        <v/>
      </c>
    </row>
    <row r="2362" ht="15" customHeight="1" s="14">
      <c r="A2362" s="24" t="n">
        <v>50686</v>
      </c>
      <c r="B2362" s="24" t="inlineStr">
        <is>
          <t>ريتافن   قرص پيوسته رهش خوراکي 54 mg - داروسازي جالينوس</t>
        </is>
      </c>
      <c r="C2362" s="25">
        <f>IF(COUNTIF('کدهای پیام‌داروساز'!$A$2:$A$2442,A2362)&gt;0,"بله","خیر")</f>
        <v/>
      </c>
    </row>
    <row r="2363" ht="15" customHeight="1" s="14">
      <c r="A2363" s="24" t="n">
        <v>50694</v>
      </c>
      <c r="B2363" s="24" t="inlineStr">
        <is>
          <t>کاتاکول کوليره   محلول، قطره چشمي 0.1 % 10 [Amb'a'1'U] - فوريتهاي سينا آرات گستر</t>
        </is>
      </c>
      <c r="C2363" s="25">
        <f>IF(COUNTIF('کدهای پیام‌داروساز'!$A$2:$A$2442,A2363)&gt;0,"بله","خیر")</f>
        <v/>
      </c>
    </row>
    <row r="2364" ht="15" customHeight="1" s="14">
      <c r="A2364" s="24" t="n">
        <v>50695</v>
      </c>
      <c r="B2364" s="24" t="inlineStr">
        <is>
          <t>فم   پچ از راه پوستي 1.5 mg/0.525 mg/15cm2  [Amb'a'1'U] - فوريتهاي سينا آرات گستر</t>
        </is>
      </c>
      <c r="C2364" s="25">
        <f>IF(COUNTIF('کدهای پیام‌داروساز'!$A$2:$A$2442,A2364)&gt;0,"بله","خیر")</f>
        <v/>
      </c>
    </row>
    <row r="2365" ht="15" customHeight="1" s="14">
      <c r="A2365" s="24" t="n">
        <v>50701</v>
      </c>
      <c r="B2365" s="24" t="inlineStr">
        <is>
          <t>رپاتا   تزريقي پرنترال 140 mg/1mL 1 [Amb'a'1'U] - فوريتهاي سينا آرات گستر</t>
        </is>
      </c>
      <c r="C2365" s="25">
        <f>IF(COUNTIF('کدهای پیام‌داروساز'!$A$2:$A$2442,A2365)&gt;0,"بله","خیر")</f>
        <v/>
      </c>
    </row>
    <row r="2366" ht="15" customHeight="1" s="14">
      <c r="A2366" s="24" t="n">
        <v>50702</v>
      </c>
      <c r="B2366" s="24" t="inlineStr">
        <is>
          <t>آرترستان   قرص خوراکي 24 mg/26 mg - آرنا حيات دانش</t>
        </is>
      </c>
      <c r="C2366" s="25">
        <f>IF(COUNTIF('کدهای پیام‌داروساز'!$A$2:$A$2442,A2366)&gt;0,"بله","خیر")</f>
        <v/>
      </c>
    </row>
    <row r="2367" ht="15" customHeight="1" s="14">
      <c r="A2367" s="24" t="n">
        <v>50710</v>
      </c>
      <c r="B2367" s="24" t="inlineStr">
        <is>
          <t>سل سپت   پودر براي تهيه سوسپانسيون   خوراکي 1 g/5mL 110 mg - بازرگاني سها کيش</t>
        </is>
      </c>
      <c r="C2367" s="25">
        <f>IF(COUNTIF('کدهای پیام‌داروساز'!$A$2:$A$2442,A2367)&gt;0,"بله","خیر")</f>
        <v/>
      </c>
    </row>
    <row r="2368" ht="15" customHeight="1" s="14">
      <c r="A2368" s="24" t="n">
        <v>50711</v>
      </c>
      <c r="B2368" s="24" t="inlineStr">
        <is>
          <t>آلپامونت   قرص خوراکي 5 mg - کوبل دارو</t>
        </is>
      </c>
      <c r="C2368" s="25">
        <f>IF(COUNTIF('کدهای پیام‌داروساز'!$A$2:$A$2442,A2368)&gt;0,"بله","خیر")</f>
        <v/>
      </c>
    </row>
    <row r="2369" ht="15" customHeight="1" s="14">
      <c r="A2369" s="24" t="n">
        <v>50712</v>
      </c>
      <c r="B2369" s="24" t="inlineStr">
        <is>
          <t>آي برنس   کپسول خوراکي 125 mg  [Amb'a'1'U] - فوريتهاي سينا آرات گستر</t>
        </is>
      </c>
      <c r="C2369" s="25">
        <f>IF(COUNTIF('کدهای پیام‌داروساز'!$A$2:$A$2442,A2369)&gt;0,"بله","خیر")</f>
        <v/>
      </c>
    </row>
    <row r="2370" ht="15" customHeight="1" s="14">
      <c r="A2370" s="24" t="n">
        <v>50720</v>
      </c>
      <c r="B2370" s="24" t="inlineStr">
        <is>
          <t>الونوا   محلول تزريقي پرنترال 300 ug/1mL 0.5 mg - بهستان دارو</t>
        </is>
      </c>
      <c r="C2370" s="25">
        <f>IF(COUNTIF('کدهای پیام‌داروساز'!$A$2:$A$2442,A2370)&gt;0,"بله","خیر")</f>
        <v/>
      </c>
    </row>
    <row r="2371" ht="15" customHeight="1" s="14">
      <c r="A2371" s="24" t="n">
        <v>50722</v>
      </c>
      <c r="B2371" s="24" t="inlineStr">
        <is>
          <t>پوساکونازول   سوسپانسيون خوراکي 40 mg/1mL 105 mL - مدلينک</t>
        </is>
      </c>
      <c r="C2371" s="25">
        <f>IF(COUNTIF('کدهای پیام‌داروساز'!$A$2:$A$2442,A2371)&gt;0,"بله","خیر")</f>
        <v/>
      </c>
    </row>
    <row r="2372" ht="15" customHeight="1" s="14">
      <c r="A2372" s="24" t="n">
        <v>50727</v>
      </c>
      <c r="B2372" s="24" t="inlineStr">
        <is>
          <t>آمي سولپرايد   قرص خوراکي 400 mg - بازرگاني سها کيش</t>
        </is>
      </c>
      <c r="C2372" s="25">
        <f>IF(COUNTIF('کدهای پیام‌داروساز'!$A$2:$A$2442,A2372)&gt;0,"بله","خیر")</f>
        <v/>
      </c>
    </row>
    <row r="2373" ht="15" customHeight="1" s="14">
      <c r="A2373" s="24" t="n">
        <v>50751</v>
      </c>
      <c r="B2373" s="24" t="inlineStr">
        <is>
          <t>اسبريت   کپسول خوراکي 267 mg - بازرگاني سها کيش</t>
        </is>
      </c>
      <c r="C2373" s="25">
        <f>IF(COUNTIF('کدهای پیام‌داروساز'!$A$2:$A$2442,A2373)&gt;0,"بله","خیر")</f>
        <v/>
      </c>
    </row>
    <row r="2374" ht="15" customHeight="1" s="14">
      <c r="A2374" s="24" t="n">
        <v>50757</v>
      </c>
      <c r="B2374" s="24" t="inlineStr">
        <is>
          <t>نئوپرو   پچ از راه پوستي 13.5 mg/30cm2  [Amb'a'1'U] - فوريتهاي سينا آرات گستر</t>
        </is>
      </c>
      <c r="C2374" s="25">
        <f>IF(COUNTIF('کدهای پیام‌داروساز'!$A$2:$A$2442,A2374)&gt;0,"بله","خیر")</f>
        <v/>
      </c>
    </row>
    <row r="2375" ht="15" customHeight="1" s="14">
      <c r="A2375" s="24" t="n">
        <v>50758</v>
      </c>
      <c r="B2375" s="24" t="inlineStr">
        <is>
          <t>لنتريس   کپسول خوراکي 10 mg - رايان دارو ايرانيان</t>
        </is>
      </c>
      <c r="C2375" s="25">
        <f>IF(COUNTIF('کدهای پیام‌داروساز'!$A$2:$A$2442,A2375)&gt;0,"بله","خیر")</f>
        <v/>
      </c>
    </row>
    <row r="2376" ht="15" customHeight="1" s="14">
      <c r="A2376" s="24" t="n">
        <v>50760</v>
      </c>
      <c r="B2376" s="24" t="inlineStr">
        <is>
          <t>کاتيونورم ام دي   محلول، قطره چشمي /1mL 10 mL - بازرگاني سها کيش</t>
        </is>
      </c>
      <c r="C2376" s="25">
        <f>IF(COUNTIF('کدهای پیام‌داروساز'!$A$2:$A$2442,A2376)&gt;0,"بله","خیر")</f>
        <v/>
      </c>
    </row>
    <row r="2377" ht="15" customHeight="1" s="14">
      <c r="A2377" s="24" t="n">
        <v>50765</v>
      </c>
      <c r="B2377" s="24" t="inlineStr">
        <is>
          <t>نوکالا   پودر براي تهيه محلول تزريقي پرنترال 100 mg  mg - کي بي سي</t>
        </is>
      </c>
      <c r="C2377" s="25">
        <f>IF(COUNTIF('کدهای پیام‌داروساز'!$A$2:$A$2442,A2377)&gt;0,"بله","خیر")</f>
        <v/>
      </c>
    </row>
    <row r="2378" ht="15" customHeight="1" s="14">
      <c r="A2378" s="24" t="n">
        <v>50769</v>
      </c>
      <c r="B2378" s="24" t="inlineStr">
        <is>
          <t>ايبروتينيب آکويدا   کپسول خوراکي 140 mg - رويان آکويدا</t>
        </is>
      </c>
      <c r="C2378" s="25">
        <f>IF(COUNTIF('کدهای پیام‌داروساز'!$A$2:$A$2442,A2378)&gt;0,"بله","خیر")</f>
        <v/>
      </c>
    </row>
    <row r="2379" ht="15" customHeight="1" s="14">
      <c r="A2379" s="24" t="n">
        <v>50771</v>
      </c>
      <c r="B2379" s="24" t="inlineStr">
        <is>
          <t>فامپيرا   قرص خوراکي 10 mg  [Amb'a'1'U] - فوريتهاي سينا آرات گستر</t>
        </is>
      </c>
      <c r="C2379" s="25">
        <f>IF(COUNTIF('کدهای پیام‌داروساز'!$A$2:$A$2442,A2379)&gt;0,"بله","خیر")</f>
        <v/>
      </c>
    </row>
    <row r="2380" ht="15" customHeight="1" s="14">
      <c r="A2380" s="24" t="n">
        <v>50772</v>
      </c>
      <c r="B2380" s="24" t="inlineStr">
        <is>
          <t>تارگرتين   ژل موضعي 1 % 60 g - فوريتهاي سينا آرات گستر</t>
        </is>
      </c>
      <c r="C2380" s="25">
        <f>IF(COUNTIF('کدهای پیام‌داروساز'!$A$2:$A$2442,A2380)&gt;0,"بله","خیر")</f>
        <v/>
      </c>
    </row>
    <row r="2381" ht="15" customHeight="1" s="14">
      <c r="A2381" s="24" t="n">
        <v>50776</v>
      </c>
      <c r="B2381" s="24" t="inlineStr">
        <is>
          <t>ولسايت   پودر براي تهيه محلول خوراکي 50 mg/1mL 12 g - کوبل دارو</t>
        </is>
      </c>
      <c r="C2381" s="25">
        <f>IF(COUNTIF('کدهای پیام‌داروساز'!$A$2:$A$2442,A2381)&gt;0,"بله","خیر")</f>
        <v/>
      </c>
    </row>
    <row r="2382" ht="15" customHeight="1" s="14">
      <c r="A2382" s="24" t="n">
        <v>50821</v>
      </c>
      <c r="B2382" s="24" t="inlineStr">
        <is>
          <t>پيورگون   محلول تزريقي پرنترال 833 [iU]/1mL 0.36 [iU] - بهستان دارو</t>
        </is>
      </c>
      <c r="C2382" s="25">
        <f>IF(COUNTIF('کدهای پیام‌داروساز'!$A$2:$A$2442,A2382)&gt;0,"بله","خیر")</f>
        <v/>
      </c>
    </row>
    <row r="2383" ht="15" customHeight="1" s="14">
      <c r="A2383" s="24" t="n">
        <v>50822</v>
      </c>
      <c r="B2383" s="24" t="inlineStr">
        <is>
          <t>پيورگون   محلول تزريقي پرنترال 833 [iU]/1mL 0.72 [iU] - بهستان دارو</t>
        </is>
      </c>
      <c r="C2383" s="25">
        <f>IF(COUNTIF('کدهای پیام‌داروساز'!$A$2:$A$2442,A2383)&gt;0,"بله","خیر")</f>
        <v/>
      </c>
    </row>
    <row r="2384" ht="15" customHeight="1" s="14">
      <c r="A2384" s="24" t="n">
        <v>50823</v>
      </c>
      <c r="B2384" s="24" t="inlineStr">
        <is>
          <t>پيورگون   محلول تزريقي پرنترال 833 [iU]/1mL 1.08 [iU] - بهستان دارو</t>
        </is>
      </c>
      <c r="C2384" s="25">
        <f>IF(COUNTIF('کدهای پیام‌داروساز'!$A$2:$A$2442,A2384)&gt;0,"بله","خیر")</f>
        <v/>
      </c>
    </row>
    <row r="2385" ht="15" customHeight="1" s="14">
      <c r="A2385" s="24" t="n">
        <v>50833</v>
      </c>
      <c r="B2385" s="24" t="inlineStr">
        <is>
          <t>ليناکلايد   کپسول خوراکي 145 ug - اکتوورکو</t>
        </is>
      </c>
      <c r="C2385" s="25">
        <f>IF(COUNTIF('کدهای پیام‌داروساز'!$A$2:$A$2442,A2385)&gt;0,"بله","خیر")</f>
        <v/>
      </c>
    </row>
    <row r="2386" ht="15" customHeight="1" s="14">
      <c r="A2386" s="24" t="n">
        <v>50838</v>
      </c>
      <c r="B2386" s="24" t="inlineStr">
        <is>
          <t>سيکلوپلژي   محلول چشمي 1 % 5 mL - بازرگاني سها کيش</t>
        </is>
      </c>
      <c r="C2386" s="25">
        <f>IF(COUNTIF('کدهای پیام‌داروساز'!$A$2:$A$2442,A2386)&gt;0,"بله","خیر")</f>
        <v/>
      </c>
    </row>
    <row r="2387" ht="15" customHeight="1" s="14">
      <c r="A2387" s="24" t="n">
        <v>50841</v>
      </c>
      <c r="B2387" s="24" t="inlineStr">
        <is>
          <t>آدستريس   پودر براي تهيه محلول تزريقي پرنترال 50 mg  mg - بازرگاني سها کيش</t>
        </is>
      </c>
      <c r="C2387" s="25">
        <f>IF(COUNTIF('کدهای پیام‌داروساز'!$A$2:$A$2442,A2387)&gt;0,"بله","خیر")</f>
        <v/>
      </c>
    </row>
    <row r="2388" ht="15" customHeight="1" s="14">
      <c r="A2388" s="24" t="n">
        <v>50865</v>
      </c>
      <c r="B2388" s="24" t="inlineStr">
        <is>
          <t>آمينوون 5%   محلول تزريقي داخل وريدي 500 mL - درمان ياب دارو</t>
        </is>
      </c>
      <c r="C2388" s="25">
        <f>IF(COUNTIF('کدهای پیام‌داروساز'!$A$2:$A$2442,A2388)&gt;0,"بله","خیر")</f>
        <v/>
      </c>
    </row>
    <row r="2389" ht="15" customHeight="1" s="14">
      <c r="A2389" s="24" t="n">
        <v>50872</v>
      </c>
      <c r="B2389" s="24" t="inlineStr">
        <is>
          <t>آندرون   تزريقي پرنترال 250 mg/1mL 1 mL</t>
        </is>
      </c>
      <c r="C2389" s="25">
        <f>IF(COUNTIF('کدهای پیام‌داروساز'!$A$2:$A$2442,A2389)&gt;0,"بله","خیر")</f>
        <v/>
      </c>
    </row>
    <row r="2390" ht="15" customHeight="1" s="14">
      <c r="A2390" s="24" t="n">
        <v>50878</v>
      </c>
      <c r="B2390" s="24" t="inlineStr">
        <is>
          <t>زايکاديا   کپسول خوراکي 150 mg  mg - رايان دارو ايرانيان</t>
        </is>
      </c>
      <c r="C2390" s="25">
        <f>IF(COUNTIF('کدهای پیام‌داروساز'!$A$2:$A$2442,A2390)&gt;0,"بله","خیر")</f>
        <v/>
      </c>
    </row>
    <row r="2391" ht="15" customHeight="1" s="14">
      <c r="A2391" s="24" t="n">
        <v>50882</v>
      </c>
      <c r="B2391" s="24" t="inlineStr">
        <is>
          <t>پادينکس   پودر لئوفيليزه براي تهيه محلول تزريقي پرنترال 160 mg  mg - نانو دارو پژوهان پرديس</t>
        </is>
      </c>
      <c r="C2391" s="25">
        <f>IF(COUNTIF('کدهای پیام‌داروساز'!$A$2:$A$2442,A2391)&gt;0,"بله","خیر")</f>
        <v/>
      </c>
    </row>
    <row r="2392" ht="15" customHeight="1" s="14">
      <c r="A2392" s="24" t="n">
        <v>50884</v>
      </c>
      <c r="B2392" s="24" t="inlineStr">
        <is>
          <t>اپديوو   محلول غليظ تزريقي پرنترال 10 mg/1mL 10 mg - بازرگاني سها کيش</t>
        </is>
      </c>
      <c r="C2392" s="25">
        <f>IF(COUNTIF('کدهای پیام‌داروساز'!$A$2:$A$2442,A2392)&gt;0,"بله","خیر")</f>
        <v/>
      </c>
    </row>
    <row r="2393" ht="15" customHeight="1" s="14">
      <c r="A2393" s="24" t="n">
        <v>50886</v>
      </c>
      <c r="B2393" s="24" t="inlineStr">
        <is>
          <t>اسپريسل   قرص خوراکي 50 mg  mg - رايان دارو ايرانيان</t>
        </is>
      </c>
      <c r="C2393" s="25">
        <f>IF(COUNTIF('کدهای پیام‌داروساز'!$A$2:$A$2442,A2393)&gt;0,"بله","خیر")</f>
        <v/>
      </c>
    </row>
    <row r="2394" ht="15" customHeight="1" s="14">
      <c r="A2394" s="24" t="n">
        <v>50891</v>
      </c>
      <c r="B2394" s="24" t="inlineStr">
        <is>
          <t>لنتريس   کپسول خوراکي 4 mg - رايان دارو ايرانيان</t>
        </is>
      </c>
      <c r="C2394" s="25">
        <f>IF(COUNTIF('کدهای پیام‌داروساز'!$A$2:$A$2442,A2394)&gt;0,"بله","خیر")</f>
        <v/>
      </c>
    </row>
    <row r="2395" ht="15" customHeight="1" s="14">
      <c r="A2395" s="24" t="n">
        <v>50893</v>
      </c>
      <c r="B2395" s="24" t="inlineStr">
        <is>
          <t>آي جي ونا   تزريقي داخل وريدي 50 mg/1mL 200 g - بهستان دارو</t>
        </is>
      </c>
      <c r="C2395" s="25">
        <f>IF(COUNTIF('کدهای پیام‌داروساز'!$A$2:$A$2442,A2395)&gt;0,"بله","خیر")</f>
        <v/>
      </c>
    </row>
    <row r="2396" ht="15" customHeight="1" s="14">
      <c r="A2396" s="24" t="n">
        <v>50894</v>
      </c>
      <c r="B2396" s="24" t="inlineStr">
        <is>
          <t>آي جي ونا   تزريقي داخل وريدي 50 mg/1mL 20 g - بهستان دارو</t>
        </is>
      </c>
      <c r="C2396" s="25">
        <f>IF(COUNTIF('کدهای پیام‌داروساز'!$A$2:$A$2442,A2396)&gt;0,"بله","خیر")</f>
        <v/>
      </c>
    </row>
    <row r="2397" ht="15" customHeight="1" s="14">
      <c r="A2397" s="24" t="n">
        <v>50895</v>
      </c>
      <c r="B2397" s="24" t="inlineStr">
        <is>
          <t>سديم آيدايد (يد131)   محلول خوراکي 100 mCi  mCi - پارس ايزوتوپ</t>
        </is>
      </c>
      <c r="C2397" s="25">
        <f>IF(COUNTIF('کدهای پیام‌داروساز'!$A$2:$A$2442,A2397)&gt;0,"بله","خیر")</f>
        <v/>
      </c>
    </row>
    <row r="2398" ht="15" customHeight="1" s="14">
      <c r="A2398" s="24" t="n">
        <v>50902</v>
      </c>
      <c r="B2398" s="24" t="inlineStr">
        <is>
          <t>آيوروزاسه   کرم موضعي 1 % 15 g - گيلارانکو</t>
        </is>
      </c>
      <c r="C2398" s="25">
        <f>IF(COUNTIF('کدهای پیام‌داروساز'!$A$2:$A$2442,A2398)&gt;0,"بله","خیر")</f>
        <v/>
      </c>
    </row>
    <row r="2399" ht="15" customHeight="1" s="14">
      <c r="A2399" s="24" t="n">
        <v>50908</v>
      </c>
      <c r="B2399" s="24" t="inlineStr">
        <is>
          <t>آکتمرا   محلول غليظ تزريقي پرنترال 20 mg/1mL 10 mg - بازرگاني سها کيش</t>
        </is>
      </c>
      <c r="C2399" s="25">
        <f>IF(COUNTIF('کدهای پیام‌داروساز'!$A$2:$A$2442,A2399)&gt;0,"بله","خیر")</f>
        <v/>
      </c>
    </row>
    <row r="2400" ht="15" customHeight="1" s="14">
      <c r="A2400" s="24" t="n">
        <v>50910</v>
      </c>
      <c r="B2400" s="24" t="inlineStr">
        <is>
          <t>اسيمرتينيب   قرص خوراکي 40 mg - داروسازي سبحان انکولوژي</t>
        </is>
      </c>
      <c r="C2400" s="25">
        <f>IF(COUNTIF('کدهای پیام‌داروساز'!$A$2:$A$2442,A2400)&gt;0,"بله","خیر")</f>
        <v/>
      </c>
    </row>
    <row r="2401" ht="15" customHeight="1" s="14">
      <c r="A2401" s="24" t="n">
        <v>50911</v>
      </c>
      <c r="B2401" s="24" t="inlineStr">
        <is>
          <t>اُسيزا   قرص خوراکي 80 mg - زيست دارو دانش</t>
        </is>
      </c>
      <c r="C2401" s="25">
        <f>IF(COUNTIF('کدهای پیام‌داروساز'!$A$2:$A$2442,A2401)&gt;0,"بله","خیر")</f>
        <v/>
      </c>
    </row>
    <row r="2402" ht="15" customHeight="1" s="14">
      <c r="A2402" s="24" t="n">
        <v>50913</v>
      </c>
      <c r="B2402" s="24" t="inlineStr">
        <is>
          <t>جاکاوي   قرص خوراکي 10 mg  [Amb'a'1'U] - فوريتهاي سينا آرات گستر</t>
        </is>
      </c>
      <c r="C2402" s="25">
        <f>IF(COUNTIF('کدهای پیام‌داروساز'!$A$2:$A$2442,A2402)&gt;0,"بله","خیر")</f>
        <v/>
      </c>
    </row>
    <row r="2403" ht="15" customHeight="1" s="14">
      <c r="A2403" s="24" t="n">
        <v>50914</v>
      </c>
      <c r="B2403" s="24" t="inlineStr">
        <is>
          <t>جاکاوي   قرص خوراکي 15 mg - بازرگاني سها کيش</t>
        </is>
      </c>
      <c r="C2403" s="25">
        <f>IF(COUNTIF('کدهای پیام‌داروساز'!$A$2:$A$2442,A2403)&gt;0,"بله","خیر")</f>
        <v/>
      </c>
    </row>
    <row r="2404" ht="15" customHeight="1" s="14">
      <c r="A2404" s="24" t="n">
        <v>50919</v>
      </c>
      <c r="B2404" s="24" t="inlineStr">
        <is>
          <t>لازيکس   محلول خوراکي 10 mg/1mL 120 mL - فوريتهاي سينا آرات گستر</t>
        </is>
      </c>
      <c r="C2404" s="25">
        <f>IF(COUNTIF('کدهای پیام‌داروساز'!$A$2:$A$2442,A2404)&gt;0,"بله","خیر")</f>
        <v/>
      </c>
    </row>
    <row r="2405" ht="15" customHeight="1" s="14">
      <c r="A2405" s="24" t="n">
        <v>50920</v>
      </c>
      <c r="B2405" s="24" t="inlineStr">
        <is>
          <t>آندراستانولون   ژل موضعي 2.5 % 80 - فوريتهاي سينا آرات گستر</t>
        </is>
      </c>
      <c r="C2405" s="25">
        <f>IF(COUNTIF('کدهای پیام‌داروساز'!$A$2:$A$2442,A2405)&gt;0,"بله","خیر")</f>
        <v/>
      </c>
    </row>
    <row r="2406" ht="15" customHeight="1" s="14">
      <c r="A2406" s="24" t="n">
        <v>50927</v>
      </c>
      <c r="B2406" s="24" t="inlineStr">
        <is>
          <t>بريرب پي   تزريقي پرنترال 150 [iU]/1mL 5 [iU] - اوين دارو</t>
        </is>
      </c>
      <c r="C2406" s="25">
        <f>IF(COUNTIF('کدهای پیام‌داروساز'!$A$2:$A$2442,A2406)&gt;0,"بله","خیر")</f>
        <v/>
      </c>
    </row>
    <row r="2407" ht="15" customHeight="1" s="14">
      <c r="A2407" s="24" t="n">
        <v>50929</v>
      </c>
      <c r="B2407" s="24" t="inlineStr">
        <is>
          <t>بودفورم   پودر با دوز اندازه گيري شده استنشاقي 320 ug/9 ug/1{dose} 120 {Puff}</t>
        </is>
      </c>
      <c r="C2407" s="25">
        <f>IF(COUNTIF('کدهای پیام‌داروساز'!$A$2:$A$2442,A2407)&gt;0,"بله","خیر")</f>
        <v/>
      </c>
    </row>
    <row r="2408" ht="15" customHeight="1" s="14">
      <c r="A2408" s="24" t="n">
        <v>50936</v>
      </c>
      <c r="B2408" s="24" t="inlineStr">
        <is>
          <t>هايپرکس   قرص خوراکي 1 g - بازرگاني سها کيش</t>
        </is>
      </c>
      <c r="C2408" s="25">
        <f>IF(COUNTIF('کدهای پیام‌داروساز'!$A$2:$A$2442,A2408)&gt;0,"بله","خیر")</f>
        <v/>
      </c>
    </row>
    <row r="2409" ht="15" customHeight="1" s="14">
      <c r="A2409" s="24" t="n">
        <v>50954</v>
      </c>
      <c r="B2409" s="24" t="inlineStr">
        <is>
          <t>آلبومينا کدريون   محلول تزريقي پرنترال 20 % 250 g - گسترش بازرگاني دارو پخش</t>
        </is>
      </c>
      <c r="C2409" s="25">
        <f>IF(COUNTIF('کدهای پیام‌داروساز'!$A$2:$A$2442,A2409)&gt;0,"بله","خیر")</f>
        <v/>
      </c>
    </row>
    <row r="2410" ht="15" customHeight="1" s="14">
      <c r="A2410" s="24" t="n">
        <v>50962</v>
      </c>
      <c r="B2410" s="24" t="inlineStr">
        <is>
          <t>والفورت   قرص خوراکي 10 mg/320 mg - داروسازي سامي ساز</t>
        </is>
      </c>
      <c r="C2410" s="25">
        <f>IF(COUNTIF('کدهای پیام‌داروساز'!$A$2:$A$2442,A2410)&gt;0,"بله","خیر")</f>
        <v/>
      </c>
    </row>
    <row r="2411" ht="15" customHeight="1" s="14">
      <c r="A2411" s="24" t="n">
        <v>50963</v>
      </c>
      <c r="B2411" s="24" t="inlineStr">
        <is>
          <t>والفورت   قرص خوراکي 5 mg/320 mg - داروسازي سامي ساز</t>
        </is>
      </c>
      <c r="C2411" s="25">
        <f>IF(COUNTIF('کدهای پیام‌داروساز'!$A$2:$A$2442,A2411)&gt;0,"بله","خیر")</f>
        <v/>
      </c>
    </row>
    <row r="2412" ht="15" customHeight="1" s="14">
      <c r="A2412" s="24" t="n">
        <v>50964</v>
      </c>
      <c r="B2412" s="24" t="inlineStr">
        <is>
          <t>پريلکس - اچ   قرص خوراکي 10 mg/160 mg/12.5 mg - روناک</t>
        </is>
      </c>
      <c r="C2412" s="25">
        <f>IF(COUNTIF('کدهای پیام‌داروساز'!$A$2:$A$2442,A2412)&gt;0,"بله","خیر")</f>
        <v/>
      </c>
    </row>
    <row r="2413" ht="15" customHeight="1" s="14">
      <c r="A2413" s="24" t="n">
        <v>50965</v>
      </c>
      <c r="B2413" s="24" t="inlineStr">
        <is>
          <t>والفورت اچ سي تي   قرص خوراکي 10 mg/160 mg/25 mg - داروسازي سامي ساز</t>
        </is>
      </c>
      <c r="C2413" s="25">
        <f>IF(COUNTIF('کدهای پیام‌داروساز'!$A$2:$A$2442,A2413)&gt;0,"بله","خیر")</f>
        <v/>
      </c>
    </row>
    <row r="2414" ht="15" customHeight="1" s="14">
      <c r="A2414" s="24" t="n">
        <v>50966</v>
      </c>
      <c r="B2414" s="24" t="inlineStr">
        <is>
          <t>اکس فولار-اچ   قرص خوراکي 5 mg/160 mg/12.5 mg - ويرا ليان گروه</t>
        </is>
      </c>
      <c r="C2414" s="25">
        <f>IF(COUNTIF('کدهای پیام‌داروساز'!$A$2:$A$2442,A2414)&gt;0,"بله","خیر")</f>
        <v/>
      </c>
    </row>
    <row r="2415" ht="15" customHeight="1" s="14">
      <c r="A2415" s="24" t="n">
        <v>50967</v>
      </c>
      <c r="B2415" s="24" t="inlineStr">
        <is>
          <t>والفورت اچ سي تي   قرص خوراکي 5 mg/160 mg/25 mg - داروسازي سامي ساز</t>
        </is>
      </c>
      <c r="C2415" s="25">
        <f>IF(COUNTIF('کدهای پیام‌داروساز'!$A$2:$A$2442,A2415)&gt;0,"بله","خیر")</f>
        <v/>
      </c>
    </row>
    <row r="2416" ht="15" customHeight="1" s="14">
      <c r="A2416" s="24" t="n">
        <v>50986</v>
      </c>
      <c r="B2416" s="24" t="inlineStr">
        <is>
          <t>پادينکس   پودر لئوفيليزه براي تهيه محلول تزريقي پرنترال 100 mg  mg - نانو دارو پژوهان پرديس</t>
        </is>
      </c>
      <c r="C2416" s="25">
        <f>IF(COUNTIF('کدهای پیام‌داروساز'!$A$2:$A$2442,A2416)&gt;0,"بله","خیر")</f>
        <v/>
      </c>
    </row>
    <row r="2417" ht="15" customHeight="1" s="14">
      <c r="A2417" s="24" t="n">
        <v>50993</v>
      </c>
      <c r="B2417" s="24" t="inlineStr">
        <is>
          <t>پرامي پکسول نورمون   قرص پيوسته رهش خوراکي 2.1 mg - تچرا دارو</t>
        </is>
      </c>
      <c r="C2417" s="25">
        <f>IF(COUNTIF('کدهای پیام‌داروساز'!$A$2:$A$2442,A2417)&gt;0,"بله","خیر")</f>
        <v/>
      </c>
    </row>
    <row r="2418" ht="15" customHeight="1" s="14">
      <c r="A2418" s="24" t="n">
        <v>50996</v>
      </c>
      <c r="B2418" s="24" t="inlineStr">
        <is>
          <t>ريسپردال   پودر براي تهيه سوسپانسيون تزريقي پيوسته رهش پرنترال 50 mg  mg - بازرگاني سها کيش</t>
        </is>
      </c>
      <c r="C2418" s="25">
        <f>IF(COUNTIF('کدهای پیام‌داروساز'!$A$2:$A$2442,A2418)&gt;0,"بله","خیر")</f>
        <v/>
      </c>
    </row>
    <row r="2419" ht="15" customHeight="1" s="14">
      <c r="A2419" s="24" t="n">
        <v>51000</v>
      </c>
      <c r="B2419" s="24" t="inlineStr">
        <is>
          <t>آروليد   قرص خوراکي 25 mg - دارو درمان آرنگ</t>
        </is>
      </c>
      <c r="C2419" s="25">
        <f>IF(COUNTIF('کدهای پیام‌داروساز'!$A$2:$A$2442,A2419)&gt;0,"بله","خیر")</f>
        <v/>
      </c>
    </row>
    <row r="2420" ht="15" customHeight="1" s="14">
      <c r="A2420" s="24" t="n">
        <v>51001</v>
      </c>
      <c r="B2420" s="24" t="inlineStr">
        <is>
          <t>آروليد   قرص خوراکي 50 mg - دارو درمان آرنگ</t>
        </is>
      </c>
      <c r="C2420" s="25">
        <f>IF(COUNTIF('کدهای پیام‌داروساز'!$A$2:$A$2442,A2420)&gt;0,"بله","خیر")</f>
        <v/>
      </c>
    </row>
    <row r="2421" ht="15" customHeight="1" s="14">
      <c r="A2421" s="24" t="n">
        <v>51005</v>
      </c>
      <c r="B2421" s="24" t="inlineStr">
        <is>
          <t>آرترستان   قرص خوراکي 49 mg/51 mg - آرنا حيات دانش</t>
        </is>
      </c>
      <c r="C2421" s="25">
        <f>IF(COUNTIF('کدهای پیام‌داروساز'!$A$2:$A$2442,A2421)&gt;0,"بله","خیر")</f>
        <v/>
      </c>
    </row>
    <row r="2422" ht="15" customHeight="1" s="14">
      <c r="A2422" s="24" t="n">
        <v>51006</v>
      </c>
      <c r="B2422" s="24" t="inlineStr">
        <is>
          <t>دي ام جي   کپسول خوراکي 125 mg  mg - شهاب درمان</t>
        </is>
      </c>
      <c r="C2422" s="25">
        <f>IF(COUNTIF('کدهای پیام‌داروساز'!$A$2:$A$2442,A2422)&gt;0,"بله","خیر")</f>
        <v/>
      </c>
    </row>
    <row r="2423" ht="15" customHeight="1" s="14">
      <c r="A2423" s="24" t="n">
        <v>51007</v>
      </c>
      <c r="B2423" s="24" t="inlineStr">
        <is>
          <t>آبسترال   قرص زيرزباني 100 ug - فوريتهاي سينا آرات گستر</t>
        </is>
      </c>
      <c r="C2423" s="25">
        <f>IF(COUNTIF('کدهای پیام‌داروساز'!$A$2:$A$2442,A2423)&gt;0,"بله","خیر")</f>
        <v/>
      </c>
    </row>
    <row r="2424" ht="15" customHeight="1" s="14">
      <c r="A2424" s="24" t="n">
        <v>51012</v>
      </c>
      <c r="B2424" s="24" t="inlineStr">
        <is>
          <t>ويليت   پودر لئوفيليزه براي تهيه محلول تزريقي پرنترال 500 [iU]/500 [iU]  [iU] - پالايش و پژوهش خون</t>
        </is>
      </c>
      <c r="C2424" s="25">
        <f>IF(COUNTIF('کدهای پیام‌داروساز'!$A$2:$A$2442,A2424)&gt;0,"بله","خیر")</f>
        <v/>
      </c>
    </row>
    <row r="2425" ht="15" customHeight="1" s="14">
      <c r="A2425" s="24" t="n">
        <v>51013</v>
      </c>
      <c r="B2425" s="24" t="inlineStr">
        <is>
          <t>آبسترال   قرص زيرزباني 200 ug - فوريتهاي سينا آرات گستر</t>
        </is>
      </c>
      <c r="C2425" s="25">
        <f>IF(COUNTIF('کدهای پیام‌داروساز'!$A$2:$A$2442,A2425)&gt;0,"بله","خیر")</f>
        <v/>
      </c>
    </row>
    <row r="2426" ht="15" customHeight="1" s="14">
      <c r="A2426" s="24" t="n">
        <v>51014</v>
      </c>
      <c r="B2426" s="24" t="inlineStr">
        <is>
          <t>آبسترال   قرص زيرزباني 300 ug - فوريتهاي سينا آرات گستر</t>
        </is>
      </c>
      <c r="C2426" s="25">
        <f>IF(COUNTIF('کدهای پیام‌داروساز'!$A$2:$A$2442,A2426)&gt;0,"بله","خیر")</f>
        <v/>
      </c>
    </row>
    <row r="2427" ht="15" customHeight="1" s="14">
      <c r="A2427" s="24" t="n">
        <v>51027</v>
      </c>
      <c r="B2427" s="24" t="inlineStr">
        <is>
          <t>لارتروو   تزريقي پرنترال 10 mg/1mL 50 mg - شفاياب فردا</t>
        </is>
      </c>
      <c r="C2427" s="25">
        <f>IF(COUNTIF('کدهای پیام‌داروساز'!$A$2:$A$2442,A2427)&gt;0,"بله","خیر")</f>
        <v/>
      </c>
    </row>
    <row r="2428" ht="15" customHeight="1" s="14">
      <c r="A2428" s="24" t="n">
        <v>51057</v>
      </c>
      <c r="B2428" s="24" t="inlineStr">
        <is>
          <t>آياوت   محلول چشمي 3.2 mg/1mL 10 mL - داروسازي رها اصفهان</t>
        </is>
      </c>
      <c r="C2428" s="25">
        <f>IF(COUNTIF('کدهای پیام‌داروساز'!$A$2:$A$2442,A2428)&gt;0,"بله","خیر")</f>
        <v/>
      </c>
    </row>
    <row r="2429" ht="15" customHeight="1" s="14">
      <c r="A2429" s="24" t="n">
        <v>51060</v>
      </c>
      <c r="B2429" s="24" t="inlineStr">
        <is>
          <t>لمترادا   محلول غليظ تزريقي داخل وريدي 10 mg/1mL 1.2 mg - بازرگاني سها کيش</t>
        </is>
      </c>
      <c r="C2429" s="25">
        <f>IF(COUNTIF('کدهای پیام‌داروساز'!$A$2:$A$2442,A2429)&gt;0,"بله","خیر")</f>
        <v/>
      </c>
    </row>
    <row r="2430" ht="15" customHeight="1" s="14">
      <c r="A2430" s="24" t="n">
        <v>51073</v>
      </c>
      <c r="B2430" s="24" t="inlineStr">
        <is>
          <t>آرتسونيت   شياف مقعدي 200 mg - اريکه تجارت ويستا</t>
        </is>
      </c>
      <c r="C2430" s="25">
        <f>IF(COUNTIF('کدهای پیام‌داروساز'!$A$2:$A$2442,A2430)&gt;0,"بله","خیر")</f>
        <v/>
      </c>
    </row>
    <row r="2431" ht="15" customHeight="1" s="14">
      <c r="A2431" s="24" t="n">
        <v>51074</v>
      </c>
      <c r="B2431" s="24" t="inlineStr">
        <is>
          <t>آرتسونيت   تزريقي پرنترال 60 mg/1mL  mg - بهسام آرا دارو</t>
        </is>
      </c>
      <c r="C2431" s="25">
        <f>IF(COUNTIF('کدهای پیام‌داروساز'!$A$2:$A$2442,A2431)&gt;0,"بله","خیر")</f>
        <v/>
      </c>
    </row>
    <row r="2432" ht="15" customHeight="1" s="14">
      <c r="A2432" s="24" t="n">
        <v>51078</v>
      </c>
      <c r="B2432" s="24" t="inlineStr">
        <is>
          <t>گاليوم-67 سيترات   تزريقي داخل وريدي 10 mCi  mCi - پارس ايزوتوپ</t>
        </is>
      </c>
      <c r="C2432" s="25">
        <f>IF(COUNTIF('کدهای پیام‌داروساز'!$A$2:$A$2442,A2432)&gt;0,"بله","خیر")</f>
        <v/>
      </c>
    </row>
    <row r="2433" ht="15" customHeight="1" s="14">
      <c r="A2433" s="24" t="n">
        <v>51079</v>
      </c>
      <c r="B2433" s="24" t="inlineStr">
        <is>
          <t>گاليوم-67 سيترات   تزريقي داخل وريدي 5 mCi  mCi - پارس ايزوتوپ</t>
        </is>
      </c>
      <c r="C2433" s="25">
        <f>IF(COUNTIF('کدهای پیام‌داروساز'!$A$2:$A$2442,A2433)&gt;0,"بله","خیر")</f>
        <v/>
      </c>
    </row>
    <row r="2434" ht="15" customHeight="1" s="14">
      <c r="A2434" s="24" t="n">
        <v>51084</v>
      </c>
      <c r="B2434" s="24" t="inlineStr">
        <is>
          <t>متايدوبنزيل گوانيدين (يد -131)   محلول تزريقي پرنترال 50 mCi  mCi - پارس ايزوتوپ</t>
        </is>
      </c>
      <c r="C2434" s="25">
        <f>IF(COUNTIF('کدهای پیام‌داروساز'!$A$2:$A$2442,A2434)&gt;0,"بله","خیر")</f>
        <v/>
      </c>
    </row>
    <row r="2435" ht="15" customHeight="1" s="14">
      <c r="A2435" s="24" t="n">
        <v>51085</v>
      </c>
      <c r="B2435" s="24" t="inlineStr">
        <is>
          <t>متايدوبنزيل گوانيدين (يد -131)   محلول تزريقي پرنترال 0.5 mCi  mCi - پارس ايزوتوپ</t>
        </is>
      </c>
      <c r="C2435" s="25">
        <f>IF(COUNTIF('کدهای پیام‌داروساز'!$A$2:$A$2442,A2435)&gt;0,"بله","خیر")</f>
        <v/>
      </c>
    </row>
    <row r="2436" ht="15" customHeight="1" s="14">
      <c r="A2436" s="24" t="n">
        <v>51086</v>
      </c>
      <c r="B2436" s="24" t="inlineStr">
        <is>
          <t>سديم آيدايد (يد131)   محلول خوراکي 150 mCi  mCi - پارس ايزوتوپ</t>
        </is>
      </c>
      <c r="C2436" s="25">
        <f>IF(COUNTIF('کدهای پیام‌داروساز'!$A$2:$A$2442,A2436)&gt;0,"بله","خیر")</f>
        <v/>
      </c>
    </row>
    <row r="2437" ht="15" customHeight="1" s="14">
      <c r="A2437" s="24" t="n">
        <v>51087</v>
      </c>
      <c r="B2437" s="24" t="inlineStr">
        <is>
          <t>سديم آيدايد (يد131)   محلول خوراکي 200 mCi  uCi - پارس ايزوتوپ</t>
        </is>
      </c>
      <c r="C2437" s="25">
        <f>IF(COUNTIF('کدهای پیام‌داروساز'!$A$2:$A$2442,A2437)&gt;0,"بله","خیر")</f>
        <v/>
      </c>
    </row>
    <row r="2438" ht="15" customHeight="1" s="14">
      <c r="A2438" s="24" t="n">
        <v>51088</v>
      </c>
      <c r="B2438" s="24" t="inlineStr">
        <is>
          <t>سديم آيدايد (يد131)   محلول خوراکي 50 mCi  uCi - پارس ايزوتوپ</t>
        </is>
      </c>
      <c r="C2438" s="25">
        <f>IF(COUNTIF('کدهای پیام‌داروساز'!$A$2:$A$2442,A2438)&gt;0,"بله","خیر")</f>
        <v/>
      </c>
    </row>
    <row r="2439" ht="15" customHeight="1" s="14">
      <c r="A2439" s="24" t="n">
        <v>51089</v>
      </c>
      <c r="B2439" s="24" t="inlineStr">
        <is>
          <t>مدرونيت   پودر لئوفيليزه براي تهيه محلول تزريقي داخل وريدي 300 mCi  mg - پارس ايزوتوپ</t>
        </is>
      </c>
      <c r="C2439" s="25">
        <f>IF(COUNTIF('کدهای پیام‌داروساز'!$A$2:$A$2442,A2439)&gt;0,"بله","خیر")</f>
        <v/>
      </c>
    </row>
    <row r="2440" ht="15" customHeight="1" s="14">
      <c r="A2440" s="24" t="n">
        <v>51091</v>
      </c>
      <c r="B2440" s="24" t="inlineStr">
        <is>
          <t>سديم يدايد(يد-131)   کپسول خوراکي 0.1 mCi  uCi - پارس ايزوتوپ</t>
        </is>
      </c>
      <c r="C2440" s="25">
        <f>IF(COUNTIF('کدهای پیام‌داروساز'!$A$2:$A$2442,A2440)&gt;0,"بله","خیر")</f>
        <v/>
      </c>
    </row>
    <row r="2441" ht="15" customHeight="1" s="14">
      <c r="A2441" s="24" t="n">
        <v>51092</v>
      </c>
      <c r="B2441" s="24" t="inlineStr">
        <is>
          <t>سديم يدايد(يد-131)   کپسول خوراکي 0.016 mCi  uCi - پارس ايزوتوپ</t>
        </is>
      </c>
      <c r="C2441" s="25">
        <f>IF(COUNTIF('کدهای پیام‌داروساز'!$A$2:$A$2442,A2441)&gt;0,"بله","خیر")</f>
        <v/>
      </c>
    </row>
    <row r="2442" ht="15" customHeight="1" s="14">
      <c r="A2442" s="24" t="n">
        <v>51093</v>
      </c>
      <c r="B2442" s="24" t="inlineStr">
        <is>
          <t>سديم يدايد(يد-131)   کپسول خوراکي 0.03 mCi  uCi - پارس ايزوتوپ</t>
        </is>
      </c>
      <c r="C2442" s="25">
        <f>IF(COUNTIF('کدهای پیام‌داروساز'!$A$2:$A$2442,A2442)&gt;0,"بله","خیر")</f>
        <v/>
      </c>
    </row>
    <row r="2443" ht="15" customHeight="1" s="14">
      <c r="A2443" s="24" t="n">
        <v>51094</v>
      </c>
      <c r="B2443" s="24" t="inlineStr">
        <is>
          <t>سديم يدايد(يد-131)   کپسول خوراکي 0.05 mCi  uCi - پارس ايزوتوپ</t>
        </is>
      </c>
      <c r="C2443" s="25">
        <f>IF(COUNTIF('کدهای پیام‌داروساز'!$A$2:$A$2442,A2443)&gt;0,"بله","خیر")</f>
        <v/>
      </c>
    </row>
    <row r="2444" ht="15" customHeight="1" s="14">
      <c r="A2444" s="24" t="n">
        <v>51098</v>
      </c>
      <c r="B2444" s="24" t="inlineStr">
        <is>
          <t>فسفات سديم(فسفر-32)   محلول خوراکي 5 mCi  mCi - پارس ايزوتوپ</t>
        </is>
      </c>
      <c r="C2444" s="25">
        <f>IF(COUNTIF('کدهای پیام‌داروساز'!$A$2:$A$2442,A2444)&gt;0,"بله","خیر")</f>
        <v/>
      </c>
    </row>
    <row r="2445" ht="15" customHeight="1" s="14">
      <c r="A2445" s="24" t="n">
        <v>51099</v>
      </c>
      <c r="B2445" s="24" t="inlineStr">
        <is>
          <t>رنيوم اچ اي دي پي (رنيوم-186)   محلول تزريقي پرنترال 80 mCi  mCi - پارس ايزوتوپ</t>
        </is>
      </c>
      <c r="C2445" s="25">
        <f>IF(COUNTIF('کدهای پیام‌داروساز'!$A$2:$A$2442,A2445)&gt;0,"بله","خیر")</f>
        <v/>
      </c>
    </row>
    <row r="2446" ht="15" customHeight="1" s="14">
      <c r="A2446" s="24" t="n">
        <v>51100</v>
      </c>
      <c r="B2446" s="24" t="inlineStr">
        <is>
          <t>رنيوم سولفيد کلوئيد(رنيوم-186)   سوسپانسيون تزريقي پرنترال 5 mCi  mCi - پارس ايزوتوپ</t>
        </is>
      </c>
      <c r="C2446" s="25">
        <f>IF(COUNTIF('کدهای پیام‌داروساز'!$A$2:$A$2442,A2446)&gt;0,"بله","خیر")</f>
        <v/>
      </c>
    </row>
    <row r="2447" ht="15" customHeight="1" s="14">
      <c r="A2447" s="24" t="n">
        <v>51101</v>
      </c>
      <c r="B2447" s="24" t="inlineStr">
        <is>
          <t>ساماريوم-153 اي دي تي ام پي   محلول تزريقي پرنترال 80 mCi 80 mCi - پارس ايزوتوپ</t>
        </is>
      </c>
      <c r="C2447" s="25">
        <f>IF(COUNTIF('کدهای پیام‌داروساز'!$A$2:$A$2442,A2447)&gt;0,"بله","خیر")</f>
        <v/>
      </c>
    </row>
    <row r="2448" ht="15" customHeight="1" s="14">
      <c r="A2448" s="24" t="n">
        <v>51102</v>
      </c>
      <c r="B2448" s="24" t="inlineStr">
        <is>
          <t>سديم فلورايد ( اف-18)   محلول تزريقي پرنترال 10 mCi  mCi - پارس ايزوتوپ</t>
        </is>
      </c>
      <c r="C2448" s="25">
        <f>IF(COUNTIF('کدهای پیام‌داروساز'!$A$2:$A$2442,A2448)&gt;0,"بله","خیر")</f>
        <v/>
      </c>
    </row>
    <row r="2449" ht="15" customHeight="1" s="14">
      <c r="A2449" s="24" t="n">
        <v>51105</v>
      </c>
      <c r="B2449" s="24" t="inlineStr">
        <is>
          <t>ديکلوفناک پتاسيم   کپسول حاوي مايع خوراکي 25 mg - دارو سازي تهران دارو</t>
        </is>
      </c>
      <c r="C2449" s="25">
        <f>IF(COUNTIF('کدهای پیام‌داروساز'!$A$2:$A$2442,A2449)&gt;0,"بله","خیر")</f>
        <v/>
      </c>
    </row>
    <row r="2450" ht="15" customHeight="1" s="14">
      <c r="A2450" s="24" t="n">
        <v>51110</v>
      </c>
      <c r="B2450" s="24" t="inlineStr">
        <is>
          <t>بمبزين   پودر لئوفيليزه براي تهيه محلول تزريقي پرنترال 25 ug  ug - پارس ايزوتوپ</t>
        </is>
      </c>
      <c r="C2450" s="25">
        <f>IF(COUNTIF('کدهای پیام‌داروساز'!$A$2:$A$2442,A2450)&gt;0,"بله","خیر")</f>
        <v/>
      </c>
    </row>
    <row r="2451" ht="15" customHeight="1" s="14">
      <c r="A2451" s="24" t="n">
        <v>51112</v>
      </c>
      <c r="B2451" s="24" t="inlineStr">
        <is>
          <t>اي سي دي (اتيل سيستئينات ديمر)   پودر لئوفيليزه براي تهيه محلول تزريقي داخل وريدي 10 mCi  mg - پارس ايزوتوپ</t>
        </is>
      </c>
      <c r="C2451" s="25">
        <f>IF(COUNTIF('کدهای پیام‌داروساز'!$A$2:$A$2442,A2451)&gt;0,"بله","خیر")</f>
        <v/>
      </c>
    </row>
    <row r="2452" ht="15" customHeight="1" s="14">
      <c r="A2452" s="24" t="n">
        <v>51114</v>
      </c>
      <c r="B2452" s="24" t="inlineStr">
        <is>
          <t>اي سي (اتيلن دي سيستئين)   پودر لئوفيليزه براي تهيه محلول تزريقي داخل وريدي 1 mg  mg - پارس ايزوتوپ</t>
        </is>
      </c>
      <c r="C2452" s="25">
        <f>IF(COUNTIF('کدهای پیام‌داروساز'!$A$2:$A$2442,A2452)&gt;0,"بله","خیر")</f>
        <v/>
      </c>
    </row>
    <row r="2453" ht="15" customHeight="1" s="14">
      <c r="A2453" s="24" t="n">
        <v>51116</v>
      </c>
      <c r="B2453" s="24" t="inlineStr">
        <is>
          <t>وايت بي سي   پودر لئوفيليزه براي تهيه محلول تزريقي داخل وريدي 10 mCi  mg - پارس ايزوتوپ</t>
        </is>
      </c>
      <c r="C2453" s="25">
        <f>IF(COUNTIF('کدهای پیام‌داروساز'!$A$2:$A$2442,A2453)&gt;0,"بله","خیر")</f>
        <v/>
      </c>
    </row>
    <row r="2454" ht="15" customHeight="1" s="14">
      <c r="A2454" s="24" t="n">
        <v>51119</v>
      </c>
      <c r="B2454" s="24" t="inlineStr">
        <is>
          <t>آندريول تستوکپس   کپسول خوراکي 40 mg - بهستان دارو</t>
        </is>
      </c>
      <c r="C2454" s="25">
        <f>IF(COUNTIF('کدهای پیام‌داروساز'!$A$2:$A$2442,A2454)&gt;0,"بله","خیر")</f>
        <v/>
      </c>
    </row>
    <row r="2455" ht="15" customHeight="1" s="14">
      <c r="A2455" s="24" t="n">
        <v>51120</v>
      </c>
      <c r="B2455" s="24" t="inlineStr">
        <is>
          <t>سيلدنافيل 1 درصد 15 گرم ژل موضعي - بهوزان</t>
        </is>
      </c>
      <c r="C2455" s="25">
        <f>IF(COUNTIF('کدهای پیام‌داروساز'!$A$2:$A$2442,A2455)&gt;0,"بله","خیر")</f>
        <v/>
      </c>
    </row>
    <row r="2456" ht="15" customHeight="1" s="14">
      <c r="A2456" s="24" t="n">
        <v>51121</v>
      </c>
      <c r="B2456" s="24" t="inlineStr">
        <is>
          <t>اپي پن جي آر   محلول تزريقي پرنترال 0.5 mg/1mL 0.3 mg - گسترش بازرگاني دارو درمان پارس</t>
        </is>
      </c>
      <c r="C2456" s="25">
        <f>IF(COUNTIF('کدهای پیام‌داروساز'!$A$2:$A$2442,A2456)&gt;0,"بله","خیر")</f>
        <v/>
      </c>
    </row>
    <row r="2457" ht="15" customHeight="1" s="14">
      <c r="A2457" s="24" t="n">
        <v>51127</v>
      </c>
      <c r="B2457" s="24" t="inlineStr">
        <is>
          <t>الوکيد   پودر لئوفيليزه براي تهيه محلول تزريقي پرنترال 1 mg  mg - نانو فناوران داروئي الوند</t>
        </is>
      </c>
      <c r="C2457" s="25">
        <f>IF(COUNTIF('کدهای پیام‌داروساز'!$A$2:$A$2442,A2457)&gt;0,"بله","خیر")</f>
        <v/>
      </c>
    </row>
    <row r="2458" ht="15" customHeight="1" s="14">
      <c r="A2458" s="24" t="n">
        <v>51128</v>
      </c>
      <c r="B2458" s="24" t="inlineStr">
        <is>
          <t>ام آ آ (سرم آلبومين انساني ماکرواگريگيت شده)   پودر لئوفيليزه براي تهيه محلول تزريقي داخل وريدي 30 mCi  mg - پارس ايزوتوپ</t>
        </is>
      </c>
      <c r="C2458" s="25">
        <f>IF(COUNTIF('کدهای پیام‌داروساز'!$A$2:$A$2442,A2458)&gt;0,"بله","خیر")</f>
        <v/>
      </c>
    </row>
    <row r="2459" ht="15" customHeight="1" s="14">
      <c r="A2459" s="24" t="n">
        <v>51129</v>
      </c>
      <c r="B2459" s="24" t="inlineStr">
        <is>
          <t>ماکسيترول   سوسپانسيون، قطره گوشي 10000 [iU]/5 mg/10 mg/1mL 5 mL - رضا دارو پارس</t>
        </is>
      </c>
      <c r="C2459" s="25">
        <f>IF(COUNTIF('کدهای پیام‌داروساز'!$A$2:$A$2442,A2459)&gt;0,"بله","خیر")</f>
        <v/>
      </c>
    </row>
    <row r="2460" ht="15" customHeight="1" s="14">
      <c r="A2460" s="24" t="n">
        <v>51131</v>
      </c>
      <c r="B2460" s="24" t="inlineStr">
        <is>
          <t>برم آيدا   پودر لئوفيليزه براي تهيه محلول تزريقي داخل وريدي 100 mCi  mg - پارس ايزوتوپ</t>
        </is>
      </c>
      <c r="C2460" s="25">
        <f>IF(COUNTIF('کدهای پیام‌داروساز'!$A$2:$A$2442,A2460)&gt;0,"بله","خیر")</f>
        <v/>
      </c>
    </row>
    <row r="2461" ht="15" customHeight="1" s="14">
      <c r="A2461" s="24" t="n">
        <v>51133</v>
      </c>
      <c r="B2461" s="24" t="inlineStr">
        <is>
          <t>دي تي پي آ ( دي اتيلن  تري آمين پنتا استيک اسيد)   پودر لئوفيليزه براي تهيه محلول تزريقي داخل وريدي 300 mCi  mg - پارس ايزوتوپ</t>
        </is>
      </c>
      <c r="C2461" s="25">
        <f>IF(COUNTIF('کدهای پیام‌داروساز'!$A$2:$A$2442,A2461)&gt;0,"بله","خیر")</f>
        <v/>
      </c>
    </row>
    <row r="2462" ht="15" customHeight="1" s="14">
      <c r="A2462" s="24" t="n">
        <v>51135</v>
      </c>
      <c r="B2462" s="24" t="inlineStr">
        <is>
          <t>تکنسيوم (99 ) پرتکنتات   تزريقي داخل وريدي 200 mCi  mCi - پارس ايزوتوپ</t>
        </is>
      </c>
      <c r="C2462" s="25">
        <f>IF(COUNTIF('کدهای پیام‌داروساز'!$A$2:$A$2442,A2462)&gt;0,"بله","خیر")</f>
        <v/>
      </c>
    </row>
    <row r="2463" ht="15" customHeight="1" s="14">
      <c r="A2463" s="24" t="n">
        <v>51136</v>
      </c>
      <c r="B2463" s="24" t="inlineStr">
        <is>
          <t>آيفو-سل   محلول تزريقي پرنترال 40 mg/1mL 25 mg - وليان دارو</t>
        </is>
      </c>
      <c r="C2463" s="25">
        <f>IF(COUNTIF('کدهای پیام‌داروساز'!$A$2:$A$2442,A2463)&gt;0,"بله","خیر")</f>
        <v/>
      </c>
    </row>
    <row r="2464" ht="15" customHeight="1" s="14">
      <c r="A2464" s="24" t="n">
        <v>51139</v>
      </c>
      <c r="B2464" s="24" t="inlineStr">
        <is>
          <t>تکنسيوم (99 ) پرتکنتات   تزريقي داخل وريدي 400 mCi  uCi - پارس ايزوتوپ</t>
        </is>
      </c>
      <c r="C2464" s="25">
        <f>IF(COUNTIF('کدهای پیام‌داروساز'!$A$2:$A$2442,A2464)&gt;0,"بله","خیر")</f>
        <v/>
      </c>
    </row>
    <row r="2465" ht="15" customHeight="1" s="14">
      <c r="A2465" s="24" t="n">
        <v>51140</v>
      </c>
      <c r="B2465" s="24" t="inlineStr">
        <is>
          <t>فيتيت   پودر لئوفيليزه براي تهيه محلول تزريقي داخل وريدي 100 mCi  mg - پارس ايزوتوپ</t>
        </is>
      </c>
      <c r="C2465" s="25">
        <f>IF(COUNTIF('کدهای پیام‌داروساز'!$A$2:$A$2442,A2465)&gt;0,"بله","خیر")</f>
        <v/>
      </c>
    </row>
    <row r="2466" ht="15" customHeight="1" s="14">
      <c r="A2466" s="24" t="n">
        <v>51142</v>
      </c>
      <c r="B2466" s="24" t="inlineStr">
        <is>
          <t>تاليوم (201) کلرايد   تزريقي داخل وريدي 10 mCi  mCi - پارس ايزوتوپ</t>
        </is>
      </c>
      <c r="C2466" s="25">
        <f>IF(COUNTIF('کدهای پیام‌داروساز'!$A$2:$A$2442,A2466)&gt;0,"بله","خیر")</f>
        <v/>
      </c>
    </row>
    <row r="2467" ht="15" customHeight="1" s="14">
      <c r="A2467" s="24" t="n">
        <v>51143</v>
      </c>
      <c r="B2467" s="24" t="inlineStr">
        <is>
          <t>تاليوم (201) کلرايد   تزريقي داخل وريدي 5 mCi  mCi - پارس ايزوتوپ</t>
        </is>
      </c>
      <c r="C2467" s="25">
        <f>IF(COUNTIF('کدهای پیام‌داروساز'!$A$2:$A$2442,A2467)&gt;0,"بله","خیر")</f>
        <v/>
      </c>
    </row>
    <row r="2468" ht="15" customHeight="1" s="14">
      <c r="A2468" s="24" t="n">
        <v>51154</v>
      </c>
      <c r="B2468" s="24" t="inlineStr">
        <is>
          <t>دي مر کاپتو سوکسينيک اسيد (دي ام اس آ)   پودر لئوفيليزه براي تهيه محلول تزريقي داخل وريدي 40 mCi  mg - پارس ايزوتوپ</t>
        </is>
      </c>
      <c r="C2468" s="25">
        <f>IF(COUNTIF('کدهای پیام‌داروساز'!$A$2:$A$2442,A2468)&gt;0,"بله","خیر")</f>
        <v/>
      </c>
    </row>
    <row r="2469" ht="15" customHeight="1" s="14">
      <c r="A2469" s="24" t="n">
        <v>51170</v>
      </c>
      <c r="B2469" s="24" t="inlineStr">
        <is>
          <t>کلنيل   اينهالر استنشاقي 0.4 mg/1mL 2 mg - درمان ياب دارو</t>
        </is>
      </c>
      <c r="C2469" s="25">
        <f>IF(COUNTIF('کدهای پیام‌داروساز'!$A$2:$A$2442,A2469)&gt;0,"بله","خیر")</f>
        <v/>
      </c>
    </row>
    <row r="2470" ht="15" customHeight="1" s="14">
      <c r="A2470" s="24" t="n">
        <v>51178</v>
      </c>
      <c r="B2470" s="24" t="inlineStr">
        <is>
          <t>ام آي بي آي (متوکسي  ايزوبوتيل ايزونيتريل)   پودر لئوفيليزه براي تهيه محلول تزريقي داخل وريدي 100 mCi  mg - پارس ايزوتوپ</t>
        </is>
      </c>
      <c r="C2470" s="25">
        <f>IF(COUNTIF('کدهای پیام‌داروساز'!$A$2:$A$2442,A2470)&gt;0,"بله","خیر")</f>
        <v/>
      </c>
    </row>
    <row r="2471" ht="15" customHeight="1" s="14">
      <c r="A2471" s="24" t="n">
        <v>51179</v>
      </c>
      <c r="B2471" s="24" t="inlineStr">
        <is>
          <t>زابوتريکس-آ ب اي   تزريقي پرنترال 6500 [iU]/1mL 10 [iU] - داروسازي مصون دارو</t>
        </is>
      </c>
      <c r="C2471" s="25">
        <f>IF(COUNTIF('کدهای پیام‌داروساز'!$A$2:$A$2442,A2471)&gt;0,"بله","خیر")</f>
        <v/>
      </c>
    </row>
    <row r="2472" ht="15" customHeight="1" s="14">
      <c r="A2472" s="24" t="n">
        <v>51182</v>
      </c>
      <c r="B2472" s="24" t="inlineStr">
        <is>
          <t>برينرت   پودر براي تهيه محلول تزريقي پرنترال 500 [iU]  [iU] - اوين دارو</t>
        </is>
      </c>
      <c r="C2472" s="25">
        <f>IF(COUNTIF('کدهای پیام‌داروساز'!$A$2:$A$2442,A2472)&gt;0,"بله","خیر")</f>
        <v/>
      </c>
    </row>
    <row r="2473" ht="15" customHeight="1" s="14">
      <c r="A2473" s="24" t="n">
        <v>51202</v>
      </c>
      <c r="B2473" s="24" t="inlineStr">
        <is>
          <t>اينوگا   سوسپانسيون تزريقي پيوسته رهش پرنترال 117 mg/0.75mL  mg - بازرگاني سها کيش</t>
        </is>
      </c>
      <c r="C2473" s="25">
        <f>IF(COUNTIF('کدهای پیام‌داروساز'!$A$2:$A$2442,A2473)&gt;0,"بله","خیر")</f>
        <v/>
      </c>
    </row>
    <row r="2474" ht="15" customHeight="1" s="14">
      <c r="A2474" s="24" t="n">
        <v>51204</v>
      </c>
      <c r="B2474" s="24" t="inlineStr">
        <is>
          <t>بتزگا   قرص پيوسته رهش خوراکي 50 mg - دارو سازي آنوشا</t>
        </is>
      </c>
      <c r="C2474" s="25">
        <f>IF(COUNTIF('کدهای پیام‌داروساز'!$A$2:$A$2442,A2474)&gt;0,"بله","خیر")</f>
        <v/>
      </c>
    </row>
    <row r="2475" ht="15" customHeight="1" s="14">
      <c r="A2475" s="24" t="n">
        <v>51213</v>
      </c>
      <c r="B2475" s="24" t="inlineStr">
        <is>
          <t>آلربند   سوسپانسيون خوراکي 30 mg/5mL 120 mL - دارودرمان پارس</t>
        </is>
      </c>
      <c r="C2475" s="25">
        <f>IF(COUNTIF('کدهای پیام‌داروساز'!$A$2:$A$2442,A2475)&gt;0,"بله","خیر")</f>
        <v/>
      </c>
    </row>
    <row r="2476" ht="15" customHeight="1" s="14">
      <c r="A2476" s="24" t="n">
        <v>51238</v>
      </c>
      <c r="B2476" s="24" t="inlineStr">
        <is>
          <t>آواميس   اسپري با دوز اندازه گيري شده از راه بيني 27.5 ug/1 {Puff} 120 {dose} - کوبل دارو</t>
        </is>
      </c>
      <c r="C2476" s="25">
        <f>IF(COUNTIF('کدهای پیام‌داروساز'!$A$2:$A$2442,A2476)&gt;0,"بله","خیر")</f>
        <v/>
      </c>
    </row>
    <row r="2477" ht="15" customHeight="1" s="14">
      <c r="A2477" s="24" t="n">
        <v>51241</v>
      </c>
      <c r="B2477" s="24" t="inlineStr">
        <is>
          <t>پي واي پي (سديم پيروفسفات دکاهيدرات)   پودر براي تهيه فرآورده تزريقي داخل وريدي 14 mg  mg - پارس ايزوتوپ</t>
        </is>
      </c>
      <c r="C2477" s="25">
        <f>IF(COUNTIF('کدهای پیام‌داروساز'!$A$2:$A$2442,A2477)&gt;0,"بله","خیر")</f>
        <v/>
      </c>
    </row>
    <row r="2478" ht="15" customHeight="1" s="14">
      <c r="A2478" s="24" t="n">
        <v>51242</v>
      </c>
      <c r="B2478" s="24" t="inlineStr">
        <is>
          <t>آر بي سي (قلع ++) کيت  براي نشاندار کردن گلبول قرمز   پودر لئوفيليزه براي تهيه محلول تزريقي داخل وريدي 100 mCi  mg - پارس ايزوتوپ</t>
        </is>
      </c>
      <c r="C2478" s="25">
        <f>IF(COUNTIF('کدهای پیام‌داروساز'!$A$2:$A$2442,A2478)&gt;0,"بله","خیر")</f>
        <v/>
      </c>
    </row>
    <row r="2479" ht="15" customHeight="1" s="14">
      <c r="A2479" s="24" t="n">
        <v>51244</v>
      </c>
      <c r="B2479" s="24" t="inlineStr">
        <is>
          <t>هاينيک-توک   پودر لئوفيليزه براي تهيه محلول تزريقي داخل وريدي 25 ug  ug - پارس ايزوتوپ</t>
        </is>
      </c>
      <c r="C2479" s="25">
        <f>IF(COUNTIF('کدهای پیام‌داروساز'!$A$2:$A$2442,A2479)&gt;0,"بله","خیر")</f>
        <v/>
      </c>
    </row>
    <row r="2480" ht="15" customHeight="1" s="14">
      <c r="A2480" s="24" t="n">
        <v>51246</v>
      </c>
      <c r="B2480" s="24" t="inlineStr">
        <is>
          <t>هاينيک يو بي آي   پودر لئوفيليزه براي تهيه محلول تزريقي داخل وريدي 50 ug  ug - پارس ايزوتوپ</t>
        </is>
      </c>
      <c r="C2480" s="25">
        <f>IF(COUNTIF('کدهای پیام‌داروساز'!$A$2:$A$2442,A2480)&gt;0,"بله","خیر")</f>
        <v/>
      </c>
    </row>
    <row r="2481" ht="15" customHeight="1" s="14">
      <c r="A2481" s="24" t="n">
        <v>51249</v>
      </c>
      <c r="B2481" s="24" t="inlineStr">
        <is>
          <t>ژرمانيوم68/گاليوم68   محلول داخل وريدي 20 mCi 3 mCi - پارس ايزوتوپ</t>
        </is>
      </c>
      <c r="C2481" s="25">
        <f>IF(COUNTIF('کدهای پیام‌داروساز'!$A$2:$A$2442,A2481)&gt;0,"بله","خیر")</f>
        <v/>
      </c>
    </row>
    <row r="2482" ht="15" customHeight="1" s="14">
      <c r="A2482" s="24" t="n">
        <v>51252</v>
      </c>
      <c r="B2482" s="24" t="inlineStr">
        <is>
          <t>زغال فعال   سوسپانسيون خوراکي 200 mg/1mL 250 g - فوريتهاي سينا آرات گستر</t>
        </is>
      </c>
      <c r="C2482" s="25">
        <f>IF(COUNTIF('کدهای پیام‌داروساز'!$A$2:$A$2442,A2482)&gt;0,"بله","خیر")</f>
        <v/>
      </c>
    </row>
    <row r="2483" ht="15" customHeight="1" s="14">
      <c r="A2483" s="24" t="n">
        <v>51281</v>
      </c>
      <c r="B2483" s="24" t="inlineStr">
        <is>
          <t>الميرون   قرص خوراکي 100 mg - بازرگاني سها کيش</t>
        </is>
      </c>
      <c r="C2483" s="25">
        <f>IF(COUNTIF('کدهای پیام‌داروساز'!$A$2:$A$2442,A2483)&gt;0,"بله","خیر")</f>
        <v/>
      </c>
    </row>
    <row r="2484" ht="15" customHeight="1" s="14">
      <c r="A2484" s="24" t="n">
        <v>51284</v>
      </c>
      <c r="B2484" s="24" t="inlineStr">
        <is>
          <t>دفانيل   قرص خوراکي 50 mg - بازرگاني سها کيش</t>
        </is>
      </c>
      <c r="C2484" s="25">
        <f>IF(COUNTIF('کدهای پیام‌داروساز'!$A$2:$A$2442,A2484)&gt;0,"بله","خیر")</f>
        <v/>
      </c>
    </row>
    <row r="2485" ht="15" customHeight="1" s="14">
      <c r="A2485" s="24" t="n">
        <v>51285</v>
      </c>
      <c r="B2485" s="24" t="inlineStr">
        <is>
          <t>سردولکت   قرص خوراکي 4 mg - بازرگاني سها کيش</t>
        </is>
      </c>
      <c r="C2485" s="25">
        <f>IF(COUNTIF('کدهای پیام‌داروساز'!$A$2:$A$2442,A2485)&gt;0,"بله","خیر")</f>
        <v/>
      </c>
    </row>
    <row r="2486" ht="15" customHeight="1" s="14">
      <c r="A2486" s="24" t="n">
        <v>51286</v>
      </c>
      <c r="B2486" s="24" t="inlineStr">
        <is>
          <t>ليپوفوندين ام سي تي/ ال سي تي   محلول تزريقي پرنترال 500 mL - رضا دارو پارس</t>
        </is>
      </c>
      <c r="C2486" s="25">
        <f>IF(COUNTIF('کدهای پیام‌داروساز'!$A$2:$A$2442,A2486)&gt;0,"بله","خیر")</f>
        <v/>
      </c>
    </row>
    <row r="2487" ht="15" customHeight="1" s="14">
      <c r="A2487" s="24" t="n">
        <v>51302</v>
      </c>
      <c r="B2487" s="24" t="inlineStr">
        <is>
          <t>آموکسي سيلين / کلاوولانيک اسيد نورمون   پودر براي تهيه محلول تزريقي پرنترال 1000 mg/200 mg  mg - تچرا دارو</t>
        </is>
      </c>
      <c r="C2487" s="25">
        <f>IF(COUNTIF('کدهای پیام‌داروساز'!$A$2:$A$2442,A2487)&gt;0,"بله","خیر")</f>
        <v/>
      </c>
    </row>
    <row r="2488" ht="15" customHeight="1" s="14">
      <c r="A2488" s="24" t="n">
        <v>51328</v>
      </c>
      <c r="B2488" s="24" t="inlineStr">
        <is>
          <t>گالانيل   محلول خوراکي 4 mg/1mL  mL - نسيم دارو سلامت</t>
        </is>
      </c>
      <c r="C2488" s="25">
        <f>IF(COUNTIF('کدهای پیام‌داروساز'!$A$2:$A$2442,A2488)&gt;0,"بله","خیر")</f>
        <v/>
      </c>
    </row>
    <row r="2489" ht="15" customHeight="1" s="14">
      <c r="A2489" s="24" t="n">
        <v>51329</v>
      </c>
      <c r="B2489" s="24" t="inlineStr">
        <is>
          <t>ميکروتايد   سوسپانسيون تزريقي پيوسته رهش پرنترال 2 mg  mg - فرآورده هاي پويش دارو</t>
        </is>
      </c>
      <c r="C2489" s="25">
        <f>IF(COUNTIF('کدهای پیام‌داروساز'!$A$2:$A$2442,A2489)&gt;0,"بله","خیر")</f>
        <v/>
      </c>
    </row>
    <row r="2490" ht="15" customHeight="1" s="14">
      <c r="A2490" s="24" t="n">
        <v>51331</v>
      </c>
      <c r="B2490" s="24" t="inlineStr">
        <is>
          <t>ويرگان   ژل چشمي 0.15 % 5 g - يارا طب خاورميانه</t>
        </is>
      </c>
      <c r="C2490" s="25">
        <f>IF(COUNTIF('کدهای پیام‌داروساز'!$A$2:$A$2442,A2490)&gt;0,"بله","خیر")</f>
        <v/>
      </c>
    </row>
    <row r="2491" ht="15" customHeight="1" s="14">
      <c r="A2491" s="24" t="n">
        <v>51335</v>
      </c>
      <c r="B2491" s="24" t="inlineStr">
        <is>
          <t>جنتافيوژن   تزريقي پرنترال 0.8 mg/1mL  mL - داروسازي شهيد قاضي</t>
        </is>
      </c>
      <c r="C2491" s="25">
        <f>IF(COUNTIF('کدهای پیام‌داروساز'!$A$2:$A$2442,A2491)&gt;0,"بله","خیر")</f>
        <v/>
      </c>
    </row>
    <row r="2492" ht="15" customHeight="1" s="14">
      <c r="A2492" s="24" t="n">
        <v>51339</v>
      </c>
      <c r="B2492" s="24" t="inlineStr">
        <is>
          <t>آپيرابان   قرص خوراکي 2.5 mg - داروسازي ابوريحان</t>
        </is>
      </c>
      <c r="C2492" s="25">
        <f>IF(COUNTIF('کدهای پیام‌داروساز'!$A$2:$A$2442,A2492)&gt;0,"بله","خیر")</f>
        <v/>
      </c>
    </row>
    <row r="2493" ht="15" customHeight="1" s="14">
      <c r="A2493" s="24" t="n">
        <v>51340</v>
      </c>
      <c r="B2493" s="24" t="inlineStr">
        <is>
          <t>آپيرابان   قرص خوراکي 5 mg - داروسازي ابوريحان</t>
        </is>
      </c>
      <c r="C2493" s="25">
        <f>IF(COUNTIF('کدهای پیام‌داروساز'!$A$2:$A$2442,A2493)&gt;0,"بله","خیر")</f>
        <v/>
      </c>
    </row>
    <row r="2494" ht="15" customHeight="1" s="14">
      <c r="A2494" s="24" t="n">
        <v>51348</v>
      </c>
      <c r="B2494" s="24" t="inlineStr">
        <is>
          <t>بلاژست   قرص خوراکي 2 mg/0.03 mg - دارو سازي آتي فارمد</t>
        </is>
      </c>
      <c r="C2494" s="25">
        <f>IF(COUNTIF('کدهای پیام‌داروساز'!$A$2:$A$2442,A2494)&gt;0,"بله","خیر")</f>
        <v/>
      </c>
    </row>
    <row r="2495" ht="15" customHeight="1" s="14">
      <c r="A2495" s="24" t="n">
        <v>51351</v>
      </c>
      <c r="B2495" s="24" t="inlineStr">
        <is>
          <t>امتريسيتابين/ تنوفوويرديسوپروکسيل فومارات/ افاويرنز   قرص خوراکي 200 mg/300 mg/600 mg - ماه داروي حکيم</t>
        </is>
      </c>
      <c r="C2495" s="25">
        <f>IF(COUNTIF('کدهای پیام‌داروساز'!$A$2:$A$2442,A2495)&gt;0,"بله","خیر")</f>
        <v/>
      </c>
    </row>
    <row r="2496" ht="15" customHeight="1" s="14">
      <c r="A2496" s="24" t="n">
        <v>51370</v>
      </c>
      <c r="B2496" s="24" t="inlineStr">
        <is>
          <t>دانترولن   کپسول خوراکي 25 mg - بهار نگين توسعه</t>
        </is>
      </c>
      <c r="C2496" s="25">
        <f>IF(COUNTIF('کدهای پیام‌داروساز'!$A$2:$A$2442,A2496)&gt;0,"بله","خیر")</f>
        <v/>
      </c>
    </row>
    <row r="2497" ht="15" customHeight="1" s="14">
      <c r="A2497" s="24" t="n">
        <v>51371</v>
      </c>
      <c r="B2497" s="24" t="inlineStr">
        <is>
          <t>داپسوژل   ژل موضعي 5 % 30 g - پارس بهروزان جم</t>
        </is>
      </c>
      <c r="C2497" s="25">
        <f>IF(COUNTIF('کدهای پیام‌داروساز'!$A$2:$A$2442,A2497)&gt;0,"بله","خیر")</f>
        <v/>
      </c>
    </row>
    <row r="2498" ht="15" customHeight="1" s="14">
      <c r="A2498" s="24" t="n">
        <v>51377</v>
      </c>
      <c r="B2498" s="24" t="inlineStr">
        <is>
          <t>آزورل   قرص خوراکي 75 ug - دارو سازي آتي فارمد</t>
        </is>
      </c>
      <c r="C2498" s="25">
        <f>IF(COUNTIF('کدهای پیام‌داروساز'!$A$2:$A$2442,A2498)&gt;0,"بله","خیر")</f>
        <v/>
      </c>
    </row>
    <row r="2499" ht="15" customHeight="1" s="14">
      <c r="A2499" s="24" t="n">
        <v>51380</v>
      </c>
      <c r="B2499" s="24" t="inlineStr">
        <is>
          <t>آلزيکسا اي آر   کپسول پيوسته رهش خوراکي 14 mg - دارو سازي آنوشا</t>
        </is>
      </c>
      <c r="C2499" s="25">
        <f>IF(COUNTIF('کدهای پیام‌داروساز'!$A$2:$A$2442,A2499)&gt;0,"بله","خیر")</f>
        <v/>
      </c>
    </row>
    <row r="2500" ht="15" customHeight="1" s="14">
      <c r="A2500" s="24" t="n">
        <v>51396</v>
      </c>
      <c r="B2500" s="24" t="inlineStr">
        <is>
          <t>سوماتولين اتوژل   محلول تزريقي پرنترال 120 mg  mg - کوبل دارو</t>
        </is>
      </c>
      <c r="C2500" s="25">
        <f>IF(COUNTIF('کدهای پیام‌داروساز'!$A$2:$A$2442,A2500)&gt;0,"بله","خیر")</f>
        <v/>
      </c>
    </row>
    <row r="2501" ht="15" customHeight="1" s="14">
      <c r="A2501" s="24" t="n">
        <v>51403</v>
      </c>
      <c r="B2501" s="24" t="inlineStr">
        <is>
          <t>لارگو   اسپري موضعي 6.5 % 65 % - دلتا دارو</t>
        </is>
      </c>
      <c r="C2501" s="25">
        <f>IF(COUNTIF('کدهای پیام‌داروساز'!$A$2:$A$2442,A2501)&gt;0,"بله","خیر")</f>
        <v/>
      </c>
    </row>
    <row r="2502" ht="15" customHeight="1" s="14">
      <c r="A2502" s="24" t="n">
        <v>51404</v>
      </c>
      <c r="B2502" s="24" t="inlineStr">
        <is>
          <t>جفتانا   محلول غليظ تزريقي داخل وريدي 40 mg/1mL 1.5 mg - فوريتهاي سينا آرات گستر</t>
        </is>
      </c>
      <c r="C2502" s="25">
        <f>IF(COUNTIF('کدهای پیام‌داروساز'!$A$2:$A$2442,A2502)&gt;0,"بله","خیر")</f>
        <v/>
      </c>
    </row>
    <row r="2503" ht="15" customHeight="1" s="14">
      <c r="A2503" s="24" t="n">
        <v>51409</v>
      </c>
      <c r="B2503" s="24" t="inlineStr">
        <is>
          <t>آميتيزا   کپسول خوراکي 8 ug - بازرگاني سها کيش</t>
        </is>
      </c>
      <c r="C2503" s="25">
        <f>IF(COUNTIF('کدهای پیام‌داروساز'!$A$2:$A$2442,A2503)&gt;0,"بله","خیر")</f>
        <v/>
      </c>
    </row>
    <row r="2504" ht="15" customHeight="1" s="14">
      <c r="A2504" s="24" t="n">
        <v>51410</v>
      </c>
      <c r="B2504" s="24" t="inlineStr">
        <is>
          <t>انسولين ليسپرو   تزريقي پرنترال 100 [iU]/1mL 3 mL - فرآورده هاي پويش دارو</t>
        </is>
      </c>
      <c r="C2504" s="25">
        <f>IF(COUNTIF('کدهای پیام‌داروساز'!$A$2:$A$2442,A2504)&gt;0,"بله","خیر")</f>
        <v/>
      </c>
    </row>
    <row r="2505" ht="15" customHeight="1" s="14">
      <c r="A2505" s="24" t="n">
        <v>51414</v>
      </c>
      <c r="B2505" s="24" t="inlineStr">
        <is>
          <t>زپاتير   قرص خوراکي 50 mg/100 mg - بازرگاني سها کيش</t>
        </is>
      </c>
      <c r="C2505" s="25">
        <f>IF(COUNTIF('کدهای پیام‌داروساز'!$A$2:$A$2442,A2505)&gt;0,"بله","خیر")</f>
        <v/>
      </c>
    </row>
    <row r="2506" ht="15" customHeight="1" s="14">
      <c r="A2506" s="24" t="n">
        <v>51415</v>
      </c>
      <c r="B2506" s="24" t="inlineStr">
        <is>
          <t>ارکامبي   قرص خوراکي 200 mg/125 mg - بازرگاني سها کيش</t>
        </is>
      </c>
      <c r="C2506" s="25">
        <f>IF(COUNTIF('کدهای پیام‌داروساز'!$A$2:$A$2442,A2506)&gt;0,"بله","خیر")</f>
        <v/>
      </c>
    </row>
    <row r="2507" ht="15" customHeight="1" s="14">
      <c r="A2507" s="24" t="n">
        <v>51421</v>
      </c>
      <c r="B2507" s="24" t="inlineStr">
        <is>
          <t>آداون   تزريقي پرنترال 540 ug/1050 ug/19.79 ug/102.3 ug/17.29 ug/16.6 ug/5.33 ug/210 ug/4.85 ug/1mL 10 mL - درمان ياب دارو</t>
        </is>
      </c>
      <c r="C2507" s="25">
        <f>IF(COUNTIF('کدهای پیام‌داروساز'!$A$2:$A$2442,A2507)&gt;0,"بله","خیر")</f>
        <v/>
      </c>
    </row>
    <row r="2508" ht="15" customHeight="1" s="14">
      <c r="A2508" s="24" t="n">
        <v>51441</v>
      </c>
      <c r="B2508" s="24" t="inlineStr">
        <is>
          <t>ايمپاويدو   کپسول خوراکي 50 mg - ماه داروي حکيم</t>
        </is>
      </c>
      <c r="C2508" s="25">
        <f>IF(COUNTIF('کدهای پیام‌داروساز'!$A$2:$A$2442,A2508)&gt;0,"بله","خیر")</f>
        <v/>
      </c>
    </row>
    <row r="2509" ht="15" customHeight="1" s="14">
      <c r="A2509" s="24" t="n">
        <v>51458</v>
      </c>
      <c r="B2509" s="24" t="inlineStr">
        <is>
          <t>افنيب   کپسول حاوي مايع خوراکي 100 mg - داروسازان سانا فارمد</t>
        </is>
      </c>
      <c r="C2509" s="25">
        <f>IF(COUNTIF('کدهای پیام‌داروساز'!$A$2:$A$2442,A2509)&gt;0,"بله","خیر")</f>
        <v/>
      </c>
    </row>
    <row r="2510" ht="15" customHeight="1" s="14">
      <c r="A2510" s="24" t="n">
        <v>51459</v>
      </c>
      <c r="B2510" s="24" t="inlineStr">
        <is>
          <t>افنيب   کپسول حاوي مايع خوراکي 150 mg - داروسازان سانا فارمد</t>
        </is>
      </c>
      <c r="C2510" s="25">
        <f>IF(COUNTIF('کدهای پیام‌داروساز'!$A$2:$A$2442,A2510)&gt;0,"بله","خیر")</f>
        <v/>
      </c>
    </row>
    <row r="2511" ht="15" customHeight="1" s="14">
      <c r="A2511" s="24" t="n">
        <v>51462</v>
      </c>
      <c r="B2511" s="24" t="inlineStr">
        <is>
          <t>آيفوسدال   محلول تزريقي پرنترال 50 mg/1mL 20 g - سه دال نانو</t>
        </is>
      </c>
      <c r="C2511" s="25">
        <f>IF(COUNTIF('کدهای پیام‌داروساز'!$A$2:$A$2442,A2511)&gt;0,"بله","خیر")</f>
        <v/>
      </c>
    </row>
    <row r="2512" ht="15" customHeight="1" s="14">
      <c r="A2512" s="24" t="n">
        <v>51473</v>
      </c>
      <c r="B2512" s="24" t="inlineStr">
        <is>
          <t>آيوروتب   قرص خوراکي 6 mg - گيلارانکو</t>
        </is>
      </c>
      <c r="C2512" s="25">
        <f>IF(COUNTIF('کدهای پیام‌داروساز'!$A$2:$A$2442,A2512)&gt;0,"بله","خیر")</f>
        <v/>
      </c>
    </row>
    <row r="2513" ht="15" customHeight="1" s="14">
      <c r="A2513" s="24" t="n">
        <v>51477</v>
      </c>
      <c r="B2513" s="24" t="inlineStr">
        <is>
          <t>سوماتولين اتوژل   محلول تزريقي پرنترال 60 mg  mg - کوبل دارو</t>
        </is>
      </c>
      <c r="C2513" s="25">
        <f>IF(COUNTIF('کدهای پیام‌داروساز'!$A$2:$A$2442,A2513)&gt;0,"بله","خیر")</f>
        <v/>
      </c>
    </row>
    <row r="2514" ht="15" customHeight="1" s="14">
      <c r="A2514" s="24" t="n">
        <v>51478</v>
      </c>
      <c r="B2514" s="24" t="inlineStr">
        <is>
          <t>سوماتولين اتوژل   محلول تزريقي پرنترال 90 mg  mg - کوبل دارو</t>
        </is>
      </c>
      <c r="C2514" s="25">
        <f>IF(COUNTIF('کدهای پیام‌داروساز'!$A$2:$A$2442,A2514)&gt;0,"بله","خیر")</f>
        <v/>
      </c>
    </row>
    <row r="2515" ht="15" customHeight="1" s="14">
      <c r="A2515" s="24" t="n">
        <v>51479</v>
      </c>
      <c r="B2515" s="24" t="inlineStr">
        <is>
          <t>لناسب   کپسول خوراکي 5 mg - داروسازي سبحان انکولوژي</t>
        </is>
      </c>
      <c r="C2515" s="25">
        <f>IF(COUNTIF('کدهای پیام‌داروساز'!$A$2:$A$2442,A2515)&gt;0,"بله","خیر")</f>
        <v/>
      </c>
    </row>
    <row r="2516" ht="15" customHeight="1" s="14">
      <c r="A2516" s="24" t="n">
        <v>51485</v>
      </c>
      <c r="B2516" s="24" t="inlineStr">
        <is>
          <t>پرزوکائين-ايي   تزريقي پرنترال 20 mg/12.5 ug/1mL 1.8 mL - کارخانجات دارو پخش</t>
        </is>
      </c>
      <c r="C2516" s="25">
        <f>IF(COUNTIF('کدهای پیام‌داروساز'!$A$2:$A$2442,A2516)&gt;0,"بله","خیر")</f>
        <v/>
      </c>
    </row>
    <row r="2517" ht="15" customHeight="1" s="14">
      <c r="A2517" s="24" t="n">
        <v>51492</v>
      </c>
      <c r="B2517" s="24" t="inlineStr">
        <is>
          <t>پيکودراپ   محلول، قطره خوراکي 7.5 mg/1mL 15 mL - نونا دارو پارس</t>
        </is>
      </c>
      <c r="C2517" s="25">
        <f>IF(COUNTIF('کدهای پیام‌داروساز'!$A$2:$A$2442,A2517)&gt;0,"بله","خیر")</f>
        <v/>
      </c>
    </row>
    <row r="2518" ht="15" customHeight="1" s="14">
      <c r="A2518" s="24" t="n">
        <v>51502</v>
      </c>
      <c r="B2518" s="24" t="inlineStr">
        <is>
          <t>محلول همودياليز اسيدي غليظ يک   محلول غليظ   همودياليز 3710 meq/35 meq/35 meq/87.5 meq/3902.5 meq/122.5 meq/70 g 4920 mL - صنايع پزشکي فارمد</t>
        </is>
      </c>
      <c r="C2518" s="25">
        <f>IF(COUNTIF('کدهای پیام‌داروساز'!$A$2:$A$2442,A2518)&gt;0,"بله","خیر")</f>
        <v/>
      </c>
    </row>
    <row r="2519" ht="15" customHeight="1" s="14">
      <c r="A2519" s="24" t="n">
        <v>51504</v>
      </c>
      <c r="B2519" s="24" t="inlineStr">
        <is>
          <t>محلول همودياليز اسيدي غليظ سه   محلول غليظ   همودياليز 3710 meq/35 meq/105 meq/87.5 meq/3902.5 meq/122.5 meq/70 g 4920 mL - صنايع پزشکي فارمد</t>
        </is>
      </c>
      <c r="C2519" s="25">
        <f>IF(COUNTIF('کدهای پیام‌داروساز'!$A$2:$A$2442,A2519)&gt;0,"بله","خیر")</f>
        <v/>
      </c>
    </row>
    <row r="2520" ht="15" customHeight="1" s="14">
      <c r="A2520" s="24" t="n">
        <v>51505</v>
      </c>
      <c r="B2520" s="24" t="inlineStr">
        <is>
          <t>پريسماسول 2   محلول پرنترال 5000 L - کار و انديشه</t>
        </is>
      </c>
      <c r="C2520" s="25">
        <f>IF(COUNTIF('کدهای پیام‌داروساز'!$A$2:$A$2442,A2520)&gt;0,"بله","خیر")</f>
        <v/>
      </c>
    </row>
    <row r="2521" ht="15" customHeight="1" s="14">
      <c r="A2521" s="24" t="n">
        <v>51508</v>
      </c>
      <c r="B2521" s="24" t="inlineStr">
        <is>
          <t>لوپيناوير / ريتوناوير   قرص خوراکي 100 mg/25 mg - ماه داروي حکيم</t>
        </is>
      </c>
      <c r="C2521" s="25">
        <f>IF(COUNTIF('کدهای پیام‌داروساز'!$A$2:$A$2442,A2521)&gt;0,"بله","خیر")</f>
        <v/>
      </c>
    </row>
    <row r="2522" ht="15" customHeight="1" s="14">
      <c r="A2522" s="24" t="n">
        <v>51513</v>
      </c>
      <c r="B2522" s="24" t="inlineStr">
        <is>
          <t>ترانکوپين   قرص پيوسته رهش خوراکي 150 mg - تدبير کالاي جم</t>
        </is>
      </c>
      <c r="C2522" s="25">
        <f>IF(COUNTIF('کدهای پیام‌داروساز'!$A$2:$A$2442,A2522)&gt;0,"بله","خیر")</f>
        <v/>
      </c>
    </row>
    <row r="2523" ht="15" customHeight="1" s="14">
      <c r="A2523" s="24" t="n">
        <v>51516</v>
      </c>
      <c r="B2523" s="24" t="inlineStr">
        <is>
          <t>دي پي گرافين   محلول خوراکي 66 %/10 % 120 mL - کارخانجات دارو پخش</t>
        </is>
      </c>
      <c r="C2523" s="25">
        <f>IF(COUNTIF('کدهای پیام‌داروساز'!$A$2:$A$2442,A2523)&gt;0,"بله","خیر")</f>
        <v/>
      </c>
    </row>
    <row r="2524" ht="15" customHeight="1" s="14">
      <c r="A2524" s="24" t="n">
        <v>51517</v>
      </c>
      <c r="B2524" s="24" t="inlineStr">
        <is>
          <t>کتيپين   قرص پيوسته رهش خوراکي 300 mg - اوست دارو بهبود</t>
        </is>
      </c>
      <c r="C2524" s="25">
        <f>IF(COUNTIF('کدهای پیام‌داروساز'!$A$2:$A$2442,A2524)&gt;0,"بله","خیر")</f>
        <v/>
      </c>
    </row>
    <row r="2525" ht="15" customHeight="1" s="14">
      <c r="A2525" s="24" t="n">
        <v>51518</v>
      </c>
      <c r="B2525" s="24" t="inlineStr">
        <is>
          <t>امپرازول عماد   پودر براي تهيه سوسپانسيون   خوراکي 20 mg  g - عماد درمان پارس</t>
        </is>
      </c>
      <c r="C2525" s="25">
        <f>IF(COUNTIF('کدهای پیام‌داروساز'!$A$2:$A$2442,A2525)&gt;0,"بله","خیر")</f>
        <v/>
      </c>
    </row>
    <row r="2526" ht="15" customHeight="1" s="14">
      <c r="A2526" s="24" t="n">
        <v>51520</v>
      </c>
      <c r="B2526" s="24" t="inlineStr">
        <is>
          <t>اينفلووير   پودر براي تهيه سوسپانسيون   خوراکي 60 mg/5mL 75 mg - نوآوران فخر دارو</t>
        </is>
      </c>
      <c r="C2526" s="25">
        <f>IF(COUNTIF('کدهای پیام‌داروساز'!$A$2:$A$2442,A2526)&gt;0,"بله","خیر")</f>
        <v/>
      </c>
    </row>
    <row r="2527" ht="15" customHeight="1" s="14">
      <c r="A2527" s="24" t="n">
        <v>51525</v>
      </c>
      <c r="B2527" s="24" t="inlineStr">
        <is>
          <t>اکسازار   قرص پيوسته رهش خوراکي 10 mg - آذر زيست دارو</t>
        </is>
      </c>
      <c r="C2527" s="25">
        <f>IF(COUNTIF('کدهای پیام‌داروساز'!$A$2:$A$2442,A2527)&gt;0,"بله","خیر")</f>
        <v/>
      </c>
    </row>
    <row r="2528" ht="15" customHeight="1" s="14">
      <c r="A2528" s="24" t="n">
        <v>51526</v>
      </c>
      <c r="B2528" s="24" t="inlineStr">
        <is>
          <t>اکسازار   قرص پيوسته رهش خوراکي 40 mg - آذر زيست دارو</t>
        </is>
      </c>
      <c r="C2528" s="25">
        <f>IF(COUNTIF('کدهای پیام‌داروساز'!$A$2:$A$2442,A2528)&gt;0,"بله","خیر")</f>
        <v/>
      </c>
    </row>
    <row r="2529" ht="15" customHeight="1" s="14">
      <c r="A2529" s="24" t="n">
        <v>51527</v>
      </c>
      <c r="B2529" s="24" t="inlineStr">
        <is>
          <t>فاروکسي   قرص پيوسته رهش خوراکي 80 mg - داروسازي فاران شيمي</t>
        </is>
      </c>
      <c r="C2529" s="25">
        <f>IF(COUNTIF('کدهای پیام‌داروساز'!$A$2:$A$2442,A2529)&gt;0,"بله","خیر")</f>
        <v/>
      </c>
    </row>
    <row r="2530" ht="15" customHeight="1" s="14">
      <c r="A2530" s="24" t="n">
        <v>51564</v>
      </c>
      <c r="B2530" s="24" t="inlineStr">
        <is>
          <t>پلاسماي فاقد کرايو   تزريقي پرنترال   mL - سازمان انتقال خون ايران</t>
        </is>
      </c>
      <c r="C2530" s="25">
        <f>IF(COUNTIF('کدهای پیام‌داروساز'!$A$2:$A$2442,A2530)&gt;0,"بله","خیر")</f>
        <v/>
      </c>
    </row>
    <row r="2531" ht="15" customHeight="1" s="14">
      <c r="A2531" s="24" t="n">
        <v>51565</v>
      </c>
      <c r="B2531" s="24" t="inlineStr">
        <is>
          <t>کرايوپرسيپيتيت   تزريقي پرنترال   mL - سازمان انتقال خون ايران</t>
        </is>
      </c>
      <c r="C2531" s="25">
        <f>IF(COUNTIF('کدهای پیام‌داروساز'!$A$2:$A$2442,A2531)&gt;0,"بله","خیر")</f>
        <v/>
      </c>
    </row>
    <row r="2532" ht="15" customHeight="1" s="14">
      <c r="A2532" s="24" t="n">
        <v>51566</v>
      </c>
      <c r="B2532" s="24" t="inlineStr">
        <is>
          <t>پلاسما تازه منجمد   تزريقي پرنترال   mL - توسعه پلاسما درمان خزر</t>
        </is>
      </c>
      <c r="C2532" s="25">
        <f>IF(COUNTIF('کدهای پیام‌داروساز'!$A$2:$A$2442,A2532)&gt;0,"بله","خیر")</f>
        <v/>
      </c>
    </row>
    <row r="2533" ht="15" customHeight="1" s="14">
      <c r="A2533" s="24" t="n">
        <v>51572</v>
      </c>
      <c r="B2533" s="24" t="inlineStr">
        <is>
          <t>پتاسيم کلرايد   تزريقي داخل وريدي 0.3 % 500 g - داروسازي ثامن</t>
        </is>
      </c>
      <c r="C2533" s="25">
        <f>IF(COUNTIF('کدهای پیام‌داروساز'!$A$2:$A$2442,A2533)&gt;0,"بله","خیر")</f>
        <v/>
      </c>
    </row>
    <row r="2534" ht="15" customHeight="1" s="14">
      <c r="A2534" s="24" t="n">
        <v>51577</v>
      </c>
      <c r="B2534" s="24" t="inlineStr">
        <is>
          <t>بتادين   شياف واژينال 200 mg - کيميا آرا هرم</t>
        </is>
      </c>
      <c r="C2534" s="25">
        <f>IF(COUNTIF('کدهای پیام‌داروساز'!$A$2:$A$2442,A2534)&gt;0,"بله","خیر")</f>
        <v/>
      </c>
    </row>
    <row r="2535" ht="15" customHeight="1" s="14">
      <c r="A2535" s="24" t="n">
        <v>51632</v>
      </c>
      <c r="B2535" s="24" t="inlineStr">
        <is>
          <t>آرزرا   محلول غليظ تزريقي پرنترال 20 mg/1mL 5 mg - بازرگاني سها کيش</t>
        </is>
      </c>
      <c r="C2535" s="25">
        <f>IF(COUNTIF('کدهای پیام‌داروساز'!$A$2:$A$2442,A2535)&gt;0,"بله","خیر")</f>
        <v/>
      </c>
    </row>
    <row r="2536" ht="15" customHeight="1" s="14">
      <c r="A2536" s="24" t="n">
        <v>51637</v>
      </c>
      <c r="B2536" s="24" t="inlineStr">
        <is>
          <t>پوستافن   قرص خوراکي 25 mg - بازرگاني سها کيش</t>
        </is>
      </c>
      <c r="C2536" s="25">
        <f>IF(COUNTIF('کدهای پیام‌داروساز'!$A$2:$A$2442,A2536)&gt;0,"بله","خیر")</f>
        <v/>
      </c>
    </row>
    <row r="2537" ht="15" customHeight="1" s="14">
      <c r="A2537" s="24" t="n">
        <v>51638</v>
      </c>
      <c r="B2537" s="24" t="inlineStr">
        <is>
          <t>وندسا   قرص خوراکي 100 mg - نو آوران دارويي کيميا</t>
        </is>
      </c>
      <c r="C2537" s="25">
        <f>IF(COUNTIF('کدهای پیام‌داروساز'!$A$2:$A$2442,A2537)&gt;0,"بله","خیر")</f>
        <v/>
      </c>
    </row>
    <row r="2538" ht="15" customHeight="1" s="14">
      <c r="A2538" s="24" t="n">
        <v>51644</v>
      </c>
      <c r="B2538" s="24" t="inlineStr">
        <is>
          <t>آلزيکسا اي آر   کپسول پيوسته رهش خوراکي 21 mg - دارو سازي آنوشا</t>
        </is>
      </c>
      <c r="C2538" s="25">
        <f>IF(COUNTIF('کدهای پیام‌داروساز'!$A$2:$A$2442,A2538)&gt;0,"بله","خیر")</f>
        <v/>
      </c>
    </row>
    <row r="2539" ht="15" customHeight="1" s="14">
      <c r="A2539" s="24" t="n">
        <v>51653</v>
      </c>
      <c r="B2539" s="24" t="inlineStr">
        <is>
          <t>ريتافن   قرص پيوسته رهش خوراکي 27 mg - داروسازي جالينوس</t>
        </is>
      </c>
      <c r="C2539" s="25">
        <f>IF(COUNTIF('کدهای پیام‌داروساز'!$A$2:$A$2442,A2539)&gt;0,"بله","خیر")</f>
        <v/>
      </c>
    </row>
    <row r="2540" ht="15" customHeight="1" s="14">
      <c r="A2540" s="24" t="n">
        <v>51656</v>
      </c>
      <c r="B2540" s="24" t="inlineStr">
        <is>
          <t>آميزول   قرص خوراکي 500 mg - داروسازي امين</t>
        </is>
      </c>
      <c r="C2540" s="25">
        <f>IF(COUNTIF('کدهای پیام‌داروساز'!$A$2:$A$2442,A2540)&gt;0,"بله","خیر")</f>
        <v/>
      </c>
    </row>
    <row r="2541" ht="15" customHeight="1" s="14">
      <c r="A2541" s="24" t="n">
        <v>51673</v>
      </c>
      <c r="B2541" s="24" t="inlineStr">
        <is>
          <t>برنامين   کرم موضعي 1 %/0.001 % 15 g - دارو درمان برنا</t>
        </is>
      </c>
      <c r="C2541" s="25">
        <f>IF(COUNTIF('کدهای پیام‌داروساز'!$A$2:$A$2442,A2541)&gt;0,"بله","خیر")</f>
        <v/>
      </c>
    </row>
    <row r="2542" ht="15" customHeight="1" s="14">
      <c r="A2542" s="24" t="n">
        <v>51681</v>
      </c>
      <c r="B2542" s="24" t="inlineStr">
        <is>
          <t>اوگانيس   قرص خوراکي 5 mg - پارس گيتا دارو</t>
        </is>
      </c>
      <c r="C2542" s="25">
        <f>IF(COUNTIF('کدهای پیام‌داروساز'!$A$2:$A$2442,A2542)&gt;0,"بله","خیر")</f>
        <v/>
      </c>
    </row>
    <row r="2543" ht="15" customHeight="1" s="14">
      <c r="A2543" s="24" t="n">
        <v>51682</v>
      </c>
      <c r="B2543" s="24" t="inlineStr">
        <is>
          <t>متالايز   پودر براي تهيه محلول تزريقي پرنترال 50 mg  mg - شفا ياب گستر</t>
        </is>
      </c>
      <c r="C2543" s="25">
        <f>IF(COUNTIF('کدهای پیام‌داروساز'!$A$2:$A$2442,A2543)&gt;0,"بله","خیر")</f>
        <v/>
      </c>
    </row>
    <row r="2544" ht="15" customHeight="1" s="14">
      <c r="A2544" s="24" t="n">
        <v>51698</v>
      </c>
      <c r="B2544" s="24" t="inlineStr">
        <is>
          <t>توباميست   محلول استنشاقي 60 mg/1mL 5 mL - بهستان دارو</t>
        </is>
      </c>
      <c r="C2544" s="25">
        <f>IF(COUNTIF('کدهای پیام‌داروساز'!$A$2:$A$2442,A2544)&gt;0,"بله","خیر")</f>
        <v/>
      </c>
    </row>
    <row r="2545" ht="15" customHeight="1" s="14">
      <c r="A2545" s="24" t="n">
        <v>51703</v>
      </c>
      <c r="B2545" s="24" t="inlineStr">
        <is>
          <t>آرتيپيک ادونسد    محلول، قطره چشمي 0.2 %  mL</t>
        </is>
      </c>
      <c r="C2545" s="25">
        <f>IF(COUNTIF('کدهای پیام‌داروساز'!$A$2:$A$2442,A2545)&gt;0,"بله","خیر")</f>
        <v/>
      </c>
    </row>
    <row r="2546" ht="15" customHeight="1" s="14">
      <c r="A2546" s="24" t="n">
        <v>51709</v>
      </c>
      <c r="B2546" s="24" t="inlineStr">
        <is>
          <t>دي بي-تريامسين   اسپري از راه بيني 55 ug/1{dose}  mL - لابراتوار هاي دنياي بهداشت</t>
        </is>
      </c>
      <c r="C2546" s="25">
        <f>IF(COUNTIF('کدهای پیام‌داروساز'!$A$2:$A$2442,A2546)&gt;0,"بله","خیر")</f>
        <v/>
      </c>
    </row>
    <row r="2547" ht="15" customHeight="1" s="14">
      <c r="A2547" s="24" t="n">
        <v>51718</v>
      </c>
      <c r="B2547" s="24" t="inlineStr">
        <is>
          <t>بي باکتر   صابون موضعي 1 % 100 g - ساپونين ايران</t>
        </is>
      </c>
      <c r="C2547" s="25">
        <f>IF(COUNTIF('کدهای پیام‌داروساز'!$A$2:$A$2442,A2547)&gt;0,"بله","خیر")</f>
        <v/>
      </c>
    </row>
    <row r="2548" ht="15" customHeight="1" s="14">
      <c r="A2548" s="24" t="n">
        <v>51720</v>
      </c>
      <c r="B2548" s="24" t="inlineStr">
        <is>
          <t>نانومگ-دي-اسپيو   سوسپانسيون تزريقي پرنترال 13 %/87 % 10 mL - بازرگاني سها کيش</t>
        </is>
      </c>
      <c r="C2548" s="25">
        <f>IF(COUNTIF('کدهای پیام‌داروساز'!$A$2:$A$2442,A2548)&gt;0,"بله","خیر")</f>
        <v/>
      </c>
    </row>
    <row r="2549" ht="15" customHeight="1" s="14">
      <c r="A2549" s="24" t="n">
        <v>51722</v>
      </c>
      <c r="B2549" s="24" t="inlineStr">
        <is>
          <t>جاولور   تزريقي پرنترال 25 mg/1mL 10 mg - بازرگاني سها کيش</t>
        </is>
      </c>
      <c r="C2549" s="25">
        <f>IF(COUNTIF('کدهای پیام‌داروساز'!$A$2:$A$2442,A2549)&gt;0,"بله","خیر")</f>
        <v/>
      </c>
    </row>
    <row r="2550" ht="15" customHeight="1" s="14">
      <c r="A2550" s="24" t="n">
        <v>51725</v>
      </c>
      <c r="B2550" s="24" t="inlineStr">
        <is>
          <t>مکسي ترول   سوسپانسيون، قطره چشمي 3500 [iU]/6000 [iU]/1 mg/1mL 5 mL - نوين دارو پژوه ايرانيان</t>
        </is>
      </c>
      <c r="C2550" s="25">
        <f>IF(COUNTIF('کدهای پیام‌داروساز'!$A$2:$A$2442,A2550)&gt;0,"بله","خیر")</f>
        <v/>
      </c>
    </row>
    <row r="2551" ht="15" customHeight="1" s="14">
      <c r="A2551" s="24" t="n">
        <v>51747</v>
      </c>
      <c r="B2551" s="24" t="inlineStr">
        <is>
          <t>رترووير   محلول غليظ تزريقي پرنترال 10 mg/1mL  mg - کي بي سي</t>
        </is>
      </c>
      <c r="C2551" s="25">
        <f>IF(COUNTIF('کدهای پیام‌داروساز'!$A$2:$A$2442,A2551)&gt;0,"بله","خیر")</f>
        <v/>
      </c>
    </row>
    <row r="2552" ht="15" customHeight="1" s="14">
      <c r="A2552" s="24" t="n">
        <v>51777</v>
      </c>
      <c r="B2552" s="24" t="inlineStr">
        <is>
          <t>اگزوپيو   پودر براي تهيه سوسپانسيون تزريقي پيوسته رهش پرنترال 380 mg  mg - نانو دارو پژوهان پرديس</t>
        </is>
      </c>
      <c r="C2552" s="25">
        <f>IF(COUNTIF('کدهای پیام‌داروساز'!$A$2:$A$2442,A2552)&gt;0,"بله","خیر")</f>
        <v/>
      </c>
    </row>
    <row r="2553" ht="15" customHeight="1" s="14">
      <c r="A2553" s="24" t="n">
        <v>51790</v>
      </c>
      <c r="B2553" s="24" t="inlineStr">
        <is>
          <t>نيکوکات   قرص مکيدني خوراکي 2 mg - هست آفرين دارو</t>
        </is>
      </c>
      <c r="C2553" s="25">
        <f>IF(COUNTIF('کدهای پیام‌داروساز'!$A$2:$A$2442,A2553)&gt;0,"بله","خیر")</f>
        <v/>
      </c>
    </row>
    <row r="2554" ht="15" customHeight="1" s="14">
      <c r="A2554" s="24" t="n">
        <v>51793</v>
      </c>
      <c r="B2554" s="24" t="inlineStr">
        <is>
          <t>نيکوکات   قرص مکيدني خوراکي 4 mg - هست آفرين دارو</t>
        </is>
      </c>
      <c r="C2554" s="25">
        <f>IF(COUNTIF('کدهای پیام‌داروساز'!$A$2:$A$2442,A2554)&gt;0,"بله","خیر")</f>
        <v/>
      </c>
    </row>
    <row r="2555" ht="15" customHeight="1" s="14">
      <c r="A2555" s="24" t="n">
        <v>51798</v>
      </c>
      <c r="B2555" s="24" t="inlineStr">
        <is>
          <t>بانوليب   کپسول خوراکي 150 mg - شيميائي و داروئي باران</t>
        </is>
      </c>
      <c r="C2555" s="25">
        <f>IF(COUNTIF('کدهای پیام‌داروساز'!$A$2:$A$2442,A2555)&gt;0,"بله","خیر")</f>
        <v/>
      </c>
    </row>
    <row r="2556" ht="15" customHeight="1" s="14">
      <c r="A2556" s="24" t="n">
        <v>51809</v>
      </c>
      <c r="B2556" s="24" t="inlineStr">
        <is>
          <t>درمان نوکس   گاز استنشاقي 50 %/50 % 7 L - درمان گاز</t>
        </is>
      </c>
      <c r="C2556" s="25">
        <f>IF(COUNTIF('کدهای پیام‌داروساز'!$A$2:$A$2442,A2556)&gt;0,"بله","خیر")</f>
        <v/>
      </c>
    </row>
    <row r="2557" ht="15" customHeight="1" s="14">
      <c r="A2557" s="24" t="n">
        <v>51815</v>
      </c>
      <c r="B2557" s="24" t="inlineStr">
        <is>
          <t>سديم کلرايد   محلول تزريقي پرنترال 0.9 % 5 % - نانو دارو پژوهان پرديس</t>
        </is>
      </c>
      <c r="C2557" s="25">
        <f>IF(COUNTIF('کدهای پیام‌داروساز'!$A$2:$A$2442,A2557)&gt;0,"بله","خیر")</f>
        <v/>
      </c>
    </row>
    <row r="2558" ht="15" customHeight="1" s="14">
      <c r="A2558" s="24" t="n">
        <v>51816</v>
      </c>
      <c r="B2558" s="24" t="inlineStr">
        <is>
          <t>فيبرووين   تزريقي پرنترال 0.5 % 2 mg - سينا پيشگام دارو نوين</t>
        </is>
      </c>
      <c r="C2558" s="25">
        <f>IF(COUNTIF('کدهای پیام‌داروساز'!$A$2:$A$2442,A2558)&gt;0,"بله","خیر")</f>
        <v/>
      </c>
    </row>
    <row r="2559" ht="15" customHeight="1" s="14">
      <c r="A2559" s="24" t="n">
        <v>51822</v>
      </c>
      <c r="B2559" s="24" t="inlineStr">
        <is>
          <t>تاليدومايد   کپسول خوراکي 50 mg - رضا دارو پارس</t>
        </is>
      </c>
      <c r="C2559" s="25">
        <f>IF(COUNTIF('کدهای پیام‌داروساز'!$A$2:$A$2442,A2559)&gt;0,"بله","خیر")</f>
        <v/>
      </c>
    </row>
    <row r="2560" ht="15" customHeight="1" s="14">
      <c r="A2560" s="24" t="n">
        <v>51828</v>
      </c>
      <c r="B2560" s="24" t="inlineStr">
        <is>
          <t>واکسن هپاتيت بي    تزريقي پرنترال 1 {dose} 1 {dose} - اوين دارو</t>
        </is>
      </c>
      <c r="C2560" s="25">
        <f>IF(COUNTIF('کدهای پیام‌داروساز'!$A$2:$A$2442,A2560)&gt;0,"بله","خیر")</f>
        <v/>
      </c>
    </row>
    <row r="2561" ht="15" customHeight="1" s="14">
      <c r="A2561" s="24" t="n">
        <v>51831</v>
      </c>
      <c r="B2561" s="24" t="inlineStr">
        <is>
          <t>کيترودا   پودر لئوفيليزه براي تهيه محلول تزريقي پرنترال 50 mg  mg - بازرگاني سها کيش</t>
        </is>
      </c>
      <c r="C2561" s="25">
        <f>IF(COUNTIF('کدهای پیام‌داروساز'!$A$2:$A$2442,A2561)&gt;0,"بله","خیر")</f>
        <v/>
      </c>
    </row>
    <row r="2562" ht="15" customHeight="1" s="14">
      <c r="A2562" s="24" t="n">
        <v>51840</v>
      </c>
      <c r="B2562" s="24" t="inlineStr">
        <is>
          <t>موکورفيکس   قرص انتريک کوتد خوراکي 100 mg - يارا طب خاورميانه</t>
        </is>
      </c>
      <c r="C2562" s="25">
        <f>IF(COUNTIF('کدهای پیام‌داروساز'!$A$2:$A$2442,A2562)&gt;0,"بله","خیر")</f>
        <v/>
      </c>
    </row>
    <row r="2563" ht="15" customHeight="1" s="14">
      <c r="A2563" s="24" t="n">
        <v>51847</v>
      </c>
      <c r="B2563" s="24" t="inlineStr">
        <is>
          <t>بوپيواکائين گريندکس   تزريقي پرنترال 0.5 % 10 mL - دارو اثرت گستر</t>
        </is>
      </c>
      <c r="C2563" s="25">
        <f>IF(COUNTIF('کدهای پیام‌داروساز'!$A$2:$A$2442,A2563)&gt;0,"بله","خیر")</f>
        <v/>
      </c>
    </row>
    <row r="2564" ht="15" customHeight="1" s="14">
      <c r="A2564" s="24" t="n">
        <v>51850</v>
      </c>
      <c r="B2564" s="24" t="inlineStr">
        <is>
          <t>دکستروز/سديم کلرايد   محلول تزريقي داخل وريدي 5 %/0.45 % 1000 mL - داروسازي شهيد قاضي</t>
        </is>
      </c>
      <c r="C2564" s="25">
        <f>IF(COUNTIF('کدهای پیام‌داروساز'!$A$2:$A$2442,A2564)&gt;0,"بله","خیر")</f>
        <v/>
      </c>
    </row>
    <row r="2565" ht="15" customHeight="1" s="14">
      <c r="A2565" s="24" t="n">
        <v>51851</v>
      </c>
      <c r="B2565" s="24" t="inlineStr">
        <is>
          <t>هپارين   تزريقي پرنترال 5000 [iU]/1mL 5 [iU] - فرا درمان آذربايجان</t>
        </is>
      </c>
      <c r="C2565" s="25">
        <f>IF(COUNTIF('کدهای پیام‌داروساز'!$A$2:$A$2442,A2565)&gt;0,"بله","خیر")</f>
        <v/>
      </c>
    </row>
    <row r="2566" ht="15" customHeight="1" s="14">
      <c r="A2566" s="24" t="n">
        <v>51854</v>
      </c>
      <c r="B2566" s="24" t="inlineStr">
        <is>
          <t>منيزيم سولفات   تزريقي پرنترال 10 % 50 mL - داروسازي ثامن</t>
        </is>
      </c>
      <c r="C2566" s="25">
        <f>IF(COUNTIF('کدهای پیام‌داروساز'!$A$2:$A$2442,A2566)&gt;0,"بله","خیر")</f>
        <v/>
      </c>
    </row>
    <row r="2567" ht="15" customHeight="1" s="14">
      <c r="A2567" s="24" t="n">
        <v>51858</v>
      </c>
      <c r="B2567" s="24" t="inlineStr">
        <is>
          <t>الزوکورت   کرم موضعي 0.1 % 15 g - اوکسين داروي وشت</t>
        </is>
      </c>
      <c r="C2567" s="25">
        <f>IF(COUNTIF('کدهای پیام‌داروساز'!$A$2:$A$2442,A2567)&gt;0,"بله","خیر")</f>
        <v/>
      </c>
    </row>
    <row r="2568" ht="15" customHeight="1" s="14">
      <c r="A2568" s="24" t="n">
        <v>51859</v>
      </c>
      <c r="B2568" s="24" t="inlineStr">
        <is>
          <t>الوکوماد عماد   لوسيون موضعي 0.1 % 20 mL - عماد درمان پارس</t>
        </is>
      </c>
      <c r="C2568" s="25">
        <f>IF(COUNTIF('کدهای پیام‌داروساز'!$A$2:$A$2442,A2568)&gt;0,"بله","خیر")</f>
        <v/>
      </c>
    </row>
    <row r="2569" ht="15" customHeight="1" s="14">
      <c r="A2569" s="24" t="n">
        <v>51860</v>
      </c>
      <c r="B2569" s="24" t="inlineStr">
        <is>
          <t>نيتروگليسيرين   تزريقي پرنترال 1 mg/1mL 10 mg - دارو گستر تدبير نيکان</t>
        </is>
      </c>
      <c r="C2569" s="25">
        <f>IF(COUNTIF('کدهای پیام‌داروساز'!$A$2:$A$2442,A2569)&gt;0,"بله","خیر")</f>
        <v/>
      </c>
    </row>
    <row r="2570" ht="15" customHeight="1" s="14">
      <c r="A2570" s="24" t="n">
        <v>51866</v>
      </c>
      <c r="B2570" s="24" t="inlineStr">
        <is>
          <t>آفي تريمازول   کرم واژينال 2 % 50 g - ايران آوند فر</t>
        </is>
      </c>
      <c r="C2570" s="25">
        <f>IF(COUNTIF('کدهای پیام‌داروساز'!$A$2:$A$2442,A2570)&gt;0,"بله","خیر")</f>
        <v/>
      </c>
    </row>
    <row r="2571" ht="15" customHeight="1" s="14">
      <c r="A2571" s="24" t="n">
        <v>51868</v>
      </c>
      <c r="B2571" s="24" t="inlineStr">
        <is>
          <t>فنوفن   تزريقي پرنترال 100 mg/1mL 8 mL - داروسازي کاسپين تأمين</t>
        </is>
      </c>
      <c r="C2571" s="25">
        <f>IF(COUNTIF('کدهای پیام‌داروساز'!$A$2:$A$2442,A2571)&gt;0,"بله","خیر")</f>
        <v/>
      </c>
    </row>
    <row r="2572" ht="15" customHeight="1" s="14">
      <c r="A2572" s="24" t="n">
        <v>51869</v>
      </c>
      <c r="B2572" s="24" t="inlineStr">
        <is>
          <t>زايلا-پي   کرم موضعي 2.5 %/2.5 % 15 g - داروسازي تهران شيمي</t>
        </is>
      </c>
      <c r="C2572" s="25">
        <f>IF(COUNTIF('کدهای پیام‌داروساز'!$A$2:$A$2442,A2572)&gt;0,"بله","خیر")</f>
        <v/>
      </c>
    </row>
    <row r="2573" ht="15" customHeight="1" s="14">
      <c r="A2573" s="24" t="n">
        <v>51877</v>
      </c>
      <c r="B2573" s="24" t="inlineStr">
        <is>
          <t>افونيکس   اسپري از راه بيني 0.25 % 15 mL - داروسازي جابرابن حيان</t>
        </is>
      </c>
      <c r="C2573" s="25">
        <f>IF(COUNTIF('کدهای پیام‌داروساز'!$A$2:$A$2442,A2573)&gt;0,"بله","خیر")</f>
        <v/>
      </c>
    </row>
    <row r="2574" ht="15" customHeight="1" s="14">
      <c r="A2574" s="24" t="n">
        <v>51878</v>
      </c>
      <c r="B2574" s="24" t="inlineStr">
        <is>
          <t>افونيکس   اسپري از راه بيني 0.5 % 15 mL - داروسازي جابرابن حيان</t>
        </is>
      </c>
      <c r="C2574" s="25">
        <f>IF(COUNTIF('کدهای پیام‌داروساز'!$A$2:$A$2442,A2574)&gt;0,"بله","خیر")</f>
        <v/>
      </c>
    </row>
    <row r="2575" ht="15" customHeight="1" s="14">
      <c r="A2575" s="24" t="n">
        <v>51880</v>
      </c>
      <c r="B2575" s="24" t="inlineStr">
        <is>
          <t>آدي ژل-اس   سوسپانسيون خوراکي 225 mg/200 mg/25 mg/5mL 10 mL - البرز دارو</t>
        </is>
      </c>
      <c r="C2575" s="25">
        <f>IF(COUNTIF('کدهای پیام‌داروساز'!$A$2:$A$2442,A2575)&gt;0,"بله","خیر")</f>
        <v/>
      </c>
    </row>
    <row r="2576" ht="15" customHeight="1" s="14">
      <c r="A2576" s="24" t="n">
        <v>51881</v>
      </c>
      <c r="B2576" s="24" t="inlineStr">
        <is>
          <t>ديپروکل   کرم موضعي 1 %/0.05 % 30 g - داروسازي رها اصفهان</t>
        </is>
      </c>
      <c r="C2576" s="25">
        <f>IF(COUNTIF('کدهای پیام‌داروساز'!$A$2:$A$2442,A2576)&gt;0,"بله","خیر")</f>
        <v/>
      </c>
    </row>
    <row r="2577" ht="15" customHeight="1" s="14">
      <c r="A2577" s="24" t="n">
        <v>51882</v>
      </c>
      <c r="B2577" s="24" t="inlineStr">
        <is>
          <t>پي يلوسپيتايل   سوسپانسيون خوراکي 25 mg/5mL 100 mL - دنيز دارو درمان</t>
        </is>
      </c>
      <c r="C2577" s="25">
        <f>IF(COUNTIF('کدهای پیام‌داروساز'!$A$2:$A$2442,A2577)&gt;0,"بله","خیر")</f>
        <v/>
      </c>
    </row>
    <row r="2578" ht="15" customHeight="1" s="14">
      <c r="A2578" s="24" t="n">
        <v>51883</v>
      </c>
      <c r="B2578" s="24" t="inlineStr">
        <is>
          <t>پي دي ليناليپ   قرص خوراکي 5 mg - فرآورده هاي پويش دارو</t>
        </is>
      </c>
      <c r="C2578" s="25">
        <f>IF(COUNTIF('کدهای پیام‌داروساز'!$A$2:$A$2442,A2578)&gt;0,"بله","خیر")</f>
        <v/>
      </c>
    </row>
    <row r="2579" ht="15" customHeight="1" s="14">
      <c r="A2579" s="24" t="n">
        <v>51884</v>
      </c>
      <c r="B2579" s="24" t="inlineStr">
        <is>
          <t>ديفن ديبت-سي   شربت خوراکي 12.5 mg/125 mg/5mL 120 mL - الحاوي</t>
        </is>
      </c>
      <c r="C2579" s="25">
        <f>IF(COUNTIF('کدهای پیام‌داروساز'!$A$2:$A$2442,A2579)&gt;0,"بله","خیر")</f>
        <v/>
      </c>
    </row>
    <row r="2580" ht="15" customHeight="1" s="14">
      <c r="A2580" s="24" t="n">
        <v>51885</v>
      </c>
      <c r="B2580" s="24" t="inlineStr">
        <is>
          <t>ديفن ديبت   محلول خوراکي 12.5 mg/5mL 120 mL - الحاوي</t>
        </is>
      </c>
      <c r="C2580" s="25">
        <f>IF(COUNTIF('کدهای پیام‌داروساز'!$A$2:$A$2442,A2580)&gt;0,"بله","خیر")</f>
        <v/>
      </c>
    </row>
    <row r="2581" ht="15" customHeight="1" s="14">
      <c r="A2581" s="24" t="n">
        <v>51886</v>
      </c>
      <c r="B2581" s="24" t="inlineStr">
        <is>
          <t>دکس ديبت   شربت خوراکي 15 mg/5mL 120 mL - الحاوي</t>
        </is>
      </c>
      <c r="C2581" s="25">
        <f>IF(COUNTIF('کدهای پیام‌داروساز'!$A$2:$A$2442,A2581)&gt;0,"بله","خیر")</f>
        <v/>
      </c>
    </row>
    <row r="2582" ht="15" customHeight="1" s="14">
      <c r="A2582" s="24" t="n">
        <v>51887</v>
      </c>
      <c r="B2582" s="24" t="inlineStr">
        <is>
          <t>دکوفزول   اسپري از راه بيني 0.05 % 15 mL - داروسازي رها اصفهان</t>
        </is>
      </c>
      <c r="C2582" s="25">
        <f>IF(COUNTIF('کدهای پیام‌داروساز'!$A$2:$A$2442,A2582)&gt;0,"بله","خیر")</f>
        <v/>
      </c>
    </row>
    <row r="2583" ht="15" customHeight="1" s="14">
      <c r="A2583" s="24" t="n">
        <v>51888</v>
      </c>
      <c r="B2583" s="24" t="inlineStr">
        <is>
          <t>آميتزو   کپسول خوراکي 180 mg - نانو فناوران داروئي الوند</t>
        </is>
      </c>
      <c r="C2583" s="25">
        <f>IF(COUNTIF('کدهای پیام‌داروساز'!$A$2:$A$2442,A2583)&gt;0,"بله","خیر")</f>
        <v/>
      </c>
    </row>
    <row r="2584" ht="15" customHeight="1" s="14">
      <c r="A2584" s="24" t="n">
        <v>51889</v>
      </c>
      <c r="B2584" s="24" t="inlineStr">
        <is>
          <t>آفاکسيم   پودر براي تهيه سوسپانسيون   خوراکي 100 mg/5 mL 50 mg - آفا شيمي</t>
        </is>
      </c>
      <c r="C2584" s="25">
        <f>IF(COUNTIF('کدهای پیام‌داروساز'!$A$2:$A$2442,A2584)&gt;0,"بله","خیر")</f>
        <v/>
      </c>
    </row>
    <row r="2585" ht="15" customHeight="1" s="14">
      <c r="A2585" s="24" t="n">
        <v>51890</v>
      </c>
      <c r="B2585" s="24" t="inlineStr">
        <is>
          <t>فوراديل   آئروسل با دوز اندازه گيري شده استنشاقي 12 ug/1{dose} 60 - تهران الکتريک</t>
        </is>
      </c>
      <c r="C2585" s="25">
        <f>IF(COUNTIF('کدهای پیام‌داروساز'!$A$2:$A$2442,A2585)&gt;0,"بله","خیر")</f>
        <v/>
      </c>
    </row>
    <row r="2586" ht="15" customHeight="1" s="14">
      <c r="A2586" s="24" t="n">
        <v>51891</v>
      </c>
      <c r="B2586" s="24" t="inlineStr">
        <is>
          <t>تيرلوز   محلول، قطره چشمي 0.3 % 10 mL - لابراتوارهاي سينا دارو</t>
        </is>
      </c>
      <c r="C2586" s="25">
        <f>IF(COUNTIF('کدهای پیام‌داروساز'!$A$2:$A$2442,A2586)&gt;0,"بله","خیر")</f>
        <v/>
      </c>
    </row>
    <row r="2587" ht="15" customHeight="1" s="14">
      <c r="A2587" s="24" t="n">
        <v>51892</v>
      </c>
      <c r="B2587" s="24" t="inlineStr">
        <is>
          <t>سينالون   محلول، قطره چشمي 0.3 % 0.5 mL - لابراتوارهاي سينا دارو</t>
        </is>
      </c>
      <c r="C2587" s="25">
        <f>IF(COUNTIF('کدهای پیام‌داروساز'!$A$2:$A$2442,A2587)&gt;0,"بله","خیر")</f>
        <v/>
      </c>
    </row>
    <row r="2588" ht="15" customHeight="1" s="14">
      <c r="A2588" s="24" t="n">
        <v>51893</v>
      </c>
      <c r="B2588" s="24" t="inlineStr">
        <is>
          <t>زاوسدال   کپسول خوراکي 100 mg - سه دال نانو</t>
        </is>
      </c>
      <c r="C2588" s="25">
        <f>IF(COUNTIF('کدهای پیام‌داروساز'!$A$2:$A$2442,A2588)&gt;0,"بله","خیر")</f>
        <v/>
      </c>
    </row>
    <row r="2589" ht="15" customHeight="1" s="14">
      <c r="A2589" s="24" t="n">
        <v>51894</v>
      </c>
      <c r="B2589" s="24" t="inlineStr">
        <is>
          <t>پکتورامين   شربت خوراکي 100 mg/2 mg/5 mg/5mL 60 mL - رامو فارمين</t>
        </is>
      </c>
      <c r="C2589" s="25">
        <f>IF(COUNTIF('کدهای پیام‌داروساز'!$A$2:$A$2442,A2589)&gt;0,"بله","خیر")</f>
        <v/>
      </c>
    </row>
    <row r="2590" ht="15" customHeight="1" s="14">
      <c r="A2590" s="24" t="n">
        <v>51895</v>
      </c>
      <c r="B2590" s="24" t="inlineStr">
        <is>
          <t>ال- کارنيت   محلول خوراکي 100 mg/1mL 10 mL - البرز دارو</t>
        </is>
      </c>
      <c r="C2590" s="25">
        <f>IF(COUNTIF('کدهای پیام‌داروساز'!$A$2:$A$2442,A2590)&gt;0,"بله","خیر")</f>
        <v/>
      </c>
    </row>
    <row r="2591" ht="15" customHeight="1" s="14">
      <c r="A2591" s="24" t="n">
        <v>51896</v>
      </c>
      <c r="B2591" s="24" t="inlineStr">
        <is>
          <t>رزمايد   تزريقي داخل وريدي 10 mg/1mL 2 mL - داروسازي کاسپين تأمين</t>
        </is>
      </c>
      <c r="C2591" s="25">
        <f>IF(COUNTIF('کدهای پیام‌داروساز'!$A$2:$A$2442,A2591)&gt;0,"بله","خیر")</f>
        <v/>
      </c>
    </row>
    <row r="2592" ht="15" customHeight="1" s="14">
      <c r="A2592" s="24" t="n">
        <v>51897</v>
      </c>
      <c r="B2592" s="24" t="inlineStr">
        <is>
          <t>پتاسيون   کپسول پيوسته رهش خوراکي 600 mg - سينا پيشگام دارو نوين</t>
        </is>
      </c>
      <c r="C2592" s="25">
        <f>IF(COUNTIF('کدهای پیام‌داروساز'!$A$2:$A$2442,A2592)&gt;0,"بله","خیر")</f>
        <v/>
      </c>
    </row>
    <row r="2593" ht="15" customHeight="1" s="14">
      <c r="A2593" s="24" t="n">
        <v>51899</v>
      </c>
      <c r="B2593" s="24" t="inlineStr">
        <is>
          <t>هيدروکسوکوبالامين   تزريقي پرنترال 5 mg/1mL 2 mg - رايان دارو ايرانيان</t>
        </is>
      </c>
      <c r="C2593" s="25">
        <f>IF(COUNTIF('کدهای پیام‌داروساز'!$A$2:$A$2442,A2593)&gt;0,"بله","خیر")</f>
        <v/>
      </c>
    </row>
    <row r="2594" ht="15" customHeight="1" s="14">
      <c r="A2594" s="24" t="n">
        <v>51900</v>
      </c>
      <c r="B2594" s="24" t="inlineStr">
        <is>
          <t>بلويال  يو دي   محلول، قطره چشمي 0.15 % 0.35 mL</t>
        </is>
      </c>
      <c r="C2594" s="25">
        <f>IF(COUNTIF('کدهای پیام‌داروساز'!$A$2:$A$2442,A2594)&gt;0,"بله","خیر")</f>
        <v/>
      </c>
    </row>
    <row r="2595" ht="15" customHeight="1" s="14">
      <c r="A2595" s="24" t="n">
        <v>51901</v>
      </c>
      <c r="B2595" s="24" t="inlineStr">
        <is>
          <t>اوروسيترا   قرص خوراکي 5 meq - سبحان دارو</t>
        </is>
      </c>
      <c r="C2595" s="25">
        <f>IF(COUNTIF('کدهای پیام‌داروساز'!$A$2:$A$2442,A2595)&gt;0,"بله","خیر")</f>
        <v/>
      </c>
    </row>
    <row r="2596" ht="15" customHeight="1" s="14">
      <c r="A2596" s="24" t="n">
        <v>51903</v>
      </c>
      <c r="B2596" s="24" t="inlineStr">
        <is>
          <t>کلاريسين   پودر براي تهيه سوسپانسيون   خوراکي 125 mg/5 mL 60 mL - داروسازي تهران شيمي</t>
        </is>
      </c>
      <c r="C2596" s="25">
        <f>IF(COUNTIF('کدهای پیام‌داروساز'!$A$2:$A$2442,A2596)&gt;0,"بله","خیر")</f>
        <v/>
      </c>
    </row>
    <row r="2597" ht="15" customHeight="1" s="14">
      <c r="A2597" s="24" t="n">
        <v>51904</v>
      </c>
      <c r="B2597" s="24" t="inlineStr">
        <is>
          <t>ارتيپيک ادونسد   محلول، قطره چشمي 0.4 % 0.5 mL - فرآورده هاي تزريقي و دارويي ايران</t>
        </is>
      </c>
      <c r="C2597" s="25">
        <f>IF(COUNTIF('کدهای پیام‌داروساز'!$A$2:$A$2442,A2597)&gt;0,"بله","خیر")</f>
        <v/>
      </c>
    </row>
    <row r="2598" ht="15" customHeight="1" s="14">
      <c r="A2598" s="24" t="n">
        <v>51908</v>
      </c>
      <c r="B2598" s="24" t="inlineStr">
        <is>
          <t>فلکتور اي پي تيشوژل   پچ موضعي 1.3 % - توسعه تجارت  رويکرد نوين</t>
        </is>
      </c>
      <c r="C2598" s="25">
        <f>IF(COUNTIF('کدهای پیام‌داروساز'!$A$2:$A$2442,A2598)&gt;0,"بله","خیر")</f>
        <v/>
      </c>
    </row>
    <row r="2599" ht="15" customHeight="1" s="14">
      <c r="A2599" s="24" t="n">
        <v>51909</v>
      </c>
      <c r="B2599" s="24" t="inlineStr">
        <is>
          <t>اکسينيکس   اسپري از راه بيني 0.1 % 15 mL - داروسازي جابرابن حيان</t>
        </is>
      </c>
      <c r="C2599" s="25">
        <f>IF(COUNTIF('کدهای پیام‌داروساز'!$A$2:$A$2442,A2599)&gt;0,"بله","خیر")</f>
        <v/>
      </c>
    </row>
    <row r="2600" ht="15" customHeight="1" s="14">
      <c r="A2600" s="24" t="n">
        <v>51911</v>
      </c>
      <c r="B2600" s="24" t="inlineStr">
        <is>
          <t>نورمونيکس   اسپري از راه بيني 0.65 % 25 mL - داروسازي جابرابن حيان</t>
        </is>
      </c>
      <c r="C2600" s="25">
        <f>IF(COUNTIF('کدهای پیام‌داروساز'!$A$2:$A$2442,A2600)&gt;0,"بله","خیر")</f>
        <v/>
      </c>
    </row>
    <row r="2601" ht="15" customHeight="1" s="14">
      <c r="A2601" s="24" t="n">
        <v>51912</v>
      </c>
      <c r="B2601" s="24" t="inlineStr">
        <is>
          <t>کلوبتازول-عماد   پماد موضعي 0.05 % 100 g - عماد درمان پارس</t>
        </is>
      </c>
      <c r="C2601" s="25">
        <f>IF(COUNTIF('کدهای پیام‌داروساز'!$A$2:$A$2442,A2601)&gt;0,"بله","خیر")</f>
        <v/>
      </c>
    </row>
    <row r="2602" ht="15" customHeight="1" s="14">
      <c r="A2602" s="24" t="n">
        <v>51913</v>
      </c>
      <c r="B2602" s="24" t="inlineStr">
        <is>
          <t>بتامتازون- عماد   پماد موضعي 0.1 % 500 g - عماد درمان پارس</t>
        </is>
      </c>
      <c r="C2602" s="25">
        <f>IF(COUNTIF('کدهای پیام‌داروساز'!$A$2:$A$2442,A2602)&gt;0,"بله","خیر")</f>
        <v/>
      </c>
    </row>
    <row r="2603" ht="15" customHeight="1" s="14">
      <c r="A2603" s="24" t="n">
        <v>51914</v>
      </c>
      <c r="B2603" s="24" t="inlineStr">
        <is>
          <t>استيل سيستئين آمپول</t>
        </is>
      </c>
      <c r="C2603" s="25">
        <f>IF(COUNTIF('کدهای پیام‌داروساز'!$A$2:$A$2442,A2603)&gt;0,"بله","خیر")</f>
        <v/>
      </c>
    </row>
    <row r="2604" ht="15" customHeight="1" s="14">
      <c r="A2604" s="24" t="n">
        <v>51915</v>
      </c>
      <c r="B2604" s="24" t="inlineStr">
        <is>
          <t>دکستا کلد-سي   شربت خوراکي 160 mg/1 mg/5 mg/2.5 mg/5mL 60 mL - داروسازي امين</t>
        </is>
      </c>
      <c r="C2604" s="25">
        <f>IF(COUNTIF('کدهای پیام‌داروساز'!$A$2:$A$2442,A2604)&gt;0,"بله","خیر")</f>
        <v/>
      </c>
    </row>
    <row r="2605" ht="15" customHeight="1" s="14">
      <c r="A2605" s="24" t="n">
        <v>51916</v>
      </c>
      <c r="B2605" s="24" t="inlineStr">
        <is>
          <t>کرئون   کپسول (پلت هاي انتريک کوتد) خوراکي 40000 [iU] - بهستان دارو</t>
        </is>
      </c>
      <c r="C2605" s="25">
        <f>IF(COUNTIF('کدهای پیام‌داروساز'!$A$2:$A$2442,A2605)&gt;0,"بله","خیر")</f>
        <v/>
      </c>
    </row>
    <row r="2606" ht="15" customHeight="1" s="14">
      <c r="A2606" s="24" t="n">
        <v>51917</v>
      </c>
      <c r="B2606" s="24" t="inlineStr">
        <is>
          <t>گلوک-آي   محلول، قطره چشمي 50 ug/1mL 5 mL - نوآوري زيستي گويا</t>
        </is>
      </c>
      <c r="C2606" s="25">
        <f>IF(COUNTIF('کدهای پیام‌داروساز'!$A$2:$A$2442,A2606)&gt;0,"بله","خیر")</f>
        <v/>
      </c>
    </row>
    <row r="2607" ht="15" customHeight="1" s="14">
      <c r="A2607" s="24" t="n">
        <v>51918</v>
      </c>
      <c r="B2607" s="24" t="inlineStr">
        <is>
          <t>نبيدو   محلول تزريقي پرنترال 250 mg/1mL 4 mg - بازرگاني سها کيش</t>
        </is>
      </c>
      <c r="C2607" s="25">
        <f>IF(COUNTIF('کدهای پیام‌داروساز'!$A$2:$A$2442,A2607)&gt;0,"بله","خیر")</f>
        <v/>
      </c>
    </row>
    <row r="2608" ht="15" customHeight="1" s="14">
      <c r="A2608" s="24" t="n">
        <v>51919</v>
      </c>
      <c r="B2608" s="24" t="inlineStr">
        <is>
          <t>فوسيدين   پماد موضعي 2 % 30 g - بهستان بهداشت</t>
        </is>
      </c>
      <c r="C2608" s="25">
        <f>IF(COUNTIF('کدهای پیام‌داروساز'!$A$2:$A$2442,A2608)&gt;0,"بله","خیر")</f>
        <v/>
      </c>
    </row>
    <row r="2609" ht="15" customHeight="1" s="14">
      <c r="A2609" s="24" t="n">
        <v>51920</v>
      </c>
      <c r="B2609" s="24" t="inlineStr">
        <is>
          <t>متيبلو   تزريقي پرنترال 10 mg/1mL 1 mg - رايان دارو ايرانيان</t>
        </is>
      </c>
      <c r="C2609" s="25">
        <f>IF(COUNTIF('کدهای پیام‌داروساز'!$A$2:$A$2442,A2609)&gt;0,"بله","خیر")</f>
        <v/>
      </c>
    </row>
    <row r="2610" ht="15" customHeight="1" s="14">
      <c r="A2610" s="24" t="n">
        <v>51922</v>
      </c>
      <c r="B2610" s="24" t="inlineStr">
        <is>
          <t>اريوج   کپسول خوراکي 150 mg - آسمان داروي پارس</t>
        </is>
      </c>
      <c r="C2610" s="25">
        <f>IF(COUNTIF('کدهای پیام‌داروساز'!$A$2:$A$2442,A2610)&gt;0,"بله","خیر")</f>
        <v/>
      </c>
    </row>
    <row r="2611" ht="15" customHeight="1" s="14">
      <c r="A2611" s="24" t="n">
        <v>51923</v>
      </c>
      <c r="B2611" s="24" t="inlineStr">
        <is>
          <t>دگزامتازون   قرص خوراکي 4 mg - داروسازي ابوريحان</t>
        </is>
      </c>
      <c r="C2611" s="25">
        <f>IF(COUNTIF('کدهای پیام‌داروساز'!$A$2:$A$2442,A2611)&gt;0,"بله","خیر")</f>
        <v/>
      </c>
    </row>
    <row r="2612" ht="15" customHeight="1" s="14">
      <c r="A2612" s="24" t="n">
        <v>51924</v>
      </c>
      <c r="B2612" s="24" t="inlineStr">
        <is>
          <t>ستيريزين   شربت خوراکي 1 mg/1mL 120 mL - لابراتوار هاي دنياي بهداشت</t>
        </is>
      </c>
      <c r="C2612" s="25">
        <f>IF(COUNTIF('کدهای پیام‌داروساز'!$A$2:$A$2442,A2612)&gt;0,"بله","خیر")</f>
        <v/>
      </c>
    </row>
    <row r="2613" ht="15" customHeight="1" s="14">
      <c r="A2613" s="24" t="n">
        <v>51925</v>
      </c>
      <c r="B2613" s="24" t="inlineStr">
        <is>
          <t>فوزيتان 2% (فوزيدات سديم) پماد موضعي - سبحان</t>
        </is>
      </c>
      <c r="C2613" s="25">
        <f>IF(COUNTIF('کدهای پیام‌داروساز'!$A$2:$A$2442,A2613)&gt;0,"بله","خیر")</f>
        <v/>
      </c>
    </row>
    <row r="2614" ht="15" customHeight="1" s="14">
      <c r="A2614" s="24" t="n">
        <v>51926</v>
      </c>
      <c r="B2614" s="24" t="inlineStr">
        <is>
          <t>فوسيدين   کرم موضعي 2 % 30 g - بهستان بهداشت</t>
        </is>
      </c>
      <c r="C2614" s="25">
        <f>IF(COUNTIF('کدهای پیام‌داروساز'!$A$2:$A$2442,A2614)&gt;0,"بله","خیر")</f>
        <v/>
      </c>
    </row>
    <row r="2615" ht="15" customHeight="1" s="14">
      <c r="A2615" s="24" t="n">
        <v>51928</v>
      </c>
      <c r="B2615" s="24" t="inlineStr">
        <is>
          <t>سديم کلرايد   محلول تزريقي داخل وريدي 5 % 5 mL - فرآورده هاي تزريقي و دارويي ايران</t>
        </is>
      </c>
      <c r="C2615" s="25">
        <f>IF(COUNTIF('کدهای پیام‌داروساز'!$A$2:$A$2442,A2615)&gt;0,"بله","خیر")</f>
        <v/>
      </c>
    </row>
    <row r="2616" ht="15" customHeight="1" s="14">
      <c r="A2616" s="24" t="n">
        <v>51935</v>
      </c>
      <c r="B2616" s="24" t="inlineStr">
        <is>
          <t>اورالاک   شربت خوراکي 10 g/15mL 15 mL - نوآوران فخر دارو</t>
        </is>
      </c>
      <c r="C2616" s="25">
        <f>IF(COUNTIF('کدهای پیام‌داروساز'!$A$2:$A$2442,A2616)&gt;0,"بله","خیر")</f>
        <v/>
      </c>
    </row>
    <row r="2617" ht="15" customHeight="1" s="14">
      <c r="A2617" s="24" t="n">
        <v>51936</v>
      </c>
      <c r="B2617" s="24" t="inlineStr">
        <is>
          <t>پد-پي دي لستا   محلول تزريقي پرنترال 10 mg/1mL 0.3 [iU] - فرآورده هاي پويش دارو</t>
        </is>
      </c>
      <c r="C2617" s="25">
        <f>IF(COUNTIF('کدهای پیام‌داروساز'!$A$2:$A$2442,A2617)&gt;0,"بله","خیر")</f>
        <v/>
      </c>
    </row>
    <row r="2618" ht="15" customHeight="1" s="14">
      <c r="A2618" s="24" t="n">
        <v>51937</v>
      </c>
      <c r="B2618" s="24" t="inlineStr">
        <is>
          <t>بي دي رلين   پودر لئوفيليزه براي تهيه سوسپانسيون تزريقي پيوسته رهش پرنترال 11.25 mg  mg</t>
        </is>
      </c>
      <c r="C2618" s="25">
        <f>IF(COUNTIF('کدهای پیام‌داروساز'!$A$2:$A$2442,A2618)&gt;0,"بله","خیر")</f>
        <v/>
      </c>
    </row>
    <row r="2619" ht="15" customHeight="1" s="14">
      <c r="A2619" s="24" t="n">
        <v>51939</v>
      </c>
      <c r="B2619" s="24" t="inlineStr">
        <is>
          <t>سديم بي کربنات   تزريقي پرنترال 8.4 % 10 mL - کارخانجات دارو پخش</t>
        </is>
      </c>
      <c r="C2619" s="25">
        <f>IF(COUNTIF('کدهای پیام‌داروساز'!$A$2:$A$2442,A2619)&gt;0,"بله","خیر")</f>
        <v/>
      </c>
    </row>
    <row r="2620" ht="15" customHeight="1" s="14">
      <c r="A2620" s="24" t="n">
        <v>51940</v>
      </c>
      <c r="B2620" s="24" t="inlineStr">
        <is>
          <t>پوليتوس پلاس   شربت خوراکي 10 mg/100 mg/5 mg/5mL 60 mL - داروسازي توليد دارو</t>
        </is>
      </c>
      <c r="C2620" s="25">
        <f>IF(COUNTIF('کدهای پیام‌داروساز'!$A$2:$A$2442,A2620)&gt;0,"بله","خیر")</f>
        <v/>
      </c>
    </row>
    <row r="2621" ht="15" customHeight="1" s="14">
      <c r="A2621" s="24" t="n">
        <v>51941</v>
      </c>
      <c r="B2621" s="24" t="inlineStr">
        <is>
          <t>فليکسونيز    اسپري از راه بيني 50 ug/1{Puff} 60 {dose} - کوبل دارو</t>
        </is>
      </c>
      <c r="C2621" s="25">
        <f>IF(COUNTIF('کدهای پیام‌داروساز'!$A$2:$A$2442,A2621)&gt;0,"بله","خیر")</f>
        <v/>
      </c>
    </row>
    <row r="2622" ht="15" customHeight="1" s="14">
      <c r="A2622" s="24" t="n">
        <v>51942</v>
      </c>
      <c r="B2622" s="24" t="inlineStr">
        <is>
          <t>ارکژل   ژل موضعي 1 % 15 g - سينا پيشگام دارو نوين</t>
        </is>
      </c>
      <c r="C2622" s="25">
        <f>IF(COUNTIF('کدهای پیام‌داروساز'!$A$2:$A$2442,A2622)&gt;0,"بله","خیر")</f>
        <v/>
      </c>
    </row>
    <row r="2623" ht="15" customHeight="1" s="14">
      <c r="A2623" s="24" t="n">
        <v>51943</v>
      </c>
      <c r="B2623" s="24" t="inlineStr">
        <is>
          <t>لوبراتکس   پماد چشمي  3.5 g - لابراتوارهاي سينا دارو</t>
        </is>
      </c>
      <c r="C2623" s="25">
        <f>IF(COUNTIF('کدهای پیام‌داروساز'!$A$2:$A$2442,A2623)&gt;0,"بله","خیر")</f>
        <v/>
      </c>
    </row>
    <row r="2624" ht="15" customHeight="1" s="14">
      <c r="A2624" s="24" t="n">
        <v>51945</v>
      </c>
      <c r="B2624" s="24" t="inlineStr">
        <is>
          <t>اس دائولين   قرص خوراکي 100 mg - بازرگاني سها کيش</t>
        </is>
      </c>
      <c r="C2624" s="25">
        <f>IF(COUNTIF('کدهای پیام‌داروساز'!$A$2:$A$2442,A2624)&gt;0,"بله","خیر")</f>
        <v/>
      </c>
    </row>
    <row r="2625" ht="15" customHeight="1" s="14">
      <c r="A2625" s="24" t="n">
        <v>51946</v>
      </c>
      <c r="B2625" s="24" t="inlineStr">
        <is>
          <t>آتازاناوير -آر   قرص خوراکي 300 mg/100 mg - يارا طب خاورميانه</t>
        </is>
      </c>
      <c r="C2625" s="25">
        <f>IF(COUNTIF('کدهای پیام‌داروساز'!$A$2:$A$2442,A2625)&gt;0,"بله","خیر")</f>
        <v/>
      </c>
    </row>
    <row r="2626" ht="15" customHeight="1" s="14">
      <c r="A2626" s="24" t="n">
        <v>51948</v>
      </c>
      <c r="B2626" s="24" t="inlineStr">
        <is>
          <t>اينستگرا   قرص خوراکي 50 mg - ماه داروي حکيم</t>
        </is>
      </c>
      <c r="C2626" s="25">
        <f>IF(COUNTIF('کدهای پیام‌داروساز'!$A$2:$A$2442,A2626)&gt;0,"بله","خیر")</f>
        <v/>
      </c>
    </row>
    <row r="2627" ht="15" customHeight="1" s="14">
      <c r="A2627" s="24" t="n">
        <v>51949</v>
      </c>
      <c r="B2627" s="24" t="inlineStr">
        <is>
          <t>ليوکوئين   قرص خوراکي 300 mg - سينا پيشگام دارو نوين</t>
        </is>
      </c>
      <c r="C2627" s="25">
        <f>IF(COUNTIF('کدهای پیام‌داروساز'!$A$2:$A$2442,A2627)&gt;0,"بله","خیر")</f>
        <v/>
      </c>
    </row>
    <row r="2628" ht="15" customHeight="1" s="14">
      <c r="A2628" s="24" t="n">
        <v>51950</v>
      </c>
      <c r="B2628" s="24" t="inlineStr">
        <is>
          <t>لارياگو   محلول خوراکي 80 mg/5mL 60 mL - اريکه تجارت ويستا</t>
        </is>
      </c>
      <c r="C2628" s="25">
        <f>IF(COUNTIF('کدهای پیام‌داروساز'!$A$2:$A$2442,A2628)&gt;0,"بله","خیر")</f>
        <v/>
      </c>
    </row>
    <row r="2629" ht="15" customHeight="1" s="14">
      <c r="A2629" s="24" t="n">
        <v>51951</v>
      </c>
      <c r="B2629" s="24" t="inlineStr">
        <is>
          <t>ايميوناين   پودر لئوفيليزه براي تهيه محلول تزريقي پرنترال 600 [iU]  [iU] - کار و انديشه</t>
        </is>
      </c>
      <c r="C2629" s="25">
        <f>IF(COUNTIF('کدهای پیام‌داروساز'!$A$2:$A$2442,A2629)&gt;0,"بله","خیر")</f>
        <v/>
      </c>
    </row>
    <row r="2630" ht="15" customHeight="1" s="14">
      <c r="A2630" s="24" t="n">
        <v>51952</v>
      </c>
      <c r="B2630" s="24" t="inlineStr">
        <is>
          <t>آنتي کلدپلاس   قرص خوراکي 15 mg/2 mg/5 mg/500 mg - سبحان دارو</t>
        </is>
      </c>
      <c r="C2630" s="25">
        <f>IF(COUNTIF('کدهای پیام‌داروساز'!$A$2:$A$2442,A2630)&gt;0,"بله","خیر")</f>
        <v/>
      </c>
    </row>
    <row r="2631" ht="15" customHeight="1" s="14">
      <c r="A2631" s="24" t="n">
        <v>51953</v>
      </c>
      <c r="B2631" s="24" t="inlineStr">
        <is>
          <t>آوي سيروکس    قرص خوراکي 90 mg - داروسازي آوه سينا</t>
        </is>
      </c>
      <c r="C2631" s="25">
        <f>IF(COUNTIF('کدهای پیام‌داروساز'!$A$2:$A$2442,A2631)&gt;0,"بله","خیر")</f>
        <v/>
      </c>
    </row>
    <row r="2632" ht="15" customHeight="1" s="14">
      <c r="A2632" s="24" t="n">
        <v>51954</v>
      </c>
      <c r="B2632" s="24" t="inlineStr">
        <is>
          <t>آوي سيروکس    قرص خوراکي 180 mg - داروسازي آوه سينا</t>
        </is>
      </c>
      <c r="C2632" s="25">
        <f>IF(COUNTIF('کدهای پیام‌داروساز'!$A$2:$A$2442,A2632)&gt;0,"بله","خیر")</f>
        <v/>
      </c>
    </row>
    <row r="2633" ht="15" customHeight="1" s="14">
      <c r="A2633" s="24" t="n">
        <v>51955</v>
      </c>
      <c r="B2633" s="24" t="inlineStr">
        <is>
          <t>آوي سيروکس    قرص خوراکي 360 mg - داروسازي آوه سينا</t>
        </is>
      </c>
      <c r="C2633" s="25">
        <f>IF(COUNTIF('کدهای پیام‌داروساز'!$A$2:$A$2442,A2633)&gt;0,"بله","خیر")</f>
        <v/>
      </c>
    </row>
    <row r="2634" ht="15" customHeight="1" s="14">
      <c r="A2634" s="24" t="n">
        <v>51956</v>
      </c>
      <c r="B2634" s="24" t="inlineStr">
        <is>
          <t>ويوانلا   اسپري، سوسپانسيون از راه بيني 0.05 % 14 mL - کوشان فارمد</t>
        </is>
      </c>
      <c r="C2634" s="25">
        <f>IF(COUNTIF('کدهای پیام‌داروساز'!$A$2:$A$2442,A2634)&gt;0,"بله","خیر")</f>
        <v/>
      </c>
    </row>
    <row r="2635" ht="15" customHeight="1" s="14">
      <c r="A2635" s="24" t="n">
        <v>51957</v>
      </c>
      <c r="B2635" s="24" t="inlineStr">
        <is>
          <t>ايپرکس   تزريقي پرنترال 10000 [iU]/1mL 0.4 [iU] - بهستان دارو</t>
        </is>
      </c>
      <c r="C2635" s="25">
        <f>IF(COUNTIF('کدهای پیام‌داروساز'!$A$2:$A$2442,A2635)&gt;0,"بله","خیر")</f>
        <v/>
      </c>
    </row>
    <row r="2636" ht="15" customHeight="1" s="14">
      <c r="A2636" s="24" t="n">
        <v>51958</v>
      </c>
      <c r="B2636" s="24" t="inlineStr">
        <is>
          <t>پلي اتيلن گليکول-الکتروليت 1   پودر براي تهيه محلول خوراکي 13.87 g - کارخانجات دارو پخش</t>
        </is>
      </c>
      <c r="C2636" s="25">
        <f>IF(COUNTIF('کدهای پیام‌داروساز'!$A$2:$A$2442,A2636)&gt;0,"بله","خیر")</f>
        <v/>
      </c>
    </row>
    <row r="2637" ht="15" customHeight="1" s="14">
      <c r="A2637" s="24" t="n">
        <v>51960</v>
      </c>
      <c r="B2637" s="24" t="inlineStr">
        <is>
          <t>آزيبريکس   پودر براي تهيه سوسپانسيون   خوراکي 100 mg/5mL 30 mL - نوآوران فخر دارو</t>
        </is>
      </c>
      <c r="C2637" s="25">
        <f>IF(COUNTIF('کدهای پیام‌داروساز'!$A$2:$A$2442,A2637)&gt;0,"بله","خیر")</f>
        <v/>
      </c>
    </row>
    <row r="2638" ht="15" customHeight="1" s="14">
      <c r="A2638" s="24" t="n">
        <v>51961</v>
      </c>
      <c r="B2638" s="24" t="inlineStr">
        <is>
          <t>بريديون   محلول تزريقي پرنترال 100 mg/1mL 2 mg - بهستان دارو</t>
        </is>
      </c>
      <c r="C2638" s="25">
        <f>IF(COUNTIF('کدهای پیام‌داروساز'!$A$2:$A$2442,A2638)&gt;0,"بله","خیر")</f>
        <v/>
      </c>
    </row>
    <row r="2639" ht="15" customHeight="1" s="14">
      <c r="A2639" s="24" t="n">
        <v>51962</v>
      </c>
      <c r="B2639" s="24" t="inlineStr">
        <is>
          <t>استاپارکين   قرص خوراکي 200 mg/50 mg/200 mg - فن آوريهاي نوين دارويي آتيه</t>
        </is>
      </c>
      <c r="C2639" s="25">
        <f>IF(COUNTIF('کدهای پیام‌داروساز'!$A$2:$A$2442,A2639)&gt;0,"بله","خیر")</f>
        <v/>
      </c>
    </row>
    <row r="2640" ht="15" customHeight="1" s="14">
      <c r="A2640" s="24" t="n">
        <v>51964</v>
      </c>
      <c r="B2640" s="24" t="inlineStr">
        <is>
          <t>اورپ   قرص خوراکي 1 mg - وليان دارو</t>
        </is>
      </c>
      <c r="C2640" s="25">
        <f>IF(COUNTIF('کدهای پیام‌داروساز'!$A$2:$A$2442,A2640)&gt;0,"بله","خیر")</f>
        <v/>
      </c>
    </row>
    <row r="2641" ht="15" customHeight="1" s="14">
      <c r="A2641" s="24" t="n">
        <v>51965</v>
      </c>
      <c r="B2641" s="24" t="inlineStr">
        <is>
          <t>استامينوفن/فنيل افرين/ديفن هيدرامين   قرص خوراکي 325 mg/10 mg/25 mg - دارو سازي سونا طب پارسه</t>
        </is>
      </c>
      <c r="C2641" s="25">
        <f>IF(COUNTIF('کدهای پیام‌داروساز'!$A$2:$A$2442,A2641)&gt;0,"بله","خیر")</f>
        <v/>
      </c>
    </row>
    <row r="2642" ht="15" customHeight="1" s="14">
      <c r="A2642" s="24" t="n">
        <v>51966</v>
      </c>
      <c r="B2642" s="24" t="inlineStr">
        <is>
          <t>روپيواکائين    محلول تزريقي پرنترال 7.5 mg/1mL 10 mg - سينا پيشگام دارو نوين</t>
        </is>
      </c>
      <c r="C2642" s="25">
        <f>IF(COUNTIF('کدهای پیام‌داروساز'!$A$2:$A$2442,A2642)&gt;0,"بله","خیر")</f>
        <v/>
      </c>
    </row>
    <row r="2643" ht="15" customHeight="1" s="14">
      <c r="A2643" s="24" t="n">
        <v>51968</v>
      </c>
      <c r="B2643" s="24" t="inlineStr">
        <is>
          <t>روپيواکائين   محلول تزريقي پرنترال 10 mg/1mL 10 mg - سينا پيشگام دارو نوين</t>
        </is>
      </c>
      <c r="C2643" s="25">
        <f>IF(COUNTIF('کدهای پیام‌داروساز'!$A$2:$A$2442,A2643)&gt;0,"بله","خیر")</f>
        <v/>
      </c>
    </row>
    <row r="2644" ht="15" customHeight="1" s="14">
      <c r="A2644" s="24" t="n">
        <v>51970</v>
      </c>
      <c r="B2644" s="24" t="inlineStr">
        <is>
          <t>اگزيرکت   قرص خوراکي 60 mg - تدبير کالاي جم</t>
        </is>
      </c>
      <c r="C2644" s="25">
        <f>IF(COUNTIF('کدهای پیام‌داروساز'!$A$2:$A$2442,A2644)&gt;0,"بله","خیر")</f>
        <v/>
      </c>
    </row>
    <row r="2645" ht="15" customHeight="1" s="14">
      <c r="A2645" s="24" t="n">
        <v>51971</v>
      </c>
      <c r="B2645" s="24" t="inlineStr">
        <is>
          <t>ايراپراکس   پودر براي تهيه سوسپانسيون   خوراکي 200 mg/5 mL 50 g - داروسازي کوثر</t>
        </is>
      </c>
      <c r="C2645" s="25">
        <f>IF(COUNTIF('کدهای پیام‌داروساز'!$A$2:$A$2442,A2645)&gt;0,"بله","خیر")</f>
        <v/>
      </c>
    </row>
    <row r="2646" ht="15" customHeight="1" s="14">
      <c r="A2646" s="24" t="n">
        <v>51973</v>
      </c>
      <c r="B2646" s="24" t="inlineStr">
        <is>
          <t>داسپتون   تزريقي پرنترال 5 mg/1mL 20 mg - کوبل دارو</t>
        </is>
      </c>
      <c r="C2646" s="25">
        <f>IF(COUNTIF('کدهای پیام‌داروساز'!$A$2:$A$2442,A2646)&gt;0,"بله","خیر")</f>
        <v/>
      </c>
    </row>
    <row r="2647" ht="15" customHeight="1" s="14">
      <c r="A2647" s="24" t="n">
        <v>51974</v>
      </c>
      <c r="B2647" s="24" t="inlineStr">
        <is>
          <t>وکتا   سوسپانسيون تزريقي پرنترال 50 [iU]/1mL  [iU] - بهستان دارو</t>
        </is>
      </c>
      <c r="C2647" s="25">
        <f>IF(COUNTIF('کدهای پیام‌داروساز'!$A$2:$A$2442,A2647)&gt;0,"بله","خیر")</f>
        <v/>
      </c>
    </row>
    <row r="2648" ht="15" customHeight="1" s="14">
      <c r="A2648" s="24" t="n">
        <v>51976</v>
      </c>
      <c r="B2648" s="24" t="inlineStr">
        <is>
          <t>آلاتاف   قرص خوراکي 25 mg - رايان دارو ايرانيان</t>
        </is>
      </c>
      <c r="C2648" s="25">
        <f>IF(COUNTIF('کدهای پیام‌داروساز'!$A$2:$A$2442,A2648)&gt;0,"بله","خیر")</f>
        <v/>
      </c>
    </row>
    <row r="2649" ht="15" customHeight="1" s="14">
      <c r="A2649" s="24" t="n">
        <v>51977</v>
      </c>
      <c r="B2649" s="24" t="inlineStr">
        <is>
          <t>آلاتاف اي ام   قرص خوراکي 200 mg/25 mg - رايان دارو ايرانيان</t>
        </is>
      </c>
      <c r="C2649" s="25">
        <f>IF(COUNTIF('کدهای پیام‌داروساز'!$A$2:$A$2442,A2649)&gt;0,"بله","خیر")</f>
        <v/>
      </c>
    </row>
    <row r="2650" ht="15" customHeight="1" s="14">
      <c r="A2650" s="24" t="n">
        <v>51979</v>
      </c>
      <c r="B2650" s="24" t="inlineStr">
        <is>
          <t>ايماتينيب اکويدا   کپسول خوراکي 400 mg - رويان دارو</t>
        </is>
      </c>
      <c r="C2650" s="25">
        <f>IF(COUNTIF('کدهای پیام‌داروساز'!$A$2:$A$2442,A2650)&gt;0,"بله","خیر")</f>
        <v/>
      </c>
    </row>
    <row r="2651" ht="15" customHeight="1" s="14">
      <c r="A2651" s="24" t="n">
        <v>51981</v>
      </c>
      <c r="B2651" s="24" t="inlineStr">
        <is>
          <t>نوتروپيل   محلول خوراکي 20 % 200 % - نوآوران فخر دارو</t>
        </is>
      </c>
      <c r="C2651" s="25">
        <f>IF(COUNTIF('کدهای پیام‌داروساز'!$A$2:$A$2442,A2651)&gt;0,"بله","خیر")</f>
        <v/>
      </c>
    </row>
    <row r="2652" ht="15" customHeight="1" s="14">
      <c r="A2652" s="24" t="n">
        <v>51982</v>
      </c>
      <c r="B2652" s="24" t="inlineStr">
        <is>
          <t>گادوپنتتات دي مگلومين   تزريقي پرنترال 469 mg/1mL 20 mL - کارخانجات دارو پخش</t>
        </is>
      </c>
      <c r="C2652" s="25">
        <f>IF(COUNTIF('کدهای پیام‌داروساز'!$A$2:$A$2442,A2652)&gt;0,"بله","خیر")</f>
        <v/>
      </c>
    </row>
    <row r="2653" ht="15" customHeight="1" s="14">
      <c r="A2653" s="24" t="n">
        <v>51983</v>
      </c>
      <c r="B2653" s="24" t="inlineStr">
        <is>
          <t>ايدانترا   محلول تزريقي پرنترال 1 mg/1mL 5 mg - نانو فناوران داروئي الوند</t>
        </is>
      </c>
      <c r="C2653" s="25">
        <f>IF(COUNTIF('کدهای پیام‌داروساز'!$A$2:$A$2442,A2653)&gt;0,"بله","خیر")</f>
        <v/>
      </c>
    </row>
    <row r="2654" ht="15" customHeight="1" s="14">
      <c r="A2654" s="24" t="n">
        <v>51984</v>
      </c>
      <c r="B2654" s="24" t="inlineStr">
        <is>
          <t>ايدانترا   محلول تزريقي پرنترال 1 mg/1mL 10 mg - نانو فناوران داروئي الوند</t>
        </is>
      </c>
      <c r="C2654" s="25">
        <f>IF(COUNTIF('کدهای پیام‌داروساز'!$A$2:$A$2442,A2654)&gt;0,"بله","خیر")</f>
        <v/>
      </c>
    </row>
    <row r="2655" ht="15" customHeight="1" s="14">
      <c r="A2655" s="24" t="n">
        <v>51985</v>
      </c>
      <c r="B2655" s="24" t="inlineStr">
        <is>
          <t>ايدانترا   محلول تزريقي پرنترال 1 mg/1mL 20 mg - نانو فناوران داروئي الوند</t>
        </is>
      </c>
      <c r="C2655" s="25">
        <f>IF(COUNTIF('کدهای پیام‌داروساز'!$A$2:$A$2442,A2655)&gt;0,"بله","خیر")</f>
        <v/>
      </c>
    </row>
    <row r="2656" ht="15" customHeight="1" s="14">
      <c r="A2656" s="24" t="n">
        <v>51986</v>
      </c>
      <c r="B2656" s="24" t="inlineStr">
        <is>
          <t>ايربزارتان هگزال   قرص خوراکي 300 mg - بهستان دارو</t>
        </is>
      </c>
      <c r="C2656" s="25">
        <f>IF(COUNTIF('کدهای پیام‌داروساز'!$A$2:$A$2442,A2656)&gt;0,"بله","خیر")</f>
        <v/>
      </c>
    </row>
    <row r="2657" ht="15" customHeight="1" s="14">
      <c r="A2657" s="24" t="n">
        <v>51988</v>
      </c>
      <c r="B2657" s="24" t="inlineStr">
        <is>
          <t>آونکس   تزريقي پرنترال 12000000 [iU]/1mL 0.5 ug - کوبل دارو</t>
        </is>
      </c>
      <c r="C2657" s="25">
        <f>IF(COUNTIF('کدهای پیام‌داروساز'!$A$2:$A$2442,A2657)&gt;0,"بله","خیر")</f>
        <v/>
      </c>
    </row>
    <row r="2658" ht="15" customHeight="1" s="14">
      <c r="A2658" s="24" t="n">
        <v>51991</v>
      </c>
      <c r="B2658" s="24" t="inlineStr">
        <is>
          <t>کتژل ليدوکائين سي   ژل موضعي 2 %/0.05 % 12.5 g - هانيا پرسان دارو</t>
        </is>
      </c>
      <c r="C2658" s="25">
        <f>IF(COUNTIF('کدهای پیام‌داروساز'!$A$2:$A$2442,A2658)&gt;0,"بله","خیر")</f>
        <v/>
      </c>
    </row>
    <row r="2659" ht="15" customHeight="1" s="14">
      <c r="A2659" s="24" t="n">
        <v>51992</v>
      </c>
      <c r="B2659" s="24" t="inlineStr">
        <is>
          <t>اسرين   کرم موضعي 200 % 2 kg - عماد درمان پارس</t>
        </is>
      </c>
      <c r="C2659" s="25">
        <f>IF(COUNTIF('کدهای پیام‌داروساز'!$A$2:$A$2442,A2659)&gt;0,"بله","خیر")</f>
        <v/>
      </c>
    </row>
    <row r="2660" ht="15" customHeight="1" s="14">
      <c r="A2660" s="24" t="n">
        <v>51993</v>
      </c>
      <c r="B2660" s="24" t="inlineStr">
        <is>
          <t>اسرين   کرم موضعي 400 % 2 kg - عماد درمان پارس</t>
        </is>
      </c>
      <c r="C2660" s="25">
        <f>IF(COUNTIF('کدهای پیام‌داروساز'!$A$2:$A$2442,A2660)&gt;0,"بله","خیر")</f>
        <v/>
      </c>
    </row>
    <row r="2661" ht="15" customHeight="1" s="14">
      <c r="A2661" s="24" t="n">
        <v>51994</v>
      </c>
      <c r="B2661" s="24" t="inlineStr">
        <is>
          <t>آزيولسو   قرص خوراکي 400 mg/100 mg - رايان دارو ايرانيان</t>
        </is>
      </c>
      <c r="C2661" s="25">
        <f>IF(COUNTIF('کدهای پیام‌داروساز'!$A$2:$A$2442,A2661)&gt;0,"بله","خیر")</f>
        <v/>
      </c>
    </row>
    <row r="2662" ht="15" customHeight="1" s="14">
      <c r="A2662" s="24" t="n">
        <v>51995</v>
      </c>
      <c r="B2662" s="24" t="inlineStr">
        <is>
          <t>آکنوميس   ژل موضعي 1.2 %/0.025 % 30 g - کيش مديفارم</t>
        </is>
      </c>
      <c r="C2662" s="25">
        <f>IF(COUNTIF('کدهای پیام‌داروساز'!$A$2:$A$2442,A2662)&gt;0,"بله","خیر")</f>
        <v/>
      </c>
    </row>
    <row r="2663" ht="15" customHeight="1" s="14">
      <c r="A2663" s="24" t="n">
        <v>51996</v>
      </c>
      <c r="B2663" s="24" t="inlineStr">
        <is>
          <t>داکتارين   کرم موضعي 2 % 40 g - رضا دارو پارس</t>
        </is>
      </c>
      <c r="C2663" s="25">
        <f>IF(COUNTIF('کدهای پیام‌داروساز'!$A$2:$A$2442,A2663)&gt;0,"بله","خیر")</f>
        <v/>
      </c>
    </row>
    <row r="2664" ht="15" customHeight="1" s="14">
      <c r="A2664" s="24" t="n">
        <v>51997</v>
      </c>
      <c r="B2664" s="24" t="inlineStr">
        <is>
          <t>پنتاگلوبين   تزريقي پرنترال 50 mg/1mL 50 g - دارو درمان آرنگ</t>
        </is>
      </c>
      <c r="C2664" s="25">
        <f>IF(COUNTIF('کدهای پیام‌داروساز'!$A$2:$A$2442,A2664)&gt;0,"بله","خیر")</f>
        <v/>
      </c>
    </row>
    <row r="2665" ht="15" customHeight="1" s="14">
      <c r="A2665" s="24" t="n">
        <v>51999</v>
      </c>
      <c r="B2665" s="24" t="inlineStr">
        <is>
          <t>نگابان   پودر براي تهيه محلول تزريقي پرنترال 1 g  g - وليان دارو</t>
        </is>
      </c>
      <c r="C2665" s="25">
        <f>IF(COUNTIF('کدهای پیام‌داروساز'!$A$2:$A$2442,A2665)&gt;0,"بله","خیر")</f>
        <v/>
      </c>
    </row>
    <row r="2666" ht="15" customHeight="1" s="14">
      <c r="A2666" s="24" t="n">
        <v>52000</v>
      </c>
      <c r="B2666" s="24" t="inlineStr">
        <is>
          <t>آتروپين   تزريقي پرنترال 10 mg/1mL 2 mL - کارخانجات دارو پخش</t>
        </is>
      </c>
      <c r="C2666" s="25">
        <f>IF(COUNTIF('کدهای پیام‌داروساز'!$A$2:$A$2442,A2666)&gt;0,"بله","خیر")</f>
        <v/>
      </c>
    </row>
    <row r="2667" ht="15" customHeight="1" s="14">
      <c r="A2667" s="24" t="n">
        <v>52001</v>
      </c>
      <c r="B2667" s="24" t="inlineStr">
        <is>
          <t>لوتريبت   کرم موضعي 1 %/0.05 % 15 g - پارس دارو</t>
        </is>
      </c>
      <c r="C2667" s="25">
        <f>IF(COUNTIF('کدهای پیام‌داروساز'!$A$2:$A$2442,A2667)&gt;0,"بله","خیر")</f>
        <v/>
      </c>
    </row>
    <row r="2668" ht="15" customHeight="1" s="14">
      <c r="A2668" s="24" t="n">
        <v>52002</v>
      </c>
      <c r="B2668" s="24" t="inlineStr">
        <is>
          <t>کلاريترومايسين   پودر براي تهيه سوسپانسيون   خوراکي 250 mg/5 mL 100 mL - توليد مواد داروئي درسا دارو</t>
        </is>
      </c>
      <c r="C2668" s="25">
        <f>IF(COUNTIF('کدهای پیام‌داروساز'!$A$2:$A$2442,A2668)&gt;0,"بله","خیر")</f>
        <v/>
      </c>
    </row>
    <row r="2669" ht="15" customHeight="1" s="14">
      <c r="A2669" s="24" t="n">
        <v>52003</v>
      </c>
      <c r="B2669" s="24" t="inlineStr">
        <is>
          <t>سوکساجک   تزريقي پرنترال 20 mg/1mL 5 mg - تامين آوا سلامت</t>
        </is>
      </c>
      <c r="C2669" s="25">
        <f>IF(COUNTIF('کدهای پیام‌داروساز'!$A$2:$A$2442,A2669)&gt;0,"بله","خیر")</f>
        <v/>
      </c>
    </row>
    <row r="2670" ht="15" customHeight="1" s="14">
      <c r="A2670" s="24" t="n">
        <v>52005</v>
      </c>
      <c r="B2670" s="24" t="inlineStr">
        <is>
          <t>آجيکور   پلاستر موضعي 40 %  % - بازرگاني پارسيان ستاره غرب</t>
        </is>
      </c>
      <c r="C2670" s="25">
        <f>IF(COUNTIF('کدهای پیام‌داروساز'!$A$2:$A$2442,A2670)&gt;0,"بله","خیر")</f>
        <v/>
      </c>
    </row>
    <row r="2671" ht="15" customHeight="1" s="14">
      <c r="A2671" s="24" t="n">
        <v>52006</v>
      </c>
      <c r="B2671" s="24" t="inlineStr">
        <is>
          <t>لبسين   تزريقي پرنترال 5 mg/1mL 4 mg - پارس بهروزان جم</t>
        </is>
      </c>
      <c r="C2671" s="25">
        <f>IF(COUNTIF('کدهای پیام‌داروساز'!$A$2:$A$2442,A2671)&gt;0,"بله","خیر")</f>
        <v/>
      </c>
    </row>
    <row r="2672" ht="15" customHeight="1" s="14">
      <c r="A2672" s="24" t="n">
        <v>52008</v>
      </c>
      <c r="B2672" s="24" t="inlineStr">
        <is>
          <t>ميدراکس 1 درصد تک دوز (تروپيکاميد) قطره چشمي - سينا دارو</t>
        </is>
      </c>
      <c r="C2672" s="25">
        <f>IF(COUNTIF('کدهای پیام‌داروساز'!$A$2:$A$2442,A2672)&gt;0,"بله","خیر")</f>
        <v/>
      </c>
    </row>
    <row r="2673" ht="15" customHeight="1" s="14">
      <c r="A2673" s="24" t="n">
        <v>52009</v>
      </c>
      <c r="B2673" s="24" t="inlineStr">
        <is>
          <t>ميدراکس 0.5 درصد تک دوز (تروپيکاميد) قطره چشمي - سينا دارو</t>
        </is>
      </c>
      <c r="C2673" s="25">
        <f>IF(COUNTIF('کدهای پیام‌داروساز'!$A$2:$A$2442,A2673)&gt;0,"بله","خیر")</f>
        <v/>
      </c>
    </row>
    <row r="2674" ht="15" customHeight="1" s="14">
      <c r="A2674" s="24" t="n">
        <v>52013</v>
      </c>
      <c r="B2674" s="24" t="inlineStr">
        <is>
          <t>اس- وان تريو   کپسول خوراکي 20 mg/5.8 mg/15.8 mg - مرز گستران فناوري آينده</t>
        </is>
      </c>
      <c r="C2674" s="25">
        <f>IF(COUNTIF('کدهای پیام‌داروساز'!$A$2:$A$2442,A2674)&gt;0,"بله","خیر")</f>
        <v/>
      </c>
    </row>
    <row r="2675" ht="15" customHeight="1" s="14">
      <c r="A2675" s="24" t="n">
        <v>52014</v>
      </c>
      <c r="B2675" s="24" t="inlineStr">
        <is>
          <t>ژانولوما   کرم موضعي 0.01 %/4 %/0.05 % 15 g - ژرف انديشان نويد سلامت</t>
        </is>
      </c>
      <c r="C2675" s="25">
        <f>IF(COUNTIF('کدهای پیام‌داروساز'!$A$2:$A$2442,A2675)&gt;0,"بله","خیر")</f>
        <v/>
      </c>
    </row>
    <row r="2676" ht="15" customHeight="1" s="14">
      <c r="A2676" s="24" t="n">
        <v>52020</v>
      </c>
      <c r="B2676" s="24" t="inlineStr">
        <is>
          <t>تينوپا   پودر براي تهيه محلول تزريقي پرنترال 100 mg  mg - نانو فناوران داروئي الوند</t>
        </is>
      </c>
      <c r="C2676" s="25">
        <f>IF(COUNTIF('کدهای پیام‌داروساز'!$A$2:$A$2442,A2676)&gt;0,"بله","خیر")</f>
        <v/>
      </c>
    </row>
    <row r="2677" ht="15" customHeight="1" s="14">
      <c r="A2677" s="24" t="n">
        <v>52022</v>
      </c>
      <c r="B2677" s="24" t="inlineStr">
        <is>
          <t>آمينوپلاسمال اطفال 10%   محلول تزريقي داخل وريدي 100 mL - نيکان فارمد</t>
        </is>
      </c>
      <c r="C2677" s="25">
        <f>IF(COUNTIF('کدهای پیام‌داروساز'!$A$2:$A$2442,A2677)&gt;0,"بله","خیر")</f>
        <v/>
      </c>
    </row>
    <row r="2678" ht="15" customHeight="1" s="14">
      <c r="A2678" s="24" t="n">
        <v>52023</v>
      </c>
      <c r="B2678" s="24" t="inlineStr">
        <is>
          <t>آمينوپلاسمال اطفال 10%   محلول تزريقي داخل وريدي 250 mL - نيکان فارمد</t>
        </is>
      </c>
      <c r="C2678" s="25">
        <f>IF(COUNTIF('کدهای پیام‌داروساز'!$A$2:$A$2442,A2678)&gt;0,"بله","خیر")</f>
        <v/>
      </c>
    </row>
    <row r="2679" ht="15" customHeight="1" s="14">
      <c r="A2679" s="24" t="n">
        <v>52024</v>
      </c>
      <c r="B2679" s="24" t="inlineStr">
        <is>
          <t>اديترون   قرص بازشونده در دهان خوراکي 4 mg - پارس دارو</t>
        </is>
      </c>
      <c r="C2679" s="25">
        <f>IF(COUNTIF('کدهای پیام‌داروساز'!$A$2:$A$2442,A2679)&gt;0,"بله","خیر")</f>
        <v/>
      </c>
    </row>
    <row r="2680" ht="15" customHeight="1" s="14">
      <c r="A2680" s="24" t="n">
        <v>52025</v>
      </c>
      <c r="B2680" s="24" t="inlineStr">
        <is>
          <t>اديترون   قرص بازشونده در دهان خوراکي 8 mg - پارس دارو</t>
        </is>
      </c>
      <c r="C2680" s="25">
        <f>IF(COUNTIF('کدهای پیام‌داروساز'!$A$2:$A$2442,A2680)&gt;0,"بله","خیر")</f>
        <v/>
      </c>
    </row>
    <row r="2681" ht="15" customHeight="1" s="14">
      <c r="A2681" s="24" t="n">
        <v>52027</v>
      </c>
      <c r="B2681" s="24" t="inlineStr">
        <is>
          <t>آزيتر   محلول، قطره چشمي 1.5 % 0.25 g - کوشان فارمد</t>
        </is>
      </c>
      <c r="C2681" s="25">
        <f>IF(COUNTIF('کدهای پیام‌داروساز'!$A$2:$A$2442,A2681)&gt;0,"بله","خیر")</f>
        <v/>
      </c>
    </row>
    <row r="2682" ht="15" customHeight="1" s="14">
      <c r="A2682" s="24" t="n">
        <v>52028</v>
      </c>
      <c r="B2682" s="24" t="inlineStr">
        <is>
          <t>آرو-ستام   محلول تزريقي پرنترال 15 mg/1mL 100 mg - دارو درمان آرنگ</t>
        </is>
      </c>
      <c r="C2682" s="25">
        <f>IF(COUNTIF('کدهای پیام‌داروساز'!$A$2:$A$2442,A2682)&gt;0,"بله","خیر")</f>
        <v/>
      </c>
    </row>
    <row r="2683" ht="15" customHeight="1" s="14">
      <c r="A2683" s="24" t="n">
        <v>52029</v>
      </c>
      <c r="B2683" s="24" t="inlineStr">
        <is>
          <t>باکترباي   محلول موضعي 10 % 30 mL - کيش مديفارم</t>
        </is>
      </c>
      <c r="C2683" s="25">
        <f>IF(COUNTIF('کدهای پیام‌داروساز'!$A$2:$A$2442,A2683)&gt;0,"بله","خیر")</f>
        <v/>
      </c>
    </row>
    <row r="2684" ht="15" customHeight="1" s="14">
      <c r="A2684" s="24" t="n">
        <v>52030</v>
      </c>
      <c r="B2684" s="24" t="inlineStr">
        <is>
          <t>پارساداين   محلول موضعي 10 % 110 mL - پارس مهديس دارو</t>
        </is>
      </c>
      <c r="C2684" s="25">
        <f>IF(COUNTIF('کدهای پیام‌داروساز'!$A$2:$A$2442,A2684)&gt;0,"بله","خیر")</f>
        <v/>
      </c>
    </row>
    <row r="2685" ht="15" customHeight="1" s="14">
      <c r="A2685" s="24" t="n">
        <v>52031</v>
      </c>
      <c r="B2685" s="24" t="inlineStr">
        <is>
          <t>اينداپاميد   قرص خوراکي 2.5 mg - البرز دارو</t>
        </is>
      </c>
      <c r="C2685" s="25">
        <f>IF(COUNTIF('کدهای پیام‌داروساز'!$A$2:$A$2442,A2685)&gt;0,"بله","خیر")</f>
        <v/>
      </c>
    </row>
    <row r="2686" ht="15" customHeight="1" s="14">
      <c r="A2686" s="24" t="n">
        <v>52032</v>
      </c>
      <c r="B2686" s="24" t="inlineStr">
        <is>
          <t>ايپراترونکس-پي بي اي   اسپري با دوز اندازه گيري شده از راه بيني 21 ug/1{Puff} 15 mL - سلامت سازان پارس بوعلي</t>
        </is>
      </c>
      <c r="C2686" s="25">
        <f>IF(COUNTIF('کدهای پیام‌داروساز'!$A$2:$A$2442,A2686)&gt;0,"بله","خیر")</f>
        <v/>
      </c>
    </row>
    <row r="2687" ht="15" customHeight="1" s="14">
      <c r="A2687" s="24" t="n">
        <v>52033</v>
      </c>
      <c r="B2687" s="24" t="inlineStr">
        <is>
          <t>ايپراتروپيوم برومايد   اسپري با دوز اندازه گيري شده از راه بيني 42 ug/1{Puff}  mL - داروسازي جابرابن حيان</t>
        </is>
      </c>
      <c r="C2687" s="25">
        <f>IF(COUNTIF('کدهای پیام‌داروساز'!$A$2:$A$2442,A2687)&gt;0,"بله","خیر")</f>
        <v/>
      </c>
    </row>
    <row r="2688" ht="15" customHeight="1" s="14">
      <c r="A2688" s="24" t="n">
        <v>52034</v>
      </c>
      <c r="B2688" s="24" t="inlineStr">
        <is>
          <t>رسيژن   تزريقي پرنترال 12000000 [iU] 1.5 ug - تحقيقاتي وتوليدي سينا ژن</t>
        </is>
      </c>
      <c r="C2688" s="25">
        <f>IF(COUNTIF('کدهای پیام‌داروساز'!$A$2:$A$2442,A2688)&gt;0,"بله","خیر")</f>
        <v/>
      </c>
    </row>
    <row r="2689" ht="15" customHeight="1" s="14">
      <c r="A2689" s="24" t="n">
        <v>52035</v>
      </c>
      <c r="B2689" s="24" t="inlineStr">
        <is>
          <t>کيدي مب   محلول تزريقي پرنترال 50 mg/1mL 0.4 mg - تحقيقاتي وتوليدي سينا ژن</t>
        </is>
      </c>
      <c r="C2689" s="25">
        <f>IF(COUNTIF('کدهای پیام‌داروساز'!$A$2:$A$2442,A2689)&gt;0,"بله","خیر")</f>
        <v/>
      </c>
    </row>
    <row r="2690" ht="15" customHeight="1" s="14">
      <c r="A2690" s="24" t="n">
        <v>52038</v>
      </c>
      <c r="B2690" s="24" t="inlineStr">
        <is>
          <t>دومپريدون   سوسپانسيون خوراکي 1 mg/1 mL 200 mL - افق دارو پارس</t>
        </is>
      </c>
      <c r="C2690" s="25">
        <f>IF(COUNTIF('کدهای پیام‌داروساز'!$A$2:$A$2442,A2690)&gt;0,"بله","خیر")</f>
        <v/>
      </c>
    </row>
    <row r="2691" ht="15" customHeight="1" s="14">
      <c r="A2691" s="24" t="n">
        <v>52039</v>
      </c>
      <c r="B2691" s="24" t="inlineStr">
        <is>
          <t>موتيلوميد   سوسپانسيون خوراکي 1 mg/1 mL 100 mL - داروئي اميد بهبود</t>
        </is>
      </c>
      <c r="C2691" s="25">
        <f>IF(COUNTIF('کدهای پیام‌داروساز'!$A$2:$A$2442,A2691)&gt;0,"بله","خیر")</f>
        <v/>
      </c>
    </row>
    <row r="2692" ht="15" customHeight="1" s="14">
      <c r="A2692" s="24" t="n">
        <v>52040</v>
      </c>
      <c r="B2692" s="24" t="inlineStr">
        <is>
          <t>اينفاسرف   سوسپانسيون داخل تراشه اي 35 mg/1mL 3 mL - کيميا آرا هرم</t>
        </is>
      </c>
      <c r="C2692" s="25">
        <f>IF(COUNTIF('کدهای پیام‌داروساز'!$A$2:$A$2442,A2692)&gt;0,"بله","خیر")</f>
        <v/>
      </c>
    </row>
    <row r="2693" ht="15" customHeight="1" s="14">
      <c r="A2693" s="24" t="n">
        <v>52041</v>
      </c>
      <c r="B2693" s="24" t="inlineStr">
        <is>
          <t>اينفاسرف   سوسپانسيون داخل تراشه اي 35 mg/1mL 6 mL - کيميا آرا هرم</t>
        </is>
      </c>
      <c r="C2693" s="25">
        <f>IF(COUNTIF('کدهای پیام‌داروساز'!$A$2:$A$2442,A2693)&gt;0,"بله","خیر")</f>
        <v/>
      </c>
    </row>
    <row r="2694" ht="15" customHeight="1" s="14">
      <c r="A2694" s="24" t="n">
        <v>52042</v>
      </c>
      <c r="B2694" s="24" t="inlineStr">
        <is>
          <t>تابکس   قرص خوراکي 1.5 mg - بازرگاني سها کيش</t>
        </is>
      </c>
      <c r="C2694" s="25">
        <f>IF(COUNTIF('کدهای پیام‌داروساز'!$A$2:$A$2442,A2694)&gt;0,"بله","خیر")</f>
        <v/>
      </c>
    </row>
    <row r="2695" ht="15" customHeight="1" s="14">
      <c r="A2695" s="24" t="n">
        <v>52044</v>
      </c>
      <c r="B2695" s="24" t="inlineStr">
        <is>
          <t>دکسمدتوميدين   تزريقي پرنترال 4 ug/1mL 100 mL - داروسازي شهيد قاضي</t>
        </is>
      </c>
      <c r="C2695" s="25">
        <f>IF(COUNTIF('کدهای پیام‌داروساز'!$A$2:$A$2442,A2695)&gt;0,"بله","خیر")</f>
        <v/>
      </c>
    </row>
    <row r="2696" ht="15" customHeight="1" s="14">
      <c r="A2696" s="24" t="n">
        <v>52045</v>
      </c>
      <c r="B2696" s="24" t="inlineStr">
        <is>
          <t>آتيتن   محلول خوراکي 1 mg/1mL 15 mL - سينا پيشگام دارو نوين</t>
        </is>
      </c>
      <c r="C2696" s="25">
        <f>IF(COUNTIF('کدهای پیام‌داروساز'!$A$2:$A$2442,A2696)&gt;0,"بله","خیر")</f>
        <v/>
      </c>
    </row>
    <row r="2697" ht="15" customHeight="1" s="14">
      <c r="A2697" s="24" t="n">
        <v>52046</v>
      </c>
      <c r="B2697" s="24" t="inlineStr">
        <is>
          <t>فورانتوئينا   سوسپانسيون خوراکي 10 mg/1mL 80 mL - بازرگاني سها کيش</t>
        </is>
      </c>
      <c r="C2697" s="25">
        <f>IF(COUNTIF('کدهای پیام‌داروساز'!$A$2:$A$2442,A2697)&gt;0,"بله","خیر")</f>
        <v/>
      </c>
    </row>
    <row r="2698" ht="15" customHeight="1" s="14">
      <c r="A2698" s="24" t="n">
        <v>52047</v>
      </c>
      <c r="B2698" s="24" t="inlineStr">
        <is>
          <t>آجو ديگوکسين   تزريقي پرنترال 0.25 mg/1mL 1 mg - نسيم دارو سلامت</t>
        </is>
      </c>
      <c r="C2698" s="25">
        <f>IF(COUNTIF('کدهای پیام‌داروساز'!$A$2:$A$2442,A2698)&gt;0,"بله","خیر")</f>
        <v/>
      </c>
    </row>
    <row r="2699" ht="15" customHeight="1" s="14">
      <c r="A2699" s="24" t="n">
        <v>52048</v>
      </c>
      <c r="B2699" s="24" t="inlineStr">
        <is>
          <t>مبترا   تزريقي پرنترال 120 mg/1mL 11.7 mg - بهستان دارو</t>
        </is>
      </c>
      <c r="C2699" s="25">
        <f>IF(COUNTIF('کدهای پیام‌داروساز'!$A$2:$A$2442,A2699)&gt;0,"بله","خیر")</f>
        <v/>
      </c>
    </row>
    <row r="2700" ht="15" customHeight="1" s="14">
      <c r="A2700" s="24" t="n">
        <v>52049</v>
      </c>
      <c r="B2700" s="24" t="inlineStr">
        <is>
          <t>مبترا   تزريقي پرنترال 120 mg/1mL 13.4 mg - بهستان دارو</t>
        </is>
      </c>
      <c r="C2700" s="25">
        <f>IF(COUNTIF('کدهای پیام‌داروساز'!$A$2:$A$2442,A2700)&gt;0,"بله","خیر")</f>
        <v/>
      </c>
    </row>
    <row r="2701" ht="15" customHeight="1" s="14">
      <c r="A2701" s="24" t="n">
        <v>52052</v>
      </c>
      <c r="B2701" s="24" t="inlineStr">
        <is>
          <t>تازادپ 15 (ميرتازاپين) قرص - اکتوور</t>
        </is>
      </c>
      <c r="C2701" s="25">
        <f>IF(COUNTIF('کدهای پیام‌داروساز'!$A$2:$A$2442,A2701)&gt;0,"بله","خیر")</f>
        <v/>
      </c>
    </row>
    <row r="2702" ht="15" customHeight="1" s="14">
      <c r="A2702" s="24" t="n">
        <v>52053</v>
      </c>
      <c r="B2702" s="24" t="inlineStr">
        <is>
          <t>تازادپ45 (ميرتازاپين) قرص - اکتوور</t>
        </is>
      </c>
      <c r="C2702" s="25">
        <f>IF(COUNTIF('کدهای پیام‌داروساز'!$A$2:$A$2442,A2702)&gt;0,"بله","خیر")</f>
        <v/>
      </c>
    </row>
    <row r="2703" ht="15" customHeight="1" s="14">
      <c r="A2703" s="24" t="n">
        <v>52054</v>
      </c>
      <c r="B2703" s="24" t="inlineStr">
        <is>
          <t>آفامرون   قرص خوراکي 7.5 mg</t>
        </is>
      </c>
      <c r="C2703" s="25">
        <f>IF(COUNTIF('کدهای پیام‌داروساز'!$A$2:$A$2442,A2703)&gt;0,"بله","خیر")</f>
        <v/>
      </c>
    </row>
    <row r="2704" ht="15" customHeight="1" s="14">
      <c r="A2704" s="24" t="n">
        <v>52057</v>
      </c>
      <c r="B2704" s="24" t="inlineStr">
        <is>
          <t>ايميونيت   پودر لئوفيليزه براي تهيه محلول تزريقي پرنترال 1000 [iU]/750 [iU]  [iU] - کار و انديشه</t>
        </is>
      </c>
      <c r="C2704" s="25">
        <f>IF(COUNTIF('کدهای پیام‌داروساز'!$A$2:$A$2442,A2704)&gt;0,"بله","خیر")</f>
        <v/>
      </c>
    </row>
    <row r="2705" ht="15" customHeight="1" s="14">
      <c r="A2705" s="24" t="n">
        <v>52058</v>
      </c>
      <c r="B2705" s="24" t="inlineStr">
        <is>
          <t>کوروسرف   تزريقي داخل تراشه اي 80 mg/1mL 1.5 mg - درمان ياب دارو</t>
        </is>
      </c>
      <c r="C2705" s="25">
        <f>IF(COUNTIF('کدهای پیام‌داروساز'!$A$2:$A$2442,A2705)&gt;0,"بله","خیر")</f>
        <v/>
      </c>
    </row>
    <row r="2706" ht="15" customHeight="1" s="14">
      <c r="A2706" s="24" t="n">
        <v>52059</v>
      </c>
      <c r="B2706" s="24" t="inlineStr">
        <is>
          <t>ايمونو اچ بي اس   تزريقي پرنترال 180 [iU]/1mL 1 [iU] - بهستان دارو</t>
        </is>
      </c>
      <c r="C2706" s="25">
        <f>IF(COUNTIF('کدهای پیام‌داروساز'!$A$2:$A$2442,A2706)&gt;0,"بله","خیر")</f>
        <v/>
      </c>
    </row>
    <row r="2707" ht="15" customHeight="1" s="14">
      <c r="A2707" s="24" t="n">
        <v>52060</v>
      </c>
      <c r="B2707" s="24" t="inlineStr">
        <is>
          <t>ايمونو اچ بي اس   تزريقي پرنترال 180 [iU]/1mL 3 [iU] - بهستان دارو</t>
        </is>
      </c>
      <c r="C2707" s="25">
        <f>IF(COUNTIF('کدهای پیام‌داروساز'!$A$2:$A$2442,A2707)&gt;0,"بله","خیر")</f>
        <v/>
      </c>
    </row>
    <row r="2708" ht="15" customHeight="1" s="14">
      <c r="A2708" s="24" t="n">
        <v>52061</v>
      </c>
      <c r="B2708" s="24" t="inlineStr">
        <is>
          <t>ايمونو اچ بي اس   تزريقي پرنترال 334 [iU]/1mL 3 [iU] - بهستان دارو</t>
        </is>
      </c>
      <c r="C2708" s="25">
        <f>IF(COUNTIF('کدهای پیام‌داروساز'!$A$2:$A$2442,A2708)&gt;0,"بله","خیر")</f>
        <v/>
      </c>
    </row>
    <row r="2709" ht="15" customHeight="1" s="14">
      <c r="A2709" s="24" t="n">
        <v>52062</v>
      </c>
      <c r="B2709" s="24" t="inlineStr">
        <is>
          <t>الونوا   محلول تزريقي پرنترال 200 ug/1mL 0.5 ug - بهستان دارو</t>
        </is>
      </c>
      <c r="C2709" s="25">
        <f>IF(COUNTIF('کدهای پیام‌داروساز'!$A$2:$A$2442,A2709)&gt;0,"بله","خیر")</f>
        <v/>
      </c>
    </row>
    <row r="2710" ht="15" customHeight="1" s="14">
      <c r="A2710" s="24" t="n">
        <v>52063</v>
      </c>
      <c r="B2710" s="24" t="inlineStr">
        <is>
          <t>آبيراترون اکويدا   قرص خوراکي 500 mg - رويان آکويدا</t>
        </is>
      </c>
      <c r="C2710" s="25">
        <f>IF(COUNTIF('کدهای پیام‌داروساز'!$A$2:$A$2442,A2710)&gt;0,"بله","خیر")</f>
        <v/>
      </c>
    </row>
    <row r="2711" ht="15" customHeight="1" s="14">
      <c r="A2711" s="24" t="n">
        <v>52064</v>
      </c>
      <c r="B2711" s="24" t="inlineStr">
        <is>
          <t>رهاکين    شربت خوراکي 200 mg/5mL 250 mL - داروسازي رها اصفهان</t>
        </is>
      </c>
      <c r="C2711" s="25">
        <f>IF(COUNTIF('کدهای پیام‌داروساز'!$A$2:$A$2442,A2711)&gt;0,"بله","خیر")</f>
        <v/>
      </c>
    </row>
    <row r="2712" ht="15" customHeight="1" s="14">
      <c r="A2712" s="24" t="n">
        <v>52065</v>
      </c>
      <c r="B2712" s="24" t="inlineStr">
        <is>
          <t>اوکتوستيم   اسپري از راه بيني 100 ug/1mL 2.5 mg - رضا دارو پارس</t>
        </is>
      </c>
      <c r="C2712" s="25">
        <f>IF(COUNTIF('کدهای پیام‌داروساز'!$A$2:$A$2442,A2712)&gt;0,"بله","خیر")</f>
        <v/>
      </c>
    </row>
    <row r="2713" ht="15" customHeight="1" s="14">
      <c r="A2713" s="24" t="n">
        <v>52071</v>
      </c>
      <c r="B2713" s="24" t="inlineStr">
        <is>
          <t>مگافن سينوس کلد   قرص خوراکي 500 mg/10 mg/25 mg - کيش مديفارم</t>
        </is>
      </c>
      <c r="C2713" s="25">
        <f>IF(COUNTIF('کدهای پیام‌داروساز'!$A$2:$A$2442,A2713)&gt;0,"بله","خیر")</f>
        <v/>
      </c>
    </row>
    <row r="2714" ht="15" customHeight="1" s="14">
      <c r="A2714" s="24" t="n">
        <v>52072</v>
      </c>
      <c r="B2714" s="24" t="inlineStr">
        <is>
          <t>لاکتولوز   شربت خوراکي 10 g/15mL 100 mL - البرز دارو</t>
        </is>
      </c>
      <c r="C2714" s="25">
        <f>IF(COUNTIF('کدهای پیام‌داروساز'!$A$2:$A$2442,A2714)&gt;0,"بله","خیر")</f>
        <v/>
      </c>
    </row>
    <row r="2715" ht="15" customHeight="1" s="14">
      <c r="A2715" s="24" t="n">
        <v>52073</v>
      </c>
      <c r="B2715" s="24" t="inlineStr">
        <is>
          <t>روکورونيوم برومايد کابي   محلول تزريقي پرنترال 10 mg/1mL 10 mg - درمان ياب دارو</t>
        </is>
      </c>
      <c r="C2715" s="25">
        <f>IF(COUNTIF('کدهای پیام‌داروساز'!$A$2:$A$2442,A2715)&gt;0,"بله","خیر")</f>
        <v/>
      </c>
    </row>
    <row r="2716" ht="15" customHeight="1" s="14">
      <c r="A2716" s="24" t="n">
        <v>52075</v>
      </c>
      <c r="B2716" s="24" t="inlineStr">
        <is>
          <t>اسمولاک   شربت خوراکي 10 g/15mL 250 mg - رايان دارو ايرانيان</t>
        </is>
      </c>
      <c r="C2716" s="25">
        <f>IF(COUNTIF('کدهای پیام‌داروساز'!$A$2:$A$2442,A2716)&gt;0,"بله","خیر")</f>
        <v/>
      </c>
    </row>
    <row r="2717" ht="15" customHeight="1" s="14">
      <c r="A2717" s="24" t="n">
        <v>52077</v>
      </c>
      <c r="B2717" s="24" t="inlineStr">
        <is>
          <t>گليسرين   محلول خوراکي 100 % 60 g - کيميا دارو سپهر</t>
        </is>
      </c>
      <c r="C2717" s="25">
        <f>IF(COUNTIF('کدهای پیام‌داروساز'!$A$2:$A$2442,A2717)&gt;0,"بله","خیر")</f>
        <v/>
      </c>
    </row>
    <row r="2718" ht="15" customHeight="1" s="14">
      <c r="A2718" s="24" t="n">
        <v>52080</v>
      </c>
      <c r="B2718" s="24" t="inlineStr">
        <is>
          <t>فلورسئين   تزريقي پرنترال 200 mg/1mL 5 mg - رايان دارو ايرانيان</t>
        </is>
      </c>
      <c r="C2718" s="25">
        <f>IF(COUNTIF('کدهای پیام‌داروساز'!$A$2:$A$2442,A2718)&gt;0,"بله","خیر")</f>
        <v/>
      </c>
    </row>
    <row r="2719" ht="15" customHeight="1" s="14">
      <c r="A2719" s="24" t="n">
        <v>52081</v>
      </c>
      <c r="B2719" s="24" t="inlineStr">
        <is>
          <t>لاکتولوز   شربت خوراکي 10 g/15mL 200 mm - يارا طب خاورميانه</t>
        </is>
      </c>
      <c r="C2719" s="25">
        <f>IF(COUNTIF('کدهای پیام‌داروساز'!$A$2:$A$2442,A2719)&gt;0,"بله","خیر")</f>
        <v/>
      </c>
    </row>
    <row r="2720" ht="15" customHeight="1" s="14">
      <c r="A2720" s="24" t="n">
        <v>52082</v>
      </c>
      <c r="B2720" s="24" t="inlineStr">
        <is>
          <t>پروستويژن-پي بي اي   محلول، قطره چشمي 0.03 % 3 mL - سلامت سازان پارس بوعلي</t>
        </is>
      </c>
      <c r="C2720" s="25">
        <f>IF(COUNTIF('کدهای پیام‌داروساز'!$A$2:$A$2442,A2720)&gt;0,"بله","خیر")</f>
        <v/>
      </c>
    </row>
    <row r="2721" ht="15" customHeight="1" s="14">
      <c r="A2721" s="24" t="n">
        <v>52083</v>
      </c>
      <c r="B2721" s="24" t="inlineStr">
        <is>
          <t>ايمووکس پوليو   تزريقي پرنترال 10 {dose}  {dose} - روژين دارو</t>
        </is>
      </c>
      <c r="C2721" s="25">
        <f>IF(COUNTIF('کدهای پیام‌داروساز'!$A$2:$A$2442,A2721)&gt;0,"بله","خیر")</f>
        <v/>
      </c>
    </row>
    <row r="2722" ht="15" customHeight="1" s="14">
      <c r="A2722" s="24" t="n">
        <v>52084</v>
      </c>
      <c r="B2722" s="24" t="inlineStr">
        <is>
          <t>لوونور   محلول غليظ تزريقي پرنترال 1 mg/1mL 1 mL - دارويي پخش رازي</t>
        </is>
      </c>
      <c r="C2722" s="25">
        <f>IF(COUNTIF('کدهای پیام‌داروساز'!$A$2:$A$2442,A2722)&gt;0,"بله","خیر")</f>
        <v/>
      </c>
    </row>
    <row r="2723" ht="15" customHeight="1" s="14">
      <c r="A2723" s="24" t="n">
        <v>52085</v>
      </c>
      <c r="B2723" s="24" t="inlineStr">
        <is>
          <t>ازومان   گرانول انتريک کوتد خوراکي 10 mg  g - داروئي و بهداشتي لقمان</t>
        </is>
      </c>
      <c r="C2723" s="25">
        <f>IF(COUNTIF('کدهای پیام‌داروساز'!$A$2:$A$2442,A2723)&gt;0,"بله","خیر")</f>
        <v/>
      </c>
    </row>
    <row r="2724" ht="15" customHeight="1" s="14">
      <c r="A2724" s="24" t="n">
        <v>52086</v>
      </c>
      <c r="B2724" s="24" t="inlineStr">
        <is>
          <t>اندانسترون   قرص خوراکي 8 mg - داروسازي آني درمان</t>
        </is>
      </c>
      <c r="C2724" s="25">
        <f>IF(COUNTIF('کدهای پیام‌داروساز'!$A$2:$A$2442,A2724)&gt;0,"بله","خیر")</f>
        <v/>
      </c>
    </row>
    <row r="2725" ht="15" customHeight="1" s="14">
      <c r="A2725" s="24" t="n">
        <v>52087</v>
      </c>
      <c r="B2725" s="24" t="inlineStr">
        <is>
          <t>اسلينتا   قرص خوراکي 60 mg - دارو سازي اسوه</t>
        </is>
      </c>
      <c r="C2725" s="25">
        <f>IF(COUNTIF('کدهای پیام‌داروساز'!$A$2:$A$2442,A2725)&gt;0,"بله","خیر")</f>
        <v/>
      </c>
    </row>
    <row r="2726" ht="15" customHeight="1" s="14">
      <c r="A2726" s="24" t="n">
        <v>52088</v>
      </c>
      <c r="B2726" s="24" t="inlineStr">
        <is>
          <t>کلينکاپ   سوسپانسيون خوراکي 75 mg/5mL 100 mg - تامين آوا سلامت</t>
        </is>
      </c>
      <c r="C2726" s="25">
        <f>IF(COUNTIF('کدهای پیام‌داروساز'!$A$2:$A$2442,A2726)&gt;0,"بله","خیر")</f>
        <v/>
      </c>
    </row>
    <row r="2727" ht="15" customHeight="1" s="14">
      <c r="A2727" s="24" t="n">
        <v>52089</v>
      </c>
      <c r="B2727" s="24" t="inlineStr">
        <is>
          <t>نيترورال   سوسپانسيون خوراکي 25 mg/5mL 80 mg - تامين آوا سلامت</t>
        </is>
      </c>
      <c r="C2727" s="25">
        <f>IF(COUNTIF('کدهای پیام‌داروساز'!$A$2:$A$2442,A2727)&gt;0,"بله","خیر")</f>
        <v/>
      </c>
    </row>
    <row r="2728" ht="15" customHeight="1" s="14">
      <c r="A2728" s="24" t="n">
        <v>52091</v>
      </c>
      <c r="B2728" s="24" t="inlineStr">
        <is>
          <t>کوپرين   محلول غليظ تزريقي پرنترال 1 mg/1mL 20 mg - سامان دارو سلامت</t>
        </is>
      </c>
      <c r="C2728" s="25">
        <f>IF(COUNTIF('کدهای پیام‌داروساز'!$A$2:$A$2442,A2728)&gt;0,"بله","خیر")</f>
        <v/>
      </c>
    </row>
    <row r="2729" ht="15" customHeight="1" s="14">
      <c r="A2729" s="24" t="n">
        <v>52092</v>
      </c>
      <c r="B2729" s="24" t="inlineStr">
        <is>
          <t>پنتاگلوبين   تزريقي پرنترال 50 mg/1mL 100 g - درمان آرا</t>
        </is>
      </c>
      <c r="C2729" s="25">
        <f>IF(COUNTIF('کدهای پیام‌داروساز'!$A$2:$A$2442,A2729)&gt;0,"بله","خیر")</f>
        <v/>
      </c>
    </row>
    <row r="2730" ht="15" customHeight="1" s="14">
      <c r="A2730" s="24" t="n">
        <v>52093</v>
      </c>
      <c r="B2730" s="24" t="inlineStr">
        <is>
          <t>لوتمکس   پماد چشمي 0.5 % 3.5 g - وليان دارو</t>
        </is>
      </c>
      <c r="C2730" s="25">
        <f>IF(COUNTIF('کدهای پیام‌داروساز'!$A$2:$A$2442,A2730)&gt;0,"بله","خیر")</f>
        <v/>
      </c>
    </row>
    <row r="2731" ht="15" customHeight="1" s="14">
      <c r="A2731" s="24" t="n">
        <v>52095</v>
      </c>
      <c r="B2731" s="24" t="inlineStr">
        <is>
          <t>آمينوپلاسمال بي.براون 10% الکتروليت   محلول تزريقي داخل وريدي 5 mg/8.9 mg/8.56 mg/4.4 mg/4.7 mg/4.2 mg/1.6 mg/6.2 mg/11.5 mg/3 mg/10.5 mg/12 mg/5.6 mg/7.2 mg/5.5 mg/2.3 mg/0.4 mg/2.858 mg/0.36 mg/2.45</t>
        </is>
      </c>
      <c r="C2731" s="25">
        <f>IF(COUNTIF('کدهای پیام‌داروساز'!$A$2:$A$2442,A2731)&gt;0,"بله","خیر")</f>
        <v/>
      </c>
    </row>
    <row r="2732" ht="15" customHeight="1" s="14">
      <c r="A2732" s="24" t="n">
        <v>52096</v>
      </c>
      <c r="B2732" s="24" t="inlineStr">
        <is>
          <t>آيوروکا   لوسيون موضعي 0.5 % 120 g - گيلارانکو</t>
        </is>
      </c>
      <c r="C2732" s="25">
        <f>IF(COUNTIF('کدهای پیام‌داروساز'!$A$2:$A$2442,A2732)&gt;0,"بله","خیر")</f>
        <v/>
      </c>
    </row>
    <row r="2733" ht="15" customHeight="1" s="14">
      <c r="A2733" s="24" t="n">
        <v>52097</v>
      </c>
      <c r="B2733" s="24" t="inlineStr">
        <is>
          <t>آرتروميت   محلول تزريقي پرنترال 25 mg/1mL 0.3 mg - اکترو خاورميانه</t>
        </is>
      </c>
      <c r="C2733" s="25">
        <f>IF(COUNTIF('کدهای پیام‌داروساز'!$A$2:$A$2442,A2733)&gt;0,"بله","خیر")</f>
        <v/>
      </c>
    </row>
    <row r="2734" ht="15" customHeight="1" s="14">
      <c r="A2734" s="24" t="n">
        <v>52098</v>
      </c>
      <c r="B2734" s="24" t="inlineStr">
        <is>
          <t>آرتروميت   محلول تزريقي پرنترال 25 mg/1mL 0.4 mg - اکترو خاورميانه</t>
        </is>
      </c>
      <c r="C2734" s="25">
        <f>IF(COUNTIF('کدهای پیام‌داروساز'!$A$2:$A$2442,A2734)&gt;0,"بله","خیر")</f>
        <v/>
      </c>
    </row>
    <row r="2735" ht="15" customHeight="1" s="14">
      <c r="A2735" s="24" t="n">
        <v>52099</v>
      </c>
      <c r="B2735" s="24" t="inlineStr">
        <is>
          <t>آرتروميت   محلول تزريقي پرنترال 25 mg/1mL 0.6 mg - اکترو خاورميانه</t>
        </is>
      </c>
      <c r="C2735" s="25">
        <f>IF(COUNTIF('کدهای پیام‌داروساز'!$A$2:$A$2442,A2735)&gt;0,"بله","خیر")</f>
        <v/>
      </c>
    </row>
    <row r="2736" ht="15" customHeight="1" s="14">
      <c r="A2736" s="24" t="n">
        <v>52100</v>
      </c>
      <c r="B2736" s="24" t="inlineStr">
        <is>
          <t>آرتروميت   محلول تزريقي پرنترال 25 mg/1mL 0.8 mg - اکترو خاورميانه</t>
        </is>
      </c>
      <c r="C2736" s="25">
        <f>IF(COUNTIF('کدهای پیام‌داروساز'!$A$2:$A$2442,A2736)&gt;0,"بله","خیر")</f>
        <v/>
      </c>
    </row>
    <row r="2737" ht="15" customHeight="1" s="14">
      <c r="A2737" s="24" t="n">
        <v>52101</v>
      </c>
      <c r="B2737" s="24" t="inlineStr">
        <is>
          <t>براديکس   قرص خوراکي 7.5 mg - کوبل دارو</t>
        </is>
      </c>
      <c r="C2737" s="25">
        <f>IF(COUNTIF('کدهای پیام‌داروساز'!$A$2:$A$2442,A2737)&gt;0,"بله","خیر")</f>
        <v/>
      </c>
    </row>
    <row r="2738" ht="15" customHeight="1" s="14">
      <c r="A2738" s="24" t="n">
        <v>52102</v>
      </c>
      <c r="B2738" s="24" t="inlineStr">
        <is>
          <t>پتاسيم کلرايد   تزريقي داخل وريدي 0.15 % 500 g - داروسازي ثامن</t>
        </is>
      </c>
      <c r="C2738" s="25">
        <f>IF(COUNTIF('کدهای پیام‌داروساز'!$A$2:$A$2442,A2738)&gt;0,"بله","خیر")</f>
        <v/>
      </c>
    </row>
    <row r="2739" ht="15" customHeight="1" s="14">
      <c r="A2739" s="24" t="n">
        <v>52103</v>
      </c>
      <c r="B2739" s="24" t="inlineStr">
        <is>
          <t>پتاسيم کلرايد در دکستروز   تزريقي داخل وريدي 0.15 % 1000 mL - فرآورده هاي تزريقي و دارويي ايران</t>
        </is>
      </c>
      <c r="C2739" s="25">
        <f>IF(COUNTIF('کدهای پیام‌داروساز'!$A$2:$A$2442,A2739)&gt;0,"بله","خیر")</f>
        <v/>
      </c>
    </row>
    <row r="2740" ht="15" customHeight="1" s="14">
      <c r="A2740" s="24" t="n">
        <v>52105</v>
      </c>
      <c r="B2740" s="24" t="inlineStr">
        <is>
          <t>موليبدينيوم-99/تکنسيوم-99   تزريقي داخل وريدي 1000 mCi  mCi - پارس ايزوتوپ</t>
        </is>
      </c>
      <c r="C2740" s="25">
        <f>IF(COUNTIF('کدهای پیام‌داروساز'!$A$2:$A$2442,A2740)&gt;0,"بله","خیر")</f>
        <v/>
      </c>
    </row>
    <row r="2741" ht="15" customHeight="1" s="14">
      <c r="A2741" s="24" t="n">
        <v>52106</v>
      </c>
      <c r="B2741" s="24" t="inlineStr">
        <is>
          <t>مس هيب واک   پودر براي تهيه محلول تزريقي پرنترال 1 {dose} 0.5 ug - داروسازي مصون دارو</t>
        </is>
      </c>
      <c r="C2741" s="25">
        <f>IF(COUNTIF('کدهای پیام‌داروساز'!$A$2:$A$2442,A2741)&gt;0,"بله","خیر")</f>
        <v/>
      </c>
    </row>
    <row r="2742" ht="15" customHeight="1" s="14">
      <c r="A2742" s="24" t="n">
        <v>52107</v>
      </c>
      <c r="B2742" s="24" t="inlineStr">
        <is>
          <t>واکسن رابي پور   پودر براي تهيه سوسپانسيون تزريقي پرنترال 2.5 [iU] 1 [iU] - تامين آوا سلامت</t>
        </is>
      </c>
      <c r="C2742" s="25">
        <f>IF(COUNTIF('کدهای پیام‌داروساز'!$A$2:$A$2442,A2742)&gt;0,"بله","خیر")</f>
        <v/>
      </c>
    </row>
    <row r="2743" ht="15" customHeight="1" s="14">
      <c r="A2743" s="24" t="n">
        <v>52109</v>
      </c>
      <c r="B2743" s="24" t="inlineStr">
        <is>
          <t>بهدوکائين   اسپري موضعي 10 mg/1{dose} 20 mL - لابراتوار هاي دنياي بهداشت</t>
        </is>
      </c>
      <c r="C2743" s="25">
        <f>IF(COUNTIF('کدهای پیام‌داروساز'!$A$2:$A$2442,A2743)&gt;0,"بله","خیر")</f>
        <v/>
      </c>
    </row>
    <row r="2744" ht="15" customHeight="1" s="14">
      <c r="A2744" s="24" t="n">
        <v>52110</v>
      </c>
      <c r="B2744" s="24" t="inlineStr">
        <is>
          <t>آتازاناوير   کپسول خوراکي 200 mg - ماه داروي حکيم</t>
        </is>
      </c>
      <c r="C2744" s="25">
        <f>IF(COUNTIF('کدهای پیام‌داروساز'!$A$2:$A$2442,A2744)&gt;0,"بله","خیر")</f>
        <v/>
      </c>
    </row>
    <row r="2745" ht="15" customHeight="1" s="14">
      <c r="A2745" s="24" t="n">
        <v>52111</v>
      </c>
      <c r="B2745" s="24" t="inlineStr">
        <is>
          <t>آوامت   قرص خوراکي 1000 mg/2.5 mg - زيست اروند فارمد</t>
        </is>
      </c>
      <c r="C2745" s="25">
        <f>IF(COUNTIF('کدهای پیام‌داروساز'!$A$2:$A$2442,A2745)&gt;0,"بله","خیر")</f>
        <v/>
      </c>
    </row>
    <row r="2746" ht="15" customHeight="1" s="14">
      <c r="A2746" s="24" t="n">
        <v>52112</v>
      </c>
      <c r="B2746" s="24" t="inlineStr">
        <is>
          <t>آوامت   قرص خوراکي 500 mg/2.5 mg - زيست اروند فارمد</t>
        </is>
      </c>
      <c r="C2746" s="25">
        <f>IF(COUNTIF('کدهای پیام‌داروساز'!$A$2:$A$2442,A2746)&gt;0,"بله","خیر")</f>
        <v/>
      </c>
    </row>
    <row r="2747" ht="15" customHeight="1" s="14">
      <c r="A2747" s="24" t="n">
        <v>52113</v>
      </c>
      <c r="B2747" s="24" t="inlineStr">
        <is>
          <t>سديم يدايد(يد-131)   کپسول خوراکي 5 mCi  mCi - پارس ايزوتوپ</t>
        </is>
      </c>
      <c r="C2747" s="25">
        <f>IF(COUNTIF('کدهای پیام‌داروساز'!$A$2:$A$2442,A2747)&gt;0,"بله","خیر")</f>
        <v/>
      </c>
    </row>
    <row r="2748" ht="15" customHeight="1" s="14">
      <c r="A2748" s="24" t="n">
        <v>52114</v>
      </c>
      <c r="B2748" s="24" t="inlineStr">
        <is>
          <t>سديم يدايد(يد-131)   کپسول خوراکي 10 mCi  mCi - پارس ايزوتوپ</t>
        </is>
      </c>
      <c r="C2748" s="25">
        <f>IF(COUNTIF('کدهای پیام‌داروساز'!$A$2:$A$2442,A2748)&gt;0,"بله","خیر")</f>
        <v/>
      </c>
    </row>
    <row r="2749" ht="15" customHeight="1" s="14">
      <c r="A2749" s="24" t="n">
        <v>52115</v>
      </c>
      <c r="B2749" s="24" t="inlineStr">
        <is>
          <t>سديم يدايد(يد-131)   کپسول خوراکي 15 mCi  mCi - پارس ايزوتوپ</t>
        </is>
      </c>
      <c r="C2749" s="25">
        <f>IF(COUNTIF('کدهای پیام‌داروساز'!$A$2:$A$2442,A2749)&gt;0,"بله","خیر")</f>
        <v/>
      </c>
    </row>
    <row r="2750" ht="15" customHeight="1" s="14">
      <c r="A2750" s="24" t="n">
        <v>52116</v>
      </c>
      <c r="B2750" s="24" t="inlineStr">
        <is>
          <t>سديم يدايد(يد-131)   کپسول خوراکي 20 mCi  mCi - پارس ايزوتوپ</t>
        </is>
      </c>
      <c r="C2750" s="25">
        <f>IF(COUNTIF('کدهای پیام‌داروساز'!$A$2:$A$2442,A2750)&gt;0,"بله","خیر")</f>
        <v/>
      </c>
    </row>
    <row r="2751" ht="15" customHeight="1" s="14">
      <c r="A2751" s="24" t="n">
        <v>52117</v>
      </c>
      <c r="B2751" s="24" t="inlineStr">
        <is>
          <t>ترکسوما   محلول تزريقي پرنترال 50 mg/1mL 0.15 mg - نانو فناوران داروئي الوند</t>
        </is>
      </c>
      <c r="C2751" s="25">
        <f>IF(COUNTIF('کدهای پیام‌داروساز'!$A$2:$A$2442,A2751)&gt;0,"بله","خیر")</f>
        <v/>
      </c>
    </row>
    <row r="2752" ht="15" customHeight="1" s="14">
      <c r="A2752" s="24" t="n">
        <v>52118</v>
      </c>
      <c r="B2752" s="24" t="inlineStr">
        <is>
          <t>ترکسوما   محلول تزريقي پرنترال 50 mg/1mL 0.2 mg - نانو فناوران داروئي الوند</t>
        </is>
      </c>
      <c r="C2752" s="25">
        <f>IF(COUNTIF('کدهای پیام‌داروساز'!$A$2:$A$2442,A2752)&gt;0,"بله","خیر")</f>
        <v/>
      </c>
    </row>
    <row r="2753" ht="15" customHeight="1" s="14">
      <c r="A2753" s="24" t="n">
        <v>52119</v>
      </c>
      <c r="B2753" s="24" t="inlineStr">
        <is>
          <t>ترکسوما   محلول تزريقي پرنترال 50 mg/1mL 0.3 mg - نانو فناوران داروئي الوند</t>
        </is>
      </c>
      <c r="C2753" s="25">
        <f>IF(COUNTIF('کدهای پیام‌داروساز'!$A$2:$A$2442,A2753)&gt;0,"بله","خیر")</f>
        <v/>
      </c>
    </row>
    <row r="2754" ht="15" customHeight="1" s="14">
      <c r="A2754" s="24" t="n">
        <v>52120</v>
      </c>
      <c r="B2754" s="24" t="inlineStr">
        <is>
          <t>ترکسوما   محلول تزريقي پرنترال 50 mg/1mL 0.4 mg - نانو فناوران داروئي الوند</t>
        </is>
      </c>
      <c r="C2754" s="25">
        <f>IF(COUNTIF('کدهای پیام‌داروساز'!$A$2:$A$2442,A2754)&gt;0,"بله","خیر")</f>
        <v/>
      </c>
    </row>
    <row r="2755" ht="15" customHeight="1" s="14">
      <c r="A2755" s="24" t="n">
        <v>52121</v>
      </c>
      <c r="B2755" s="24" t="inlineStr">
        <is>
          <t>سديم يدايد(يد-131)   کپسول خوراکي 25 mCi  mCi - پارس ايزوتوپ</t>
        </is>
      </c>
      <c r="C2755" s="25">
        <f>IF(COUNTIF('کدهای پیام‌داروساز'!$A$2:$A$2442,A2755)&gt;0,"بله","خیر")</f>
        <v/>
      </c>
    </row>
    <row r="2756" ht="15" customHeight="1" s="14">
      <c r="A2756" s="24" t="n">
        <v>52122</v>
      </c>
      <c r="B2756" s="24" t="inlineStr">
        <is>
          <t>ترکسوما   محلول تزريقي پرنترال 50 mg/1mL 0.5 mg - نانو فناوران داروئي الوند</t>
        </is>
      </c>
      <c r="C2756" s="25">
        <f>IF(COUNTIF('کدهای پیام‌داروساز'!$A$2:$A$2442,A2756)&gt;0,"بله","خیر")</f>
        <v/>
      </c>
    </row>
    <row r="2757" ht="15" customHeight="1" s="14">
      <c r="A2757" s="24" t="n">
        <v>52123</v>
      </c>
      <c r="B2757" s="24" t="inlineStr">
        <is>
          <t>ترگستا   محلول تزريقي پرنترال 50 mg/1mL 0.6 mg - نانو دارو پژوهان پرديس</t>
        </is>
      </c>
      <c r="C2757" s="25">
        <f>IF(COUNTIF('کدهای پیام‌داروساز'!$A$2:$A$2442,A2757)&gt;0,"بله","خیر")</f>
        <v/>
      </c>
    </row>
    <row r="2758" ht="15" customHeight="1" s="14">
      <c r="A2758" s="24" t="n">
        <v>52124</v>
      </c>
      <c r="B2758" s="24" t="inlineStr">
        <is>
          <t>سديم يدايد(يد-131)   کپسول خوراکي 50 mCi  mCi - پارس ايزوتوپ</t>
        </is>
      </c>
      <c r="C2758" s="25">
        <f>IF(COUNTIF('کدهای پیام‌داروساز'!$A$2:$A$2442,A2758)&gt;0,"بله","خیر")</f>
        <v/>
      </c>
    </row>
    <row r="2759" ht="15" customHeight="1" s="14">
      <c r="A2759" s="24" t="n">
        <v>52125</v>
      </c>
      <c r="B2759" s="24" t="inlineStr">
        <is>
          <t>سديم يدايد(يد-131)   کپسول خوراکي 100 mCi  mCi - پارس ايزوتوپ</t>
        </is>
      </c>
      <c r="C2759" s="25">
        <f>IF(COUNTIF('کدهای پیام‌داروساز'!$A$2:$A$2442,A2759)&gt;0,"بله","خیر")</f>
        <v/>
      </c>
    </row>
    <row r="2760" ht="15" customHeight="1" s="14">
      <c r="A2760" s="24" t="n">
        <v>52126</v>
      </c>
      <c r="B2760" s="24" t="inlineStr">
        <is>
          <t>سديم يدايد(يد-131)   کپسول خوراکي 150 mCi  mCi - پارس ايزوتوپ</t>
        </is>
      </c>
      <c r="C2760" s="25">
        <f>IF(COUNTIF('کدهای پیام‌داروساز'!$A$2:$A$2442,A2760)&gt;0,"بله","خیر")</f>
        <v/>
      </c>
    </row>
    <row r="2761" ht="15" customHeight="1" s="14">
      <c r="A2761" s="24" t="n">
        <v>52127</v>
      </c>
      <c r="B2761" s="24" t="inlineStr">
        <is>
          <t>سديم يدايد(يد-131)   کپسول خوراکي 200 mCi  mCi - پارس ايزوتوپ</t>
        </is>
      </c>
      <c r="C2761" s="25">
        <f>IF(COUNTIF('کدهای پیام‌داروساز'!$A$2:$A$2442,A2761)&gt;0,"بله","خیر")</f>
        <v/>
      </c>
    </row>
    <row r="2762" ht="15" customHeight="1" s="14">
      <c r="A2762" s="24" t="n">
        <v>52128</v>
      </c>
      <c r="B2762" s="24" t="inlineStr">
        <is>
          <t>موليبدينيوم-99/تکنسيوم-99   تزريقي داخل وريدي 600 mCi  mCi - پارس ايزوتوپ</t>
        </is>
      </c>
      <c r="C2762" s="25">
        <f>IF(COUNTIF('کدهای پیام‌داروساز'!$A$2:$A$2442,A2762)&gt;0,"بله","خیر")</f>
        <v/>
      </c>
    </row>
    <row r="2763" ht="15" customHeight="1" s="14">
      <c r="A2763" s="24" t="n">
        <v>52129</v>
      </c>
      <c r="B2763" s="24" t="inlineStr">
        <is>
          <t>موليبدينيوم-99/تکنسيوم-99   تزريقي داخل وريدي 1200 mCi  mCi - پارس ايزوتوپ</t>
        </is>
      </c>
      <c r="C2763" s="25">
        <f>IF(COUNTIF('کدهای پیام‌داروساز'!$A$2:$A$2442,A2763)&gt;0,"بله","خیر")</f>
        <v/>
      </c>
    </row>
    <row r="2764" ht="15" customHeight="1" s="14">
      <c r="A2764" s="24" t="n">
        <v>52130</v>
      </c>
      <c r="B2764" s="24" t="inlineStr">
        <is>
          <t>موليبدينيوم-99/تکنسيوم-99   تزريقي داخل وريدي 1600 mCi  mCi - پارس ايزوتوپ</t>
        </is>
      </c>
      <c r="C2764" s="25">
        <f>IF(COUNTIF('کدهای پیام‌داروساز'!$A$2:$A$2442,A2764)&gt;0,"بله","خیر")</f>
        <v/>
      </c>
    </row>
    <row r="2765" ht="15" customHeight="1" s="14">
      <c r="A2765" s="24" t="n">
        <v>52132</v>
      </c>
      <c r="B2765" s="24" t="inlineStr">
        <is>
          <t>موليبدينيوم-99/تکنسيوم-99   تزريقي داخل وريدي 2000 mCi  mCi - پارس ايزوتوپ</t>
        </is>
      </c>
      <c r="C2765" s="25">
        <f>IF(COUNTIF('کدهای پیام‌داروساز'!$A$2:$A$2442,A2765)&gt;0,"بله","خیر")</f>
        <v/>
      </c>
    </row>
    <row r="2766" ht="15" customHeight="1" s="14">
      <c r="A2766" s="24" t="n">
        <v>52134</v>
      </c>
      <c r="B2766" s="24" t="inlineStr">
        <is>
          <t>ترودات   پودر براي تهيه محلول تزريقي داخل وريدي 33 mCi  ug - پارس ايزوتوپ</t>
        </is>
      </c>
      <c r="C2766" s="25">
        <f>IF(COUNTIF('کدهای پیام‌داروساز'!$A$2:$A$2442,A2766)&gt;0,"بله","خیر")</f>
        <v/>
      </c>
    </row>
    <row r="2767" ht="15" customHeight="1" s="14">
      <c r="A2767" s="24" t="n">
        <v>52136</v>
      </c>
      <c r="B2767" s="24" t="inlineStr">
        <is>
          <t>آوه تادين   قرص خوراکي 5 mg - داروسازي آوه سينا</t>
        </is>
      </c>
      <c r="C2767" s="25">
        <f>IF(COUNTIF('کدهای پیام‌داروساز'!$A$2:$A$2442,A2767)&gt;0,"بله","خیر")</f>
        <v/>
      </c>
    </row>
    <row r="2768" ht="15" customHeight="1" s="14">
      <c r="A2768" s="24" t="n">
        <v>52137</v>
      </c>
      <c r="B2768" s="24" t="inlineStr">
        <is>
          <t>امابت   قرص خوراکي 25 mg - داروسازي ابوريحان</t>
        </is>
      </c>
      <c r="C2768" s="25">
        <f>IF(COUNTIF('کدهای پیام‌داروساز'!$A$2:$A$2442,A2768)&gt;0,"بله","خیر")</f>
        <v/>
      </c>
    </row>
    <row r="2769" ht="15" customHeight="1" s="14">
      <c r="A2769" s="24" t="n">
        <v>52138</v>
      </c>
      <c r="B2769" s="24" t="inlineStr">
        <is>
          <t xml:space="preserve"> قرص پگليانس 10 ميلي گرم(امپاگليفلوزين)</t>
        </is>
      </c>
      <c r="C2769" s="25">
        <f>IF(COUNTIF('کدهای پیام‌داروساز'!$A$2:$A$2442,A2769)&gt;0,"بله","خیر")</f>
        <v/>
      </c>
    </row>
    <row r="2770" ht="15" customHeight="1" s="14">
      <c r="A2770" s="24" t="n">
        <v>52139</v>
      </c>
      <c r="B2770" s="24" t="inlineStr">
        <is>
          <t>واکسن جذب شده ديفتري و کزاز براي خردسالان   تزريقي پرنترال 14 {dose} 7 {dose} - موسسه تحقيقات واکسن وسرم سازي رازي</t>
        </is>
      </c>
      <c r="C2770" s="25">
        <f>IF(COUNTIF('کدهای پیام‌داروساز'!$A$2:$A$2442,A2770)&gt;0,"بله","خیر")</f>
        <v/>
      </c>
    </row>
    <row r="2771" ht="15" customHeight="1" s="14">
      <c r="A2771" s="24" t="n">
        <v>52140</v>
      </c>
      <c r="B2771" s="24" t="inlineStr">
        <is>
          <t>بيکاورا 1/5%   محلول داخل صفاقي 11.57 g/0.5145 g/0.2033 g/33 g/5.88 g/1000mL 2 L - مد سينا سرم</t>
        </is>
      </c>
      <c r="C2771" s="25">
        <f>IF(COUNTIF('کدهای پیام‌داروساز'!$A$2:$A$2442,A2771)&gt;0,"بله","خیر")</f>
        <v/>
      </c>
    </row>
    <row r="2772" ht="15" customHeight="1" s="14">
      <c r="A2772" s="24" t="n">
        <v>52141</v>
      </c>
      <c r="B2772" s="24" t="inlineStr">
        <is>
          <t>بيکاورا 4/25%   محلول داخل صفاقي 11.57 g/0.5145 g/0.2033 g/93.5 g/5.88 g/1000mL 2 L - مد سينا سرم</t>
        </is>
      </c>
      <c r="C2772" s="25">
        <f>IF(COUNTIF('کدهای پیام‌داروساز'!$A$2:$A$2442,A2772)&gt;0,"بله","خیر")</f>
        <v/>
      </c>
    </row>
    <row r="2773" ht="15" customHeight="1" s="14">
      <c r="A2773" s="24" t="n">
        <v>52142</v>
      </c>
      <c r="B2773" s="24" t="inlineStr">
        <is>
          <t>بيکاورا 2/3%   محلول داخل صفاقي 11.57 g/0.5145 g/0.2033 g/50 g/5.88 g/1000mL 2 L - مد سينا سرم</t>
        </is>
      </c>
      <c r="C2773" s="25">
        <f>IF(COUNTIF('کدهای پیام‌داروساز'!$A$2:$A$2442,A2773)&gt;0,"بله","خیر")</f>
        <v/>
      </c>
    </row>
    <row r="2774" ht="15" customHeight="1" s="14">
      <c r="A2774" s="24" t="n">
        <v>52143</v>
      </c>
      <c r="B2774" s="24" t="inlineStr">
        <is>
          <t>موليبدينيوم-99/تکنسيوم-99   تزريقي داخل وريدي 800 mCi  mCi - پارس ايزوتوپ</t>
        </is>
      </c>
      <c r="C2774" s="25">
        <f>IF(COUNTIF('کدهای پیام‌داروساز'!$A$2:$A$2442,A2774)&gt;0,"بله","خیر")</f>
        <v/>
      </c>
    </row>
    <row r="2775" ht="15" customHeight="1" s="14">
      <c r="A2775" s="24" t="n">
        <v>52145</v>
      </c>
      <c r="B2775" s="24" t="inlineStr">
        <is>
          <t>پي پرازين   شربت خوراکي 750 mg/5 mL 60 mL - فارماشيمي</t>
        </is>
      </c>
      <c r="C2775" s="25">
        <f>IF(COUNTIF('کدهای پیام‌داروساز'!$A$2:$A$2442,A2775)&gt;0,"بله","خیر")</f>
        <v/>
      </c>
    </row>
    <row r="2776" ht="15" customHeight="1" s="14">
      <c r="A2776" s="24" t="n">
        <v>52146</v>
      </c>
      <c r="B2776" s="24" t="inlineStr">
        <is>
          <t>پنتاسا   انما مقعدي 1 g/100mL  mL - درمان ياب آنا</t>
        </is>
      </c>
      <c r="C2776" s="25">
        <f>IF(COUNTIF('کدهای پیام‌داروساز'!$A$2:$A$2442,A2776)&gt;0,"بله","خیر")</f>
        <v/>
      </c>
    </row>
    <row r="2777" ht="15" customHeight="1" s="14">
      <c r="A2777" s="24" t="n">
        <v>52147</v>
      </c>
      <c r="B2777" s="24" t="inlineStr">
        <is>
          <t>مکولزين   آئروسل، فوم مقعدي 1 g/1{Puff} 80 {Puff} - سينا آرا راد آفرين</t>
        </is>
      </c>
      <c r="C2777" s="25">
        <f>IF(COUNTIF('کدهای پیام‌داروساز'!$A$2:$A$2442,A2777)&gt;0,"بله","خیر")</f>
        <v/>
      </c>
    </row>
    <row r="2778" ht="15" customHeight="1" s="14">
      <c r="A2778" s="24" t="n">
        <v>52148</v>
      </c>
      <c r="B2778" s="24" t="inlineStr">
        <is>
          <t>آلرگوتيک   شربت خوراکي 2.5 mg/5 mL 120 mL - کارخانجات دارو پخش</t>
        </is>
      </c>
      <c r="C2778" s="25">
        <f>IF(COUNTIF('کدهای پیام‌داروساز'!$A$2:$A$2442,A2778)&gt;0,"بله","خیر")</f>
        <v/>
      </c>
    </row>
    <row r="2779" ht="15" customHeight="1" s="14">
      <c r="A2779" s="24" t="n">
        <v>52149</v>
      </c>
      <c r="B2779" s="24" t="inlineStr">
        <is>
          <t>آپو-فلوتيکازون   اسپري از راه بيني 50 ug/1{Puff} 120 {Puff} - دارو سازي اسوه</t>
        </is>
      </c>
      <c r="C2779" s="25">
        <f>IF(COUNTIF('کدهای پیام‌داروساز'!$A$2:$A$2442,A2779)&gt;0,"بله","خیر")</f>
        <v/>
      </c>
    </row>
    <row r="2780" ht="15" customHeight="1" s="14">
      <c r="A2780" s="24" t="n">
        <v>52150</v>
      </c>
      <c r="B2780" s="24" t="inlineStr">
        <is>
          <t>لاکتولوز   شربت خوراکي 10 g/15mL 500 g - آرمان ستد</t>
        </is>
      </c>
      <c r="C2780" s="25">
        <f>IF(COUNTIF('کدهای پیام‌داروساز'!$A$2:$A$2442,A2780)&gt;0,"بله","خیر")</f>
        <v/>
      </c>
    </row>
    <row r="2781" ht="15" customHeight="1" s="14">
      <c r="A2781" s="24" t="n">
        <v>52151</v>
      </c>
      <c r="B2781" s="24" t="inlineStr">
        <is>
          <t>سيمبيکورت   پودر با دوز اندازه گيري شده استنشاقي 80 ug/4.5 ug/1{dose} 60 {dose} - آسترازنکا پارس</t>
        </is>
      </c>
      <c r="C2781" s="25">
        <f>IF(COUNTIF('کدهای پیام‌داروساز'!$A$2:$A$2442,A2781)&gt;0,"بله","خیر")</f>
        <v/>
      </c>
    </row>
    <row r="2782" ht="15" customHeight="1" s="14">
      <c r="A2782" s="24" t="n">
        <v>52153</v>
      </c>
      <c r="B2782" s="24" t="inlineStr">
        <is>
          <t>ام اي تي-تي اي   قرص خوراکي 200 mg - فرفيون دارو</t>
        </is>
      </c>
      <c r="C2782" s="25">
        <f>IF(COUNTIF('کدهای پیام‌داروساز'!$A$2:$A$2442,A2782)&gt;0,"بله","خیر")</f>
        <v/>
      </c>
    </row>
    <row r="2783" ht="15" customHeight="1" s="14">
      <c r="A2783" s="24" t="n">
        <v>52154</v>
      </c>
      <c r="B2783" s="24" t="inlineStr">
        <is>
          <t>آئروکورت   آئروسل، اسپري استنشاقي 100 ug/50 ug/1{dose} 200 {dose} - بهستان دارو</t>
        </is>
      </c>
      <c r="C2783" s="25">
        <f>IF(COUNTIF('کدهای پیام‌داروساز'!$A$2:$A$2442,A2783)&gt;0,"بله","خیر")</f>
        <v/>
      </c>
    </row>
    <row r="2784" ht="15" customHeight="1" s="14">
      <c r="A2784" s="24" t="n">
        <v>52157</v>
      </c>
      <c r="B2784" s="24" t="inlineStr">
        <is>
          <t>آندروژل   ژل موضعي 1 % 5 g - دارويي بهين پاد</t>
        </is>
      </c>
      <c r="C2784" s="25">
        <f>IF(COUNTIF('کدهای پیام‌داروساز'!$A$2:$A$2442,A2784)&gt;0,"بله","خیر")</f>
        <v/>
      </c>
    </row>
    <row r="2785" ht="15" customHeight="1" s="14">
      <c r="A2785" s="24" t="n">
        <v>52158</v>
      </c>
      <c r="B2785" s="24" t="inlineStr">
        <is>
          <t>ايميوناين   پودر لئوفيليزه براي تهيه محلول تزريقي پرنترال 1200 [iU]  [iU] - کار و انديشه</t>
        </is>
      </c>
      <c r="C2785" s="25">
        <f>IF(COUNTIF('کدهای پیام‌داروساز'!$A$2:$A$2442,A2785)&gt;0,"بله","خیر")</f>
        <v/>
      </c>
    </row>
    <row r="2786" ht="15" customHeight="1" s="14">
      <c r="A2786" s="24" t="n">
        <v>52159</v>
      </c>
      <c r="B2786" s="24" t="inlineStr">
        <is>
          <t>آکوفين   قرص خوراکي 300 mg/15 mg/15 mg - لابراتوارهاي شهردارو</t>
        </is>
      </c>
      <c r="C2786" s="25">
        <f>IF(COUNTIF('کدهای پیام‌داروساز'!$A$2:$A$2442,A2786)&gt;0,"بله","خیر")</f>
        <v/>
      </c>
    </row>
    <row r="2787" ht="15" customHeight="1" s="14">
      <c r="A2787" s="24" t="n">
        <v>52160</v>
      </c>
      <c r="B2787" s="24" t="inlineStr">
        <is>
          <t>ال-کارنيتين   محلول خوراکي 100 mg/1mL 60 mL - لابراتوارهاي شهردارو</t>
        </is>
      </c>
      <c r="C2787" s="25">
        <f>IF(COUNTIF('کدهای پیام‌داروساز'!$A$2:$A$2442,A2787)&gt;0,"بله","خیر")</f>
        <v/>
      </c>
    </row>
    <row r="2788" ht="15" customHeight="1" s="14">
      <c r="A2788" s="24" t="n">
        <v>52162</v>
      </c>
      <c r="B2788" s="24" t="inlineStr">
        <is>
          <t>باگ آف   اسپري موضعي 20 % 100 mL - تامين آوا سلامت</t>
        </is>
      </c>
      <c r="C2788" s="25">
        <f>IF(COUNTIF('کدهای پیام‌داروساز'!$A$2:$A$2442,A2788)&gt;0,"بله","خیر")</f>
        <v/>
      </c>
    </row>
    <row r="2789" ht="15" customHeight="1" s="14">
      <c r="A2789" s="24" t="n">
        <v>52163</v>
      </c>
      <c r="B2789" s="24" t="inlineStr">
        <is>
          <t>پريفتين   قرص خوراکي 150 mg - بازرگاني سها کيش</t>
        </is>
      </c>
      <c r="C2789" s="25">
        <f>IF(COUNTIF('کدهای پیام‌داروساز'!$A$2:$A$2442,A2789)&gt;0,"بله","خیر")</f>
        <v/>
      </c>
    </row>
    <row r="2790" ht="15" customHeight="1" s="14">
      <c r="A2790" s="24" t="n">
        <v>52165</v>
      </c>
      <c r="B2790" s="24" t="inlineStr">
        <is>
          <t>اپونول   پودر لئوفيليزه براي تهيه محلول تزريقي پرنترال 0.5 mg  mg - نانو فناوران داروئي الوند</t>
        </is>
      </c>
      <c r="C2790" s="25">
        <f>IF(COUNTIF('کدهای پیام‌داروساز'!$A$2:$A$2442,A2790)&gt;0,"بله","خیر")</f>
        <v/>
      </c>
    </row>
    <row r="2791" ht="15" customHeight="1" s="14">
      <c r="A2791" s="24" t="n">
        <v>52166</v>
      </c>
      <c r="B2791" s="24" t="inlineStr">
        <is>
          <t>اپونول   پودر لئوفيليزه براي تهيه محلول تزريقي پرنترال 1.5 mg  mg - نانو فناوران داروئي الوند</t>
        </is>
      </c>
      <c r="C2791" s="25">
        <f>IF(COUNTIF('کدهای پیام‌داروساز'!$A$2:$A$2442,A2791)&gt;0,"بله","خیر")</f>
        <v/>
      </c>
    </row>
    <row r="2792" ht="15" customHeight="1" s="14">
      <c r="A2792" s="24" t="n">
        <v>52167</v>
      </c>
      <c r="B2792" s="24" t="inlineStr">
        <is>
          <t>داپافار   قرص خوراکي 10 mg - الحاوي</t>
        </is>
      </c>
      <c r="C2792" s="25">
        <f>IF(COUNTIF('کدهای پیام‌داروساز'!$A$2:$A$2442,A2792)&gt;0,"بله","خیر")</f>
        <v/>
      </c>
    </row>
    <row r="2793" ht="15" customHeight="1" s="14">
      <c r="A2793" s="24" t="n">
        <v>52169</v>
      </c>
      <c r="B2793" s="24" t="inlineStr">
        <is>
          <t>اينکرلس   محلول تزريقي پرنترال 10 mg/1mL 4 mg - بازرگاني سها کيش</t>
        </is>
      </c>
      <c r="C2793" s="25">
        <f>IF(COUNTIF('کدهای پیام‌داروساز'!$A$2:$A$2442,A2793)&gt;0,"بله","خیر")</f>
        <v/>
      </c>
    </row>
    <row r="2794" ht="15" customHeight="1" s="14">
      <c r="A2794" s="24" t="n">
        <v>52170</v>
      </c>
      <c r="B2794" s="24" t="inlineStr">
        <is>
          <t>زلدوکس   کپسول خوراکي 80 mg - بازرگاني سها کيش</t>
        </is>
      </c>
      <c r="C2794" s="25">
        <f>IF(COUNTIF('کدهای پیام‌داروساز'!$A$2:$A$2442,A2794)&gt;0,"بله","خیر")</f>
        <v/>
      </c>
    </row>
    <row r="2795" ht="15" customHeight="1" s="14">
      <c r="A2795" s="24" t="n">
        <v>52171</v>
      </c>
      <c r="B2795" s="24" t="inlineStr">
        <is>
          <t>روتاتک   محلول خوراکي 1 {dose} 1 mL - بهستان دارو</t>
        </is>
      </c>
      <c r="C2795" s="25">
        <f>IF(COUNTIF('کدهای پیام‌داروساز'!$A$2:$A$2442,A2795)&gt;0,"بله","خیر")</f>
        <v/>
      </c>
    </row>
    <row r="2796" ht="15" customHeight="1" s="14">
      <c r="A2796" s="24" t="n">
        <v>52172</v>
      </c>
      <c r="B2796" s="24" t="inlineStr">
        <is>
          <t>آکرووس   محلول غليظ تزريقي پرنترال 30 mg/1mL 10 mg - بازرگاني سها کيش</t>
        </is>
      </c>
      <c r="C2796" s="25">
        <f>IF(COUNTIF('کدهای پیام‌داروساز'!$A$2:$A$2442,A2796)&gt;0,"بله","خیر")</f>
        <v/>
      </c>
    </row>
    <row r="2797" ht="15" customHeight="1" s="14">
      <c r="A2797" s="24" t="n">
        <v>52173</v>
      </c>
      <c r="B2797" s="24" t="inlineStr">
        <is>
          <t>امپاتوس-پلاس   قرص خوراکي 5 mg/500 mg - پارس دارو</t>
        </is>
      </c>
      <c r="C2797" s="25">
        <f>IF(COUNTIF('کدهای پیام‌داروساز'!$A$2:$A$2442,A2797)&gt;0,"بله","خیر")</f>
        <v/>
      </c>
    </row>
    <row r="2798" ht="15" customHeight="1" s="14">
      <c r="A2798" s="24" t="n">
        <v>52174</v>
      </c>
      <c r="B2798" s="24" t="inlineStr">
        <is>
          <t>امپاتوس-پلاس   قرص خوراکي 5 mg/1000 mg - پارس دارو</t>
        </is>
      </c>
      <c r="C2798" s="25">
        <f>IF(COUNTIF('کدهای پیام‌داروساز'!$A$2:$A$2442,A2798)&gt;0,"بله","خیر")</f>
        <v/>
      </c>
    </row>
    <row r="2799" ht="15" customHeight="1" s="14">
      <c r="A2799" s="24" t="n">
        <v>52176</v>
      </c>
      <c r="B2799" s="24" t="inlineStr">
        <is>
          <t>امپاتوس-پلاس   قرص خوراکي 12.5 mg/1000 mg - پارس دارو</t>
        </is>
      </c>
      <c r="C2799" s="25">
        <f>IF(COUNTIF('کدهای پیام‌داروساز'!$A$2:$A$2442,A2799)&gt;0,"بله","خیر")</f>
        <v/>
      </c>
    </row>
    <row r="2800" ht="15" customHeight="1" s="14">
      <c r="A2800" s="24" t="n">
        <v>52177</v>
      </c>
      <c r="B2800" s="24" t="inlineStr">
        <is>
          <t>آرو-لاکوزاميد   قرص خوراکي 100 mg - دارو درمان آرنگ</t>
        </is>
      </c>
      <c r="C2800" s="25">
        <f>IF(COUNTIF('کدهای پیام‌داروساز'!$A$2:$A$2442,A2800)&gt;0,"بله","خیر")</f>
        <v/>
      </c>
    </row>
    <row r="2801" ht="15" customHeight="1" s="14">
      <c r="A2801" s="24" t="n">
        <v>52178</v>
      </c>
      <c r="B2801" s="24" t="inlineStr">
        <is>
          <t>آرو-لاکوزاميد   قرص خوراکي 50 mg - دارو درمان آرنگ</t>
        </is>
      </c>
      <c r="C2801" s="25">
        <f>IF(COUNTIF('کدهای پیام‌داروساز'!$A$2:$A$2442,A2801)&gt;0,"بله","خیر")</f>
        <v/>
      </c>
    </row>
    <row r="2802" ht="15" customHeight="1" s="14">
      <c r="A2802" s="24" t="n">
        <v>52179</v>
      </c>
      <c r="B2802" s="24" t="inlineStr">
        <is>
          <t>اپيلاميد   قرص خوراکي 150 mg - تدبير کالاي جم</t>
        </is>
      </c>
      <c r="C2802" s="25">
        <f>IF(COUNTIF('کدهای پیام‌داروساز'!$A$2:$A$2442,A2802)&gt;0,"بله","خیر")</f>
        <v/>
      </c>
    </row>
    <row r="2803" ht="15" customHeight="1" s="14">
      <c r="A2803" s="24" t="n">
        <v>52181</v>
      </c>
      <c r="B2803" s="24" t="inlineStr">
        <is>
          <t>پريسماسول 4   محلول پرنترال 5000 L - کار و انديشه</t>
        </is>
      </c>
      <c r="C2803" s="25">
        <f>IF(COUNTIF('کدهای پیام‌داروساز'!$A$2:$A$2442,A2803)&gt;0,"بله","خیر")</f>
        <v/>
      </c>
    </row>
    <row r="2804" ht="15" customHeight="1" s="14">
      <c r="A2804" s="24" t="n">
        <v>52182</v>
      </c>
      <c r="B2804" s="24" t="inlineStr">
        <is>
          <t>هموسول بي صفر   محلول پرنترال 5000 L - کار و انديشه</t>
        </is>
      </c>
      <c r="C2804" s="25">
        <f>IF(COUNTIF('کدهای پیام‌داروساز'!$A$2:$A$2442,A2804)&gt;0,"بله","خیر")</f>
        <v/>
      </c>
    </row>
    <row r="2805" ht="15" customHeight="1" s="14">
      <c r="A2805" s="24" t="n">
        <v>52183</v>
      </c>
      <c r="B2805" s="24" t="inlineStr">
        <is>
          <t>فوکسيليوم   محلول پرنترال 5000 L - کار و انديشه</t>
        </is>
      </c>
      <c r="C2805" s="25">
        <f>IF(COUNTIF('کدهای پیام‌داروساز'!$A$2:$A$2442,A2805)&gt;0,"بله","خیر")</f>
        <v/>
      </c>
    </row>
    <row r="2806" ht="15" customHeight="1" s="14">
      <c r="A2806" s="24" t="n">
        <v>52184</v>
      </c>
      <c r="B2806" s="24" t="inlineStr">
        <is>
          <t>پاروکستين   قرص خوراکي 20 mg - رشد و دارو</t>
        </is>
      </c>
      <c r="C2806" s="25">
        <f>IF(COUNTIF('کدهای پیام‌داروساز'!$A$2:$A$2442,A2806)&gt;0,"بله","خیر")</f>
        <v/>
      </c>
    </row>
    <row r="2807" ht="15" customHeight="1" s="14">
      <c r="A2807" s="24" t="n">
        <v>52185</v>
      </c>
      <c r="B2807" s="24" t="inlineStr">
        <is>
          <t>پوليتوس   شربت خوراکي 10 mg/100 mg/5 mL 60 mL - داروسازي توليد دارو</t>
        </is>
      </c>
      <c r="C2807" s="25">
        <f>IF(COUNTIF('کدهای پیام‌داروساز'!$A$2:$A$2442,A2807)&gt;0,"بله","خیر")</f>
        <v/>
      </c>
    </row>
    <row r="2808" ht="15" customHeight="1" s="14">
      <c r="A2808" s="24" t="n">
        <v>52186</v>
      </c>
      <c r="B2808" s="24" t="inlineStr">
        <is>
          <t>تنوکلاکس   قرص خوراکي 100 mg - نانو فناوران داروئي الوند</t>
        </is>
      </c>
      <c r="C2808" s="25">
        <f>IF(COUNTIF('کدهای پیام‌داروساز'!$A$2:$A$2442,A2808)&gt;0,"بله","خیر")</f>
        <v/>
      </c>
    </row>
    <row r="2809" ht="15" customHeight="1" s="14">
      <c r="A2809" s="24" t="n">
        <v>52188</v>
      </c>
      <c r="B2809" s="24" t="inlineStr">
        <is>
          <t>اس امپرازول   گرانول انتريک کوتد خوراکي 5 mg  g - پور سينا</t>
        </is>
      </c>
      <c r="C2809" s="25">
        <f>IF(COUNTIF('کدهای پیام‌داروساز'!$A$2:$A$2442,A2809)&gt;0,"بله","خیر")</f>
        <v/>
      </c>
    </row>
    <row r="2810" ht="15" customHeight="1" s="14">
      <c r="A2810" s="24" t="n">
        <v>52189</v>
      </c>
      <c r="B2810" s="24" t="inlineStr">
        <is>
          <t>فاستر   آئروسل با دوز اندازه گيري شده استنشاقي 100 ug/6 ug/1{Puff} 120 {Puff} - درمان ياب دارو</t>
        </is>
      </c>
      <c r="C2810" s="25">
        <f>IF(COUNTIF('کدهای پیام‌داروساز'!$A$2:$A$2442,A2810)&gt;0,"بله","خیر")</f>
        <v/>
      </c>
    </row>
    <row r="2811" ht="15" customHeight="1" s="14">
      <c r="A2811" s="24" t="n">
        <v>52190</v>
      </c>
      <c r="B2811" s="24" t="inlineStr">
        <is>
          <t>کيسه خون دوتايي   محلول پرنترال 63 mL - صنايع پزشکي فارمد</t>
        </is>
      </c>
      <c r="C2811" s="25">
        <f>IF(COUNTIF('کدهای پیام‌داروساز'!$A$2:$A$2442,A2811)&gt;0,"بله","خیر")</f>
        <v/>
      </c>
    </row>
    <row r="2812" ht="15" customHeight="1" s="14">
      <c r="A2812" s="24" t="n">
        <v>52191</v>
      </c>
      <c r="B2812" s="24" t="inlineStr">
        <is>
          <t>آپو-ريسپريدون   محلول خوراکي 1 mg/1mL 30 mL - رستا ايمن دارو</t>
        </is>
      </c>
      <c r="C2812" s="25">
        <f>IF(COUNTIF('کدهای پیام‌داروساز'!$A$2:$A$2442,A2812)&gt;0,"بله","خیر")</f>
        <v/>
      </c>
    </row>
    <row r="2813" ht="15" customHeight="1" s="14">
      <c r="A2813" s="24" t="n">
        <v>52192</v>
      </c>
      <c r="B2813" s="24" t="inlineStr">
        <is>
          <t>فاستر   آئروسل با دوز اندازه گيري شده استنشاقي 200 ug/6 ug/1{Puff} 120 {Puff} - درمان ياب دارو</t>
        </is>
      </c>
      <c r="C2813" s="25">
        <f>IF(COUNTIF('کدهای پیام‌داروساز'!$A$2:$A$2442,A2813)&gt;0,"بله","خیر")</f>
        <v/>
      </c>
    </row>
    <row r="2814" ht="15" customHeight="1" s="14">
      <c r="A2814" s="24" t="n">
        <v>52194</v>
      </c>
      <c r="B2814" s="24" t="inlineStr">
        <is>
          <t>آي وي-گلوبولين اس ان   تزريقي داخل وريدي 50 mg/1mL 10 mg - اهران تجارت</t>
        </is>
      </c>
      <c r="C2814" s="25">
        <f>IF(COUNTIF('کدهای پیام‌داروساز'!$A$2:$A$2442,A2814)&gt;0,"بله","خیر")</f>
        <v/>
      </c>
    </row>
    <row r="2815" ht="15" customHeight="1" s="14">
      <c r="A2815" s="24" t="n">
        <v>52195</v>
      </c>
      <c r="B2815" s="24" t="inlineStr">
        <is>
          <t>فورتيدکس   قرص خوراکي 40 mg - زيست اروند فارمد</t>
        </is>
      </c>
      <c r="C2815" s="25">
        <f>IF(COUNTIF('کدهای پیام‌داروساز'!$A$2:$A$2442,A2815)&gt;0,"بله","خیر")</f>
        <v/>
      </c>
    </row>
    <row r="2816" ht="15" customHeight="1" s="14">
      <c r="A2816" s="24" t="n">
        <v>52196</v>
      </c>
      <c r="B2816" s="24" t="inlineStr">
        <is>
          <t>استامينوفن   شياف مقعدي 75 mg - داروسازي ابوريحان</t>
        </is>
      </c>
      <c r="C2816" s="25">
        <f>IF(COUNTIF('کدهای پیام‌داروساز'!$A$2:$A$2442,A2816)&gt;0,"بله","خیر")</f>
        <v/>
      </c>
    </row>
    <row r="2817" ht="15" customHeight="1" s="14">
      <c r="A2817" s="24" t="n">
        <v>52197</v>
      </c>
      <c r="B2817" s="24" t="inlineStr">
        <is>
          <t>فلو آف   قرص خوراکي 500 mg/5 mg/2 mg - لابراتوارهاي شهردارو</t>
        </is>
      </c>
      <c r="C2817" s="25">
        <f>IF(COUNTIF('کدهای پیام‌داروساز'!$A$2:$A$2442,A2817)&gt;0,"بله","خیر")</f>
        <v/>
      </c>
    </row>
    <row r="2818" ht="15" customHeight="1" s="14">
      <c r="A2818" s="24" t="n">
        <v>52198</v>
      </c>
      <c r="B2818" s="24" t="inlineStr">
        <is>
          <t>اپيدو   ژل موضعي 0.1 %/2.5 % 30 g - گل درمان ارشيا</t>
        </is>
      </c>
      <c r="C2818" s="25">
        <f>IF(COUNTIF('کدهای پیام‌داروساز'!$A$2:$A$2442,A2818)&gt;0,"بله","خیر")</f>
        <v/>
      </c>
    </row>
    <row r="2819" ht="15" customHeight="1" s="14">
      <c r="A2819" s="24" t="n">
        <v>52199</v>
      </c>
      <c r="B2819" s="24" t="inlineStr">
        <is>
          <t>آپو-ايپراونت   محلول استنشاقي 250 ug/1mL 20 mL - رستا ايمن دارو</t>
        </is>
      </c>
      <c r="C2819" s="25">
        <f>IF(COUNTIF('کدهای پیام‌داروساز'!$A$2:$A$2442,A2819)&gt;0,"بله","خیر")</f>
        <v/>
      </c>
    </row>
    <row r="2820" ht="15" customHeight="1" s="14">
      <c r="A2820" s="24" t="n">
        <v>52200</v>
      </c>
      <c r="B2820" s="24" t="inlineStr">
        <is>
          <t>ونکومايسين   کپسول حاوي مايع خوراکي 125 mg - آريا ديبا دارو</t>
        </is>
      </c>
      <c r="C2820" s="25">
        <f>IF(COUNTIF('کدهای پیام‌داروساز'!$A$2:$A$2442,A2820)&gt;0,"بله","خیر")</f>
        <v/>
      </c>
    </row>
    <row r="2821" ht="15" customHeight="1" s="14">
      <c r="A2821" s="24" t="n">
        <v>52201</v>
      </c>
      <c r="B2821" s="24" t="inlineStr">
        <is>
          <t>داپاگلوز   قرص خوراکي 5 mg - درمان ياب دارو</t>
        </is>
      </c>
      <c r="C2821" s="25">
        <f>IF(COUNTIF('کدهای پیام‌داروساز'!$A$2:$A$2442,A2821)&gt;0,"بله","خیر")</f>
        <v/>
      </c>
    </row>
    <row r="2822" ht="15" customHeight="1" s="14">
      <c r="A2822" s="24" t="n">
        <v>52202</v>
      </c>
      <c r="B2822" s="24" t="inlineStr">
        <is>
          <t>وازلين   پماد موضعي  100 g - کيميا دارو سپهر</t>
        </is>
      </c>
      <c r="C2822" s="25">
        <f>IF(COUNTIF('کدهای پیام‌داروساز'!$A$2:$A$2442,A2822)&gt;0,"بله","خیر")</f>
        <v/>
      </c>
    </row>
    <row r="2823" ht="15" customHeight="1" s="14">
      <c r="A2823" s="24" t="n">
        <v>52203</v>
      </c>
      <c r="B2823" s="24" t="inlineStr">
        <is>
          <t>الاندينا   کرم موضعي 7 %/7 % 15 g - نوآوري هاي دارويي رايا</t>
        </is>
      </c>
      <c r="C2823" s="25">
        <f>IF(COUNTIF('کدهای پیام‌داروساز'!$A$2:$A$2442,A2823)&gt;0,"بله","خیر")</f>
        <v/>
      </c>
    </row>
    <row r="2824" ht="15" customHeight="1" s="14">
      <c r="A2824" s="24" t="n">
        <v>52204</v>
      </c>
      <c r="B2824" s="24" t="inlineStr">
        <is>
          <t>امپرازول عرفاطب   پودر براي تهيه محلول تزريقي پرنترال 40 mg  mg - عرفان طب پارس</t>
        </is>
      </c>
      <c r="C2824" s="25">
        <f>IF(COUNTIF('کدهای پیام‌داروساز'!$A$2:$A$2442,A2824)&gt;0,"بله","خیر")</f>
        <v/>
      </c>
    </row>
    <row r="2825" ht="15" customHeight="1" s="14">
      <c r="A2825" s="24" t="n">
        <v>52205</v>
      </c>
      <c r="B2825" s="24" t="inlineStr">
        <is>
          <t>پتاسيم کلرايد در دکستروز   تزريقي داخل وريدي 0.3 % 1000 mL - فرآورده هاي تزريقي و دارويي ايران</t>
        </is>
      </c>
      <c r="C2825" s="25">
        <f>IF(COUNTIF('کدهای پیام‌داروساز'!$A$2:$A$2442,A2825)&gt;0,"بله","خیر")</f>
        <v/>
      </c>
    </row>
    <row r="2826" ht="15" customHeight="1" s="14">
      <c r="A2826" s="24" t="n">
        <v>52209</v>
      </c>
      <c r="B2826" s="24" t="inlineStr">
        <is>
          <t>آمينوپلاسمال 15%   محلول تزريقي داخل وريدي 500 mL - نيکان فارمد</t>
        </is>
      </c>
      <c r="C2826" s="25">
        <f>IF(COUNTIF('کدهای پیام‌داروساز'!$A$2:$A$2442,A2826)&gt;0,"بله","خیر")</f>
        <v/>
      </c>
    </row>
    <row r="2827" ht="15" customHeight="1" s="14">
      <c r="A2827" s="24" t="n">
        <v>52210</v>
      </c>
      <c r="B2827" s="24" t="inlineStr">
        <is>
          <t>سايزن   محلول تزريقي پرنترال 8 mg/1mL 1.5 mg - اکتوورکو</t>
        </is>
      </c>
      <c r="C2827" s="25">
        <f>IF(COUNTIF('کدهای پیام‌داروساز'!$A$2:$A$2442,A2827)&gt;0,"بله","خیر")</f>
        <v/>
      </c>
    </row>
    <row r="2828" ht="15" customHeight="1" s="14">
      <c r="A2828" s="24" t="n">
        <v>52211</v>
      </c>
      <c r="B2828" s="24" t="inlineStr">
        <is>
          <t>سايزن   محلول تزريقي پرنترال 8 mg/1mL 2.5 mg - اکتوورکو</t>
        </is>
      </c>
      <c r="C2828" s="25">
        <f>IF(COUNTIF('کدهای پیام‌داروساز'!$A$2:$A$2442,A2828)&gt;0,"بله","خیر")</f>
        <v/>
      </c>
    </row>
    <row r="2829" ht="15" customHeight="1" s="14">
      <c r="A2829" s="24" t="n">
        <v>52212</v>
      </c>
      <c r="B2829" s="24" t="inlineStr">
        <is>
          <t>سايزن   محلول تزريقي پرنترال 6 mg/1.03 mL  mg - اکتوورکو</t>
        </is>
      </c>
      <c r="C2829" s="25">
        <f>IF(COUNTIF('کدهای پیام‌داروساز'!$A$2:$A$2442,A2829)&gt;0,"بله","خیر")</f>
        <v/>
      </c>
    </row>
    <row r="2830" ht="15" customHeight="1" s="14">
      <c r="A2830" s="24" t="n">
        <v>52213</v>
      </c>
      <c r="B2830" s="24" t="inlineStr">
        <is>
          <t>لانسرف   قرص خوراکي 20 mg/8.19 mg - آسمان داروي پارس</t>
        </is>
      </c>
      <c r="C2830" s="25">
        <f>IF(COUNTIF('کدهای پیام‌داروساز'!$A$2:$A$2442,A2830)&gt;0,"بله","خیر")</f>
        <v/>
      </c>
    </row>
    <row r="2831" ht="15" customHeight="1" s="14">
      <c r="A2831" s="24" t="n">
        <v>52214</v>
      </c>
      <c r="B2831" s="24" t="inlineStr">
        <is>
          <t>باونشيو   محلول غليظ تزريقي پرنترال 20 mg/1mL 10 mg - بازرگاني سها کيش</t>
        </is>
      </c>
      <c r="C2831" s="25">
        <f>IF(COUNTIF('کدهای پیام‌داروساز'!$A$2:$A$2442,A2831)&gt;0,"بله","خیر")</f>
        <v/>
      </c>
    </row>
    <row r="2832" ht="15" customHeight="1" s="14">
      <c r="A2832" s="24" t="n">
        <v>52215</v>
      </c>
      <c r="B2832" s="24" t="inlineStr">
        <is>
          <t>پنومووکس 23 (5/. م ل) سرنگ آماده تزريق - ام اس دي</t>
        </is>
      </c>
      <c r="C2832" s="25">
        <f>IF(COUNTIF('کدهای پیام‌داروساز'!$A$2:$A$2442,A2832)&gt;0,"بله","خیر")</f>
        <v/>
      </c>
    </row>
    <row r="2833" ht="15" customHeight="1" s="14">
      <c r="A2833" s="24" t="n">
        <v>52216</v>
      </c>
      <c r="B2833" s="24" t="inlineStr">
        <is>
          <t>آلپامونت   قرص خوراکي 10 mg - کوبل دارو</t>
        </is>
      </c>
      <c r="C2833" s="25">
        <f>IF(COUNTIF('کدهای پیام‌داروساز'!$A$2:$A$2442,A2833)&gt;0,"بله","خیر")</f>
        <v/>
      </c>
    </row>
    <row r="2834" ht="15" customHeight="1" s="14">
      <c r="A2834" s="24" t="n">
        <v>52217</v>
      </c>
      <c r="B2834" s="24" t="inlineStr">
        <is>
          <t>دوفلک   شربت خوراکي 10 g/15mL 300 mL - بهستان دارو</t>
        </is>
      </c>
      <c r="C2834" s="25">
        <f>IF(COUNTIF('کدهای پیام‌داروساز'!$A$2:$A$2442,A2834)&gt;0,"بله","خیر")</f>
        <v/>
      </c>
    </row>
    <row r="2835" ht="15" customHeight="1" s="14">
      <c r="A2835" s="24" t="n">
        <v>52218</v>
      </c>
      <c r="B2835" s="24" t="inlineStr">
        <is>
          <t>آترانل   تزريقي پرنترال 5 mg/1mL 50 mg - نانو فناوران داروئي الوند</t>
        </is>
      </c>
      <c r="C2835" s="25">
        <f>IF(COUNTIF('کدهای پیام‌داروساز'!$A$2:$A$2442,A2835)&gt;0,"بله","خیر")</f>
        <v/>
      </c>
    </row>
    <row r="2836" ht="15" customHeight="1" s="14">
      <c r="A2836" s="24" t="n">
        <v>52219</v>
      </c>
      <c r="B2836" s="24" t="inlineStr">
        <is>
          <t>پگ سينووکس   تزريقي پرنترال 125 ug/0.5mL  ug - تحقيقاتي وتوليدي سينا ژن</t>
        </is>
      </c>
      <c r="C2836" s="25">
        <f>IF(COUNTIF('کدهای پیام‌داروساز'!$A$2:$A$2442,A2836)&gt;0,"بله","خیر")</f>
        <v/>
      </c>
    </row>
    <row r="2837" ht="15" customHeight="1" s="14">
      <c r="A2837" s="24" t="n">
        <v>52220</v>
      </c>
      <c r="B2837" s="24" t="inlineStr">
        <is>
          <t>پگ سينووکس   تزريقي پرنترال 94 ug/0.5mL  ug - تحقيقاتي وتوليدي سينا ژن</t>
        </is>
      </c>
      <c r="C2837" s="25">
        <f>IF(COUNTIF('کدهای پیام‌داروساز'!$A$2:$A$2442,A2837)&gt;0,"بله","خیر")</f>
        <v/>
      </c>
    </row>
    <row r="2838" ht="15" customHeight="1" s="14">
      <c r="A2838" s="24" t="n">
        <v>52221</v>
      </c>
      <c r="B2838" s="24" t="inlineStr">
        <is>
          <t>پگ سينووکس   تزريقي پرنترال 63 ug/0.5mL  ug - تحقيقاتي وتوليدي سينا ژن</t>
        </is>
      </c>
      <c r="C2838" s="25">
        <f>IF(COUNTIF('کدهای پیام‌داروساز'!$A$2:$A$2442,A2838)&gt;0,"بله","خیر")</f>
        <v/>
      </c>
    </row>
    <row r="2839" ht="15" customHeight="1" s="14">
      <c r="A2839" s="24" t="n">
        <v>52222</v>
      </c>
      <c r="B2839" s="24" t="inlineStr">
        <is>
          <t>ايراپراکس   قرص خوراکي 400 mg</t>
        </is>
      </c>
      <c r="C2839" s="25">
        <f>IF(COUNTIF('کدهای پیام‌داروساز'!$A$2:$A$2442,A2839)&gt;0,"بله","خیر")</f>
        <v/>
      </c>
    </row>
    <row r="2840" ht="15" customHeight="1" s="14">
      <c r="A2840" s="24" t="n">
        <v>52223</v>
      </c>
      <c r="B2840" s="24" t="inlineStr">
        <is>
          <t>رهاکين   تزريقي پرنترال 100 mg/1mL 4 mL - داروسازي رها اصفهان</t>
        </is>
      </c>
      <c r="C2840" s="25">
        <f>IF(COUNTIF('کدهای پیام‌داروساز'!$A$2:$A$2442,A2840)&gt;0,"بله","خیر")</f>
        <v/>
      </c>
    </row>
    <row r="2841" ht="15" customHeight="1" s="14">
      <c r="A2841" s="24" t="n">
        <v>52224</v>
      </c>
      <c r="B2841" s="24" t="inlineStr">
        <is>
          <t>کوآموکسي-کلاو    پودر براي تهيه سوسپانسيون   خوراکي 250 mg/62.5 mg  mL - نيک دارو آرام</t>
        </is>
      </c>
      <c r="C2841" s="25">
        <f>IF(COUNTIF('کدهای پیام‌داروساز'!$A$2:$A$2442,A2841)&gt;0,"بله","خیر")</f>
        <v/>
      </c>
    </row>
    <row r="2842" ht="15" customHeight="1" s="14">
      <c r="A2842" s="24" t="n">
        <v>52225</v>
      </c>
      <c r="B2842" s="24" t="inlineStr">
        <is>
          <t>اکتوکائين   تزريقي پرنترال 20 mg/10 ug/1mL 1.8 mL - گسترش بازرگاني دارو پخش</t>
        </is>
      </c>
      <c r="C2842" s="25">
        <f>IF(COUNTIF('کدهای پیام‌داروساز'!$A$2:$A$2442,A2842)&gt;0,"بله","خیر")</f>
        <v/>
      </c>
    </row>
    <row r="2843" ht="15" customHeight="1" s="14">
      <c r="A2843" s="24" t="n">
        <v>52226</v>
      </c>
      <c r="B2843" s="24" t="inlineStr">
        <is>
          <t>اکتوکائين   تزريقي پرنترال 20 mg/20 ug/1mL 1.8 mL - گسترش بازرگاني دارو پخش</t>
        </is>
      </c>
      <c r="C2843" s="25">
        <f>IF(COUNTIF('کدهای پیام‌داروساز'!$A$2:$A$2442,A2843)&gt;0,"بله","خیر")</f>
        <v/>
      </c>
    </row>
    <row r="2844" ht="15" customHeight="1" s="14">
      <c r="A2844" s="24" t="n">
        <v>52229</v>
      </c>
      <c r="B2844" s="24" t="inlineStr">
        <is>
          <t>پم کلد فلو   قرص خوراکي 500 mg/2 mg/15 mg - نوآوري هاي دارويي رايا</t>
        </is>
      </c>
      <c r="C2844" s="25">
        <f>IF(COUNTIF('کدهای پیام‌داروساز'!$A$2:$A$2442,A2844)&gt;0,"بله","خیر")</f>
        <v/>
      </c>
    </row>
    <row r="2845" ht="15" customHeight="1" s="14">
      <c r="A2845" s="24" t="n">
        <v>52231</v>
      </c>
      <c r="B2845" s="24" t="inlineStr">
        <is>
          <t>رينومکسان   اسپري از راه بيني 20 mg/1mL 13 mL - داروسازي جابرابن حيان</t>
        </is>
      </c>
      <c r="C2845" s="25">
        <f>IF(COUNTIF('کدهای پیام‌داروساز'!$A$2:$A$2442,A2845)&gt;0,"بله","خیر")</f>
        <v/>
      </c>
    </row>
    <row r="2846" ht="15" customHeight="1" s="14">
      <c r="A2846" s="24" t="n">
        <v>52232</v>
      </c>
      <c r="B2846" s="24" t="inlineStr">
        <is>
          <t>کرومونازن اسپري   اسپري از راه بيني 20 mg/1mL 15 mg - پويش دارو گستر برتر فارس</t>
        </is>
      </c>
      <c r="C2846" s="25">
        <f>IF(COUNTIF('کدهای پیام‌داروساز'!$A$2:$A$2442,A2846)&gt;0,"بله","خیر")</f>
        <v/>
      </c>
    </row>
    <row r="2847" ht="15" customHeight="1" s="14">
      <c r="A2847" s="24" t="n">
        <v>52233</v>
      </c>
      <c r="B2847" s="24" t="inlineStr">
        <is>
          <t>نفازولين   محلول، قطره چشمي 0.1 % 0.5 mL - فرآورده هاي تزريقي و دارويي ايران</t>
        </is>
      </c>
      <c r="C2847" s="25">
        <f>IF(COUNTIF('کدهای پیام‌داروساز'!$A$2:$A$2442,A2847)&gt;0,"بله","خیر")</f>
        <v/>
      </c>
    </row>
    <row r="2848" ht="15" customHeight="1" s="14">
      <c r="A2848" s="24" t="n">
        <v>52234</v>
      </c>
      <c r="B2848" s="24" t="inlineStr">
        <is>
          <t>آرترستان   قرص خوراکي 97 mg/103 mg - آرنا حيات دانش</t>
        </is>
      </c>
      <c r="C2848" s="25">
        <f>IF(COUNTIF('کدهای پیام‌داروساز'!$A$2:$A$2442,A2848)&gt;0,"بله","خیر")</f>
        <v/>
      </c>
    </row>
    <row r="2849" ht="15" customHeight="1" s="14">
      <c r="A2849" s="24" t="n">
        <v>52235</v>
      </c>
      <c r="B2849" s="24" t="inlineStr">
        <is>
          <t>آرلتو   قرص خوراکي 2.5 mg - دارو درمان آرنگ</t>
        </is>
      </c>
      <c r="C2849" s="25">
        <f>IF(COUNTIF('کدهای پیام‌داروساز'!$A$2:$A$2442,A2849)&gt;0,"بله","خیر")</f>
        <v/>
      </c>
    </row>
    <row r="2850" ht="15" customHeight="1" s="14">
      <c r="A2850" s="24" t="n">
        <v>52236</v>
      </c>
      <c r="B2850" s="24" t="inlineStr">
        <is>
          <t>پنتاسا   گرانول پيوسته رهش خوراکي 4 g  g - درمان ياب دارو</t>
        </is>
      </c>
      <c r="C2850" s="25">
        <f>IF(COUNTIF('کدهای پیام‌داروساز'!$A$2:$A$2442,A2850)&gt;0,"بله","خیر")</f>
        <v/>
      </c>
    </row>
    <row r="2851" ht="15" customHeight="1" s="14">
      <c r="A2851" s="24" t="n">
        <v>52239</v>
      </c>
      <c r="B2851" s="24" t="inlineStr">
        <is>
          <t>آوانو   قرص خوراکي 10 mg/5 mg - زيست اروند فارمد</t>
        </is>
      </c>
      <c r="C2851" s="25">
        <f>IF(COUNTIF('کدهای پیام‌داروساز'!$A$2:$A$2442,A2851)&gt;0,"بله","خیر")</f>
        <v/>
      </c>
    </row>
    <row r="2852" ht="15" customHeight="1" s="14">
      <c r="A2852" s="24" t="n">
        <v>52240</v>
      </c>
      <c r="B2852" s="24" t="inlineStr">
        <is>
          <t>آوانو   قرص خوراکي 25 mg/5 mg - زيست اروند فارمد</t>
        </is>
      </c>
      <c r="C2852" s="25">
        <f>IF(COUNTIF('کدهای پیام‌داروساز'!$A$2:$A$2442,A2852)&gt;0,"بله","خیر")</f>
        <v/>
      </c>
    </row>
    <row r="2853" ht="15" customHeight="1" s="14">
      <c r="A2853" s="24" t="n">
        <v>52241</v>
      </c>
      <c r="B2853" s="24" t="inlineStr">
        <is>
          <t xml:space="preserve"> قرص جارينومت (امپاگليفلوزين و متفورمين) 12.5/ 500</t>
        </is>
      </c>
      <c r="C2853" s="25">
        <f>IF(COUNTIF('کدهای پیام‌داروساز'!$A$2:$A$2442,A2853)&gt;0,"بله","خیر")</f>
        <v/>
      </c>
    </row>
    <row r="2854" ht="15" customHeight="1" s="14">
      <c r="A2854" s="24" t="n">
        <v>52242</v>
      </c>
      <c r="B2854" s="24" t="inlineStr">
        <is>
          <t>امپاور پلاس   قرص پيوسته رهش خوراکي 10 mg/1000 mg - اکتوورکو</t>
        </is>
      </c>
      <c r="C2854" s="25">
        <f>IF(COUNTIF('کدهای پیام‌داروساز'!$A$2:$A$2442,A2854)&gt;0,"بله","خیر")</f>
        <v/>
      </c>
    </row>
    <row r="2855" ht="15" customHeight="1" s="14">
      <c r="A2855" s="24" t="n">
        <v>52243</v>
      </c>
      <c r="B2855" s="24" t="inlineStr">
        <is>
          <t>امپاور پلاس   قرص پيوسته رهش خوراکي 25 mg/1000 mg - اکتوورکو</t>
        </is>
      </c>
      <c r="C2855" s="25">
        <f>IF(COUNTIF('کدهای پیام‌داروساز'!$A$2:$A$2442,A2855)&gt;0,"بله","خیر")</f>
        <v/>
      </c>
    </row>
    <row r="2856" ht="15" customHeight="1" s="14">
      <c r="A2856" s="24" t="n">
        <v>52246</v>
      </c>
      <c r="B2856" s="24" t="inlineStr">
        <is>
          <t>سيناپويتين   تزريقي پرنترال 2000 [iU]/0.3mL  [iU] - تحقيقاتي وتوليدي سينا ژن</t>
        </is>
      </c>
      <c r="C2856" s="25">
        <f>IF(COUNTIF('کدهای پیام‌داروساز'!$A$2:$A$2442,A2856)&gt;0,"بله","خیر")</f>
        <v/>
      </c>
    </row>
    <row r="2857" ht="15" customHeight="1" s="14">
      <c r="A2857" s="24" t="n">
        <v>52247</v>
      </c>
      <c r="B2857" s="24" t="inlineStr">
        <is>
          <t>سيناپويتين   تزريقي پرنترال 20000 [iU]/0.6mL  [iU] - تحقيقاتي وتوليدي سينا ژن</t>
        </is>
      </c>
      <c r="C2857" s="25">
        <f>IF(COUNTIF('کدهای پیام‌داروساز'!$A$2:$A$2442,A2857)&gt;0,"بله","خیر")</f>
        <v/>
      </c>
    </row>
    <row r="2858" ht="15" customHeight="1" s="14">
      <c r="A2858" s="24" t="n">
        <v>52251</v>
      </c>
      <c r="B2858" s="24" t="inlineStr">
        <is>
          <t>دکستروز (بگ)   محلول غليظ تزريقي داخل وريدي 50 % 200 mL - داروسازي ثامن</t>
        </is>
      </c>
      <c r="C2858" s="25">
        <f>IF(COUNTIF('کدهای پیام‌داروساز'!$A$2:$A$2442,A2858)&gt;0,"بله","خیر")</f>
        <v/>
      </c>
    </row>
    <row r="2859" ht="15" customHeight="1" s="14">
      <c r="A2859" s="24" t="n">
        <v>52252</v>
      </c>
      <c r="B2859" s="24" t="inlineStr">
        <is>
          <t>دکستروز (بگ)   محلول غليظ تزريقي داخل وريدي 50 % 400 mL - داروسازي ثامن</t>
        </is>
      </c>
      <c r="C2859" s="25">
        <f>IF(COUNTIF('کدهای پیام‌داروساز'!$A$2:$A$2442,A2859)&gt;0,"بله","خیر")</f>
        <v/>
      </c>
    </row>
    <row r="2860" ht="15" customHeight="1" s="14">
      <c r="A2860" s="24" t="n">
        <v>52253</v>
      </c>
      <c r="B2860" s="24" t="inlineStr">
        <is>
          <t>دکستروز   محلول غليظ تزريقي داخل وريدي 50 % 500 mL - کارخانجات دارو پخش</t>
        </is>
      </c>
      <c r="C2860" s="25">
        <f>IF(COUNTIF('کدهای پیام‌داروساز'!$A$2:$A$2442,A2860)&gt;0,"بله","خیر")</f>
        <v/>
      </c>
    </row>
    <row r="2861" ht="15" customHeight="1" s="14">
      <c r="A2861" s="24" t="n">
        <v>52255</v>
      </c>
      <c r="B2861" s="24" t="inlineStr">
        <is>
          <t>آپسيتنتان   قرص خوراکي 10 mg - داروسازي فاران شيمي</t>
        </is>
      </c>
      <c r="C2861" s="25">
        <f>IF(COUNTIF('کدهای پیام‌داروساز'!$A$2:$A$2442,A2861)&gt;0,"بله","خیر")</f>
        <v/>
      </c>
    </row>
    <row r="2862" ht="15" customHeight="1" s="14">
      <c r="A2862" s="24" t="n">
        <v>52256</v>
      </c>
      <c r="B2862" s="24" t="inlineStr">
        <is>
          <t>سيناپويتين   تزريقي پرنترال 40000 [iU]/0.6mL  [iU] - تحقيقاتي وتوليدي سينا ژن</t>
        </is>
      </c>
      <c r="C2862" s="25">
        <f>IF(COUNTIF('کدهای پیام‌داروساز'!$A$2:$A$2442,A2862)&gt;0,"بله","خیر")</f>
        <v/>
      </c>
    </row>
    <row r="2863" ht="15" customHeight="1" s="14">
      <c r="A2863" s="24" t="n">
        <v>52257</v>
      </c>
      <c r="B2863" s="24" t="inlineStr">
        <is>
          <t>ورکسانت   محلول تزريقي پرنترال 150 mg/1mL  mg - بازرگاني سها کيش</t>
        </is>
      </c>
      <c r="C2863" s="25">
        <f>IF(COUNTIF('کدهای پیام‌داروساز'!$A$2:$A$2442,A2863)&gt;0,"بله","خیر")</f>
        <v/>
      </c>
    </row>
    <row r="2864" ht="15" customHeight="1" s="14">
      <c r="A2864" s="24" t="n">
        <v>52258</v>
      </c>
      <c r="B2864" s="24" t="inlineStr">
        <is>
          <t>لابتالول   تزريقي پرنترال 5 mg/1mL 10 mL - يارا طب خاورميانه</t>
        </is>
      </c>
      <c r="C2864" s="25">
        <f>IF(COUNTIF('کدهای پیام‌داروساز'!$A$2:$A$2442,A2864)&gt;0,"بله","خیر")</f>
        <v/>
      </c>
    </row>
    <row r="2865" ht="15" customHeight="1" s="14">
      <c r="A2865" s="24" t="n">
        <v>52259</v>
      </c>
      <c r="B2865" s="24" t="inlineStr">
        <is>
          <t>ناتريوم تيوسولفات   تزريقي پرنترال 250 mg/1mL 100 % - فوريتهاي سينا آرات گستر</t>
        </is>
      </c>
      <c r="C2865" s="25">
        <f>IF(COUNTIF('کدهای پیام‌داروساز'!$A$2:$A$2442,A2865)&gt;0,"بله","خیر")</f>
        <v/>
      </c>
    </row>
    <row r="2866" ht="15" customHeight="1" s="14">
      <c r="A2866" s="24" t="n">
        <v>52263</v>
      </c>
      <c r="B2866" s="24" t="inlineStr">
        <is>
          <t>سيناپويتين   تزريقي پرنترال 4000 [iU]/0.3mL  [iU] - تحقيقاتي وتوليدي سينا ژن</t>
        </is>
      </c>
      <c r="C2866" s="25">
        <f>IF(COUNTIF('کدهای پیام‌داروساز'!$A$2:$A$2442,A2866)&gt;0,"بله","خیر")</f>
        <v/>
      </c>
    </row>
    <row r="2867" ht="15" customHeight="1" s="14">
      <c r="A2867" s="24" t="n">
        <v>52264</v>
      </c>
      <c r="B2867" s="24" t="inlineStr">
        <is>
          <t>سيناپويتين   تزريقي پرنترال 10000 [iU]/0.6mL  [iU] - تحقيقاتي وتوليدي سينا ژن</t>
        </is>
      </c>
      <c r="C2867" s="25">
        <f>IF(COUNTIF('کدهای پیام‌داروساز'!$A$2:$A$2442,A2867)&gt;0,"بله","خیر")</f>
        <v/>
      </c>
    </row>
    <row r="2868" ht="15" customHeight="1" s="14">
      <c r="A2868" s="24" t="n">
        <v>52265</v>
      </c>
      <c r="B2868" s="24" t="inlineStr">
        <is>
          <t>وسکلور   ژل واژينال 8 % 22.5 g - تدبير کالاي جم</t>
        </is>
      </c>
      <c r="C2868" s="25">
        <f>IF(COUNTIF('کدهای پیام‌داروساز'!$A$2:$A$2442,A2868)&gt;0,"بله","خیر")</f>
        <v/>
      </c>
    </row>
    <row r="2869" ht="15" customHeight="1" s="14">
      <c r="A2869" s="24" t="n">
        <v>52267</v>
      </c>
      <c r="B2869" s="24" t="inlineStr">
        <is>
          <t>بهدوسيل   محلول موضعي 1 % 30 mL - لابراتوار هاي دنياي بهداشت</t>
        </is>
      </c>
      <c r="C2869" s="25">
        <f>IF(COUNTIF('کدهای پیام‌داروساز'!$A$2:$A$2442,A2869)&gt;0,"بله","خیر")</f>
        <v/>
      </c>
    </row>
    <row r="2870" ht="15" customHeight="1" s="14">
      <c r="A2870" s="24" t="n">
        <v>52268</v>
      </c>
      <c r="B2870" s="24" t="inlineStr">
        <is>
          <t>آريوسون آر تي   پودر لئوفيليزه براي تهيه سوسپانسيون تزريقي پرنترال 5 mg  mg - آريوژن فارمد</t>
        </is>
      </c>
      <c r="C2870" s="25">
        <f>IF(COUNTIF('کدهای پیام‌داروساز'!$A$2:$A$2442,A2870)&gt;0,"بله","خیر")</f>
        <v/>
      </c>
    </row>
    <row r="2871" ht="15" customHeight="1" s="14">
      <c r="A2871" s="24" t="n">
        <v>52269</v>
      </c>
      <c r="B2871" s="24" t="inlineStr">
        <is>
          <t>آريوسون آرتي   پودر لئوفيليزه براي تهيه محلول تزريقي پرنترال 8 mg  mg - آريوژن فارمد</t>
        </is>
      </c>
      <c r="C2871" s="25">
        <f>IF(COUNTIF('کدهای پیام‌داروساز'!$A$2:$A$2442,A2871)&gt;0,"بله","خیر")</f>
        <v/>
      </c>
    </row>
    <row r="2872" ht="15" customHeight="1" s="14">
      <c r="A2872" s="24" t="n">
        <v>52270</v>
      </c>
      <c r="B2872" s="24" t="inlineStr">
        <is>
          <t>آفاکلاو   پودر براي تهيه سوسپانسيون   خوراکي 600 mg/42.9 mg/5mL 100 mg - آفا شيمي</t>
        </is>
      </c>
      <c r="C2872" s="25">
        <f>IF(COUNTIF('کدهای پیام‌داروساز'!$A$2:$A$2442,A2872)&gt;0,"بله","خیر")</f>
        <v/>
      </c>
    </row>
    <row r="2873" ht="15" customHeight="1" s="14">
      <c r="A2873" s="24" t="n">
        <v>52271</v>
      </c>
      <c r="B2873" s="24" t="inlineStr">
        <is>
          <t>ستادين-جي   شربت خوراکي 125 mg/50 mg/2.5 mg/5mL 200 mL - داروسازي رها اصفهان</t>
        </is>
      </c>
      <c r="C2873" s="25">
        <f>IF(COUNTIF('کدهای پیام‌داروساز'!$A$2:$A$2442,A2873)&gt;0,"بله","خیر")</f>
        <v/>
      </c>
    </row>
    <row r="2874" ht="15" customHeight="1" s="14">
      <c r="A2874" s="24" t="n">
        <v>52272</v>
      </c>
      <c r="B2874" s="24" t="inlineStr">
        <is>
          <t>آمينوپلاسمال بي.براون 10 %   محلول تزريقي داخل وريدي 1000 mL - نيکان فارمد</t>
        </is>
      </c>
      <c r="C2874" s="25">
        <f>IF(COUNTIF('کدهای پیام‌داروساز'!$A$2:$A$2442,A2874)&gt;0,"بله","خیر")</f>
        <v/>
      </c>
    </row>
    <row r="2875" ht="15" customHeight="1" s="14">
      <c r="A2875" s="24" t="n">
        <v>52273</v>
      </c>
      <c r="B2875" s="24" t="inlineStr">
        <is>
          <t>آديزان کيدز   شربت خوراکي 160 mg/12.5 mg/2.5 mg/5mL 120 mL - کارخانجات دارو پخش</t>
        </is>
      </c>
      <c r="C2875" s="25">
        <f>IF(COUNTIF('کدهای پیام‌داروساز'!$A$2:$A$2442,A2875)&gt;0,"بله","خیر")</f>
        <v/>
      </c>
    </row>
    <row r="2876" ht="15" customHeight="1" s="14">
      <c r="A2876" s="24" t="n">
        <v>52274</v>
      </c>
      <c r="B2876" s="24" t="inlineStr">
        <is>
          <t>ستادين-دي   شربت خوراکي 160 mg/12.5 mg/2.5 mg/5mL 200 mL - داروسازي رها اصفهان</t>
        </is>
      </c>
      <c r="C2876" s="25">
        <f>IF(COUNTIF('کدهای پیام‌داروساز'!$A$2:$A$2442,A2876)&gt;0,"بله","خیر")</f>
        <v/>
      </c>
    </row>
    <row r="2877" ht="15" customHeight="1" s="14">
      <c r="A2877" s="24" t="n">
        <v>52275</v>
      </c>
      <c r="B2877" s="24" t="inlineStr">
        <is>
          <t>ايتالپت   محلول خوراکي 100 mg/1 mL 300 mL - فرنوش داروطب</t>
        </is>
      </c>
      <c r="C2877" s="25">
        <f>IF(COUNTIF('کدهای پیام‌داروساز'!$A$2:$A$2442,A2877)&gt;0,"بله","خیر")</f>
        <v/>
      </c>
    </row>
    <row r="2878" ht="15" customHeight="1" s="14">
      <c r="A2878" s="24" t="n">
        <v>52276</v>
      </c>
      <c r="B2878" s="24" t="inlineStr">
        <is>
          <t>سلناز   تزريقي پرنترال 50 ug/1mL 10 ug - اهران تجارت</t>
        </is>
      </c>
      <c r="C2878" s="25">
        <f>IF(COUNTIF('کدهای پیام‌داروساز'!$A$2:$A$2442,A2878)&gt;0,"بله","خیر")</f>
        <v/>
      </c>
    </row>
    <row r="2879" ht="15" customHeight="1" s="14">
      <c r="A2879" s="24" t="n">
        <v>52277</v>
      </c>
      <c r="B2879" s="24" t="inlineStr">
        <is>
          <t>دايوبت   ژل موضعي 0.005 %/0.064 % 30 g - بهستان بهداشت</t>
        </is>
      </c>
      <c r="C2879" s="25">
        <f>IF(COUNTIF('کدهای پیام‌داروساز'!$A$2:$A$2442,A2879)&gt;0,"بله","خیر")</f>
        <v/>
      </c>
    </row>
    <row r="2880" ht="15" customHeight="1" s="14">
      <c r="A2880" s="24" t="n">
        <v>52278</v>
      </c>
      <c r="B2880" s="24" t="inlineStr">
        <is>
          <t>پدآ   تزريقي داخل وريدي 5 mg/1mL 2 mg - وليان دارو</t>
        </is>
      </c>
      <c r="C2880" s="25">
        <f>IF(COUNTIF('کدهای پیام‌داروساز'!$A$2:$A$2442,A2880)&gt;0,"بله","خیر")</f>
        <v/>
      </c>
    </row>
    <row r="2881" ht="15" customHeight="1" s="14">
      <c r="A2881" s="24" t="n">
        <v>52279</v>
      </c>
      <c r="B2881" s="24" t="inlineStr">
        <is>
          <t>آدريامايسين   پودر براي تهيه محلول تزريقي پرنترال 10 mg  mg - پويش دارو گستر برتر فارس</t>
        </is>
      </c>
      <c r="C2881" s="25">
        <f>IF(COUNTIF('کدهای پیام‌داروساز'!$A$2:$A$2442,A2881)&gt;0,"بله","خیر")</f>
        <v/>
      </c>
    </row>
    <row r="2882" ht="15" customHeight="1" s="14">
      <c r="A2882" s="24" t="n">
        <v>52280</v>
      </c>
      <c r="B2882" s="24" t="inlineStr">
        <is>
          <t>دوکسوآز   پودر براي تهيه محلول تزريقي پرنترال 50 mg  mg - يارا طب خاورميانه</t>
        </is>
      </c>
      <c r="C2882" s="25">
        <f>IF(COUNTIF('کدهای پیام‌داروساز'!$A$2:$A$2442,A2882)&gt;0,"بله","خیر")</f>
        <v/>
      </c>
    </row>
    <row r="2883" ht="15" customHeight="1" s="14">
      <c r="A2883" s="24" t="n">
        <v>52281</v>
      </c>
      <c r="B2883" s="24" t="inlineStr">
        <is>
          <t>پيکووکس   تزريقي پرنترال 5 {dose}  {dose} - دارو درمان آرنگ</t>
        </is>
      </c>
      <c r="C2883" s="25">
        <f>IF(COUNTIF('کدهای پیام‌داروساز'!$A$2:$A$2442,A2883)&gt;0,"بله","خیر")</f>
        <v/>
      </c>
    </row>
    <row r="2884" ht="15" customHeight="1" s="14">
      <c r="A2884" s="24" t="n">
        <v>52282</v>
      </c>
      <c r="B2884" s="24" t="inlineStr">
        <is>
          <t>پوسيکائين اس پي   تزريقي پرنترال 4 %/0.001 %/1 mL 1.7 mL - پرشيا ايده پارس</t>
        </is>
      </c>
      <c r="C2884" s="25">
        <f>IF(COUNTIF('کدهای پیام‌داروساز'!$A$2:$A$2442,A2884)&gt;0,"بله","خیر")</f>
        <v/>
      </c>
    </row>
    <row r="2885" ht="15" customHeight="1" s="14">
      <c r="A2885" s="24" t="n">
        <v>52283</v>
      </c>
      <c r="B2885" s="24" t="inlineStr">
        <is>
          <t>پوسيکائين   تزريقي پرنترال 4 %/0.0005 %/1 mL 1.7 mL - پرشيا ايده پارس</t>
        </is>
      </c>
      <c r="C2885" s="25">
        <f>IF(COUNTIF('کدهای پیام‌داروساز'!$A$2:$A$2442,A2885)&gt;0,"بله","خیر")</f>
        <v/>
      </c>
    </row>
    <row r="2886" ht="15" customHeight="1" s="14">
      <c r="A2886" s="24" t="n">
        <v>52285</v>
      </c>
      <c r="B2886" s="24" t="inlineStr">
        <is>
          <t>آيوديکسانول   تزريقي پرنترال 320 mg/1mL 100 mL</t>
        </is>
      </c>
      <c r="C2886" s="25">
        <f>IF(COUNTIF('کدهای پیام‌داروساز'!$A$2:$A$2442,A2886)&gt;0,"بله","خیر")</f>
        <v/>
      </c>
    </row>
    <row r="2887" ht="15" customHeight="1" s="14">
      <c r="A2887" s="24" t="n">
        <v>52286</v>
      </c>
      <c r="B2887" s="24" t="inlineStr">
        <is>
          <t>آلپروستاسين   محلول غليظ تزريقي پرنترال 20 ug/1mL  ug - نوآوران فخر دارو</t>
        </is>
      </c>
      <c r="C2887" s="25">
        <f>IF(COUNTIF('کدهای پیام‌داروساز'!$A$2:$A$2442,A2887)&gt;0,"بله","خیر")</f>
        <v/>
      </c>
    </row>
    <row r="2888" ht="15" customHeight="1" s="14">
      <c r="A2888" s="24" t="n">
        <v>52287</v>
      </c>
      <c r="B2888" s="24" t="inlineStr">
        <is>
          <t>منسيس   کپسول خوراکي 45 mg  [Amb'a'1'U] - فوريتهاي سينا آرات گستر</t>
        </is>
      </c>
      <c r="C2888" s="25">
        <f>IF(COUNTIF('کدهای پیام‌داروساز'!$A$2:$A$2442,A2888)&gt;0,"بله","خیر")</f>
        <v/>
      </c>
    </row>
    <row r="2889" ht="15" customHeight="1" s="14">
      <c r="A2889" s="24" t="n">
        <v>52289</v>
      </c>
      <c r="B2889" s="24" t="inlineStr">
        <is>
          <t>پي دي پويتين   تزريقي پرنترال 20000 [iU]/1mL 0.5 [iU] - فرآورده هاي پويش دارو</t>
        </is>
      </c>
      <c r="C2889" s="25">
        <f>IF(COUNTIF('کدهای پیام‌داروساز'!$A$2:$A$2442,A2889)&gt;0,"بله","خیر")</f>
        <v/>
      </c>
    </row>
    <row r="2890" ht="15" customHeight="1" s="14">
      <c r="A2890" s="24" t="n">
        <v>52290</v>
      </c>
      <c r="B2890" s="24" t="inlineStr">
        <is>
          <t>پي دي پويتين   تزريقي پرنترال 20000 [iU]/1mL 1 [iU] - فرآورده هاي پويش دارو</t>
        </is>
      </c>
      <c r="C2890" s="25">
        <f>IF(COUNTIF('کدهای پیام‌داروساز'!$A$2:$A$2442,A2890)&gt;0,"بله","خیر")</f>
        <v/>
      </c>
    </row>
    <row r="2891" ht="15" customHeight="1" s="14">
      <c r="A2891" s="24" t="n">
        <v>52291</v>
      </c>
      <c r="B2891" s="24" t="inlineStr">
        <is>
          <t>ادواگرف   کپسول پيوسته رهش خوراکي 0.5 mg - بهستان دارو</t>
        </is>
      </c>
      <c r="C2891" s="25">
        <f>IF(COUNTIF('کدهای پیام‌داروساز'!$A$2:$A$2442,A2891)&gt;0,"بله","خیر")</f>
        <v/>
      </c>
    </row>
    <row r="2892" ht="15" customHeight="1" s="14">
      <c r="A2892" s="24" t="n">
        <v>52293</v>
      </c>
      <c r="B2892" s="24" t="inlineStr">
        <is>
          <t>نيمنريکس   تزريقي پرنترال  1 mL - بهستان دارو</t>
        </is>
      </c>
      <c r="C2892" s="25">
        <f>IF(COUNTIF('کدهای پیام‌داروساز'!$A$2:$A$2442,A2892)&gt;0,"بله","خیر")</f>
        <v/>
      </c>
    </row>
    <row r="2893" ht="15" customHeight="1" s="14">
      <c r="A2893" s="24" t="n">
        <v>52294</v>
      </c>
      <c r="B2893" s="24" t="inlineStr">
        <is>
          <t>آلتبرل   محلول تزريقي زير جلدي 25 mg/0.5mL  mg - آريوژن فارمد</t>
        </is>
      </c>
      <c r="C2893" s="25">
        <f>IF(COUNTIF('کدهای پیام‌داروساز'!$A$2:$A$2442,A2893)&gt;0,"بله","خیر")</f>
        <v/>
      </c>
    </row>
    <row r="2894" ht="15" customHeight="1" s="14">
      <c r="A2894" s="24" t="n">
        <v>52295</v>
      </c>
      <c r="B2894" s="24" t="inlineStr">
        <is>
          <t>بکليت آکواناز   اسپري از راه بيني 50 ug/1 {dose} 150 mg - اهران تجارت</t>
        </is>
      </c>
      <c r="C2894" s="25">
        <f>IF(COUNTIF('کدهای پیام‌داروساز'!$A$2:$A$2442,A2894)&gt;0,"بله","خیر")</f>
        <v/>
      </c>
    </row>
    <row r="2895" ht="15" customHeight="1" s="14">
      <c r="A2895" s="24" t="n">
        <v>52298</v>
      </c>
      <c r="B2895" s="24" t="inlineStr">
        <is>
          <t>لوراتادين   قرص بازشونده در دهان خوراکي 10 mg - ايران دارو</t>
        </is>
      </c>
      <c r="C2895" s="25">
        <f>IF(COUNTIF('کدهای پیام‌داروساز'!$A$2:$A$2442,A2895)&gt;0,"بله","خیر")</f>
        <v/>
      </c>
    </row>
    <row r="2896" ht="15" customHeight="1" s="14">
      <c r="A2896" s="24" t="n">
        <v>52299</v>
      </c>
      <c r="B2896" s="24" t="inlineStr">
        <is>
          <t>زاديتن   شربت خوراکي 1 mg/5mL 100 mL - بهستان دارو</t>
        </is>
      </c>
      <c r="C2896" s="25">
        <f>IF(COUNTIF('کدهای پیام‌داروساز'!$A$2:$A$2442,A2896)&gt;0,"بله","خیر")</f>
        <v/>
      </c>
    </row>
    <row r="2897" ht="15" customHeight="1" s="14">
      <c r="A2897" s="24" t="n">
        <v>52300</v>
      </c>
      <c r="B2897" s="24" t="inlineStr">
        <is>
          <t>سوگاما   محلول تزريقي پرنترال 100 mg/1mL 5 mg - ليو آناهيتا فارمد</t>
        </is>
      </c>
      <c r="C2897" s="25">
        <f>IF(COUNTIF('کدهای پیام‌داروساز'!$A$2:$A$2442,A2897)&gt;0,"بله","خیر")</f>
        <v/>
      </c>
    </row>
    <row r="2898" ht="15" customHeight="1" s="14">
      <c r="A2898" s="24" t="n">
        <v>52301</v>
      </c>
      <c r="B2898" s="24" t="inlineStr">
        <is>
          <t>ال دورام-سي   قرص خوراکي 100 mg/25 mg - رامو فارمين</t>
        </is>
      </c>
      <c r="C2898" s="25">
        <f>IF(COUNTIF('کدهای پیام‌داروساز'!$A$2:$A$2442,A2898)&gt;0,"بله","خیر")</f>
        <v/>
      </c>
    </row>
    <row r="2899" ht="15" customHeight="1" s="14">
      <c r="A2899" s="24" t="n">
        <v>52302</v>
      </c>
      <c r="B2899" s="24" t="inlineStr">
        <is>
          <t>پنتاسا   قرص پيوسته رهش خوراکي 1 g - پويش دارو گستر برتر فارس</t>
        </is>
      </c>
      <c r="C2899" s="25">
        <f>IF(COUNTIF('کدهای پیام‌داروساز'!$A$2:$A$2442,A2899)&gt;0,"بله","خیر")</f>
        <v/>
      </c>
    </row>
    <row r="2900" ht="15" customHeight="1" s="14">
      <c r="A2900" s="24" t="n">
        <v>52306</v>
      </c>
      <c r="B2900" s="24" t="inlineStr">
        <is>
          <t>بودکورت رسپيول    سوسپانسيون استنشاقي 0.5 mg/1mL 2 mg - کوشان فارمد</t>
        </is>
      </c>
      <c r="C2900" s="25">
        <f>IF(COUNTIF('کدهای پیام‌داروساز'!$A$2:$A$2442,A2900)&gt;0,"بله","خیر")</f>
        <v/>
      </c>
    </row>
    <row r="2901" ht="15" customHeight="1" s="14">
      <c r="A2901" s="24" t="n">
        <v>52307</v>
      </c>
      <c r="B2901" s="24" t="inlineStr">
        <is>
          <t>مژکس-آي   سوسپانسيون خوراکي 40 mg/1mL 20 mg - تجهيزات پزشکي و دارويي پورا طب</t>
        </is>
      </c>
      <c r="C2901" s="25">
        <f>IF(COUNTIF('کدهای پیام‌داروساز'!$A$2:$A$2442,A2901)&gt;0,"بله","خیر")</f>
        <v/>
      </c>
    </row>
    <row r="2902" ht="15" customHeight="1" s="14">
      <c r="A2902" s="24" t="n">
        <v>52308</v>
      </c>
      <c r="B2902" s="24" t="inlineStr">
        <is>
          <t>پالميکورت    پودر با دوز اندازه گيري شده استنشاقي 200 ug/1{dose} 100 mg - کوبل دارو</t>
        </is>
      </c>
      <c r="C2902" s="25">
        <f>IF(COUNTIF('کدهای پیام‌داروساز'!$A$2:$A$2442,A2902)&gt;0,"بله","خیر")</f>
        <v/>
      </c>
    </row>
    <row r="2903" ht="15" customHeight="1" s="14">
      <c r="A2903" s="24" t="n">
        <v>52309</v>
      </c>
      <c r="B2903" s="24" t="inlineStr">
        <is>
          <t>اسرين   کرم موضعي 100 % 2 kg - عماد درمان پارس</t>
        </is>
      </c>
      <c r="C2903" s="25">
        <f>IF(COUNTIF('کدهای پیام‌داروساز'!$A$2:$A$2442,A2903)&gt;0,"بله","خیر")</f>
        <v/>
      </c>
    </row>
    <row r="2904" ht="15" customHeight="1" s="14">
      <c r="A2904" s="24" t="n">
        <v>52310</v>
      </c>
      <c r="B2904" s="24" t="inlineStr">
        <is>
          <t>آکو-تيروکس   محلول خوراکي 20 ug/1mL 100 mL - تدبير کالاي جم</t>
        </is>
      </c>
      <c r="C2904" s="25">
        <f>IF(COUNTIF('کدهای پیام‌داروساز'!$A$2:$A$2442,A2904)&gt;0,"بله","خیر")</f>
        <v/>
      </c>
    </row>
    <row r="2905" ht="15" customHeight="1" s="14">
      <c r="A2905" s="24" t="n">
        <v>52315</v>
      </c>
      <c r="B2905" s="24" t="inlineStr">
        <is>
          <t>پنوموسيل   تزريقي پرنترال  0.5 {dose} - اوين دارو</t>
        </is>
      </c>
      <c r="C2905" s="25">
        <f>IF(COUNTIF('کدهای پیام‌داروساز'!$A$2:$A$2442,A2905)&gt;0,"بله","خیر")</f>
        <v/>
      </c>
    </row>
    <row r="2906" ht="15" customHeight="1" s="14">
      <c r="A2906" s="24" t="n">
        <v>52316</v>
      </c>
      <c r="B2906" s="24" t="inlineStr">
        <is>
          <t>سينفلوريکس   تزريقي پرنترال  2 mL - کوبل دارو</t>
        </is>
      </c>
      <c r="C2906" s="25">
        <f>IF(COUNTIF('کدهای پیام‌داروساز'!$A$2:$A$2442,A2906)&gt;0,"بله","خیر")</f>
        <v/>
      </c>
    </row>
    <row r="2907" ht="15" customHeight="1" s="14">
      <c r="A2907" s="24" t="n">
        <v>52317</v>
      </c>
      <c r="B2907" s="24" t="inlineStr">
        <is>
          <t>زايلت   سوسپانسيون، قطره چشمي 0.3 %/0.5 % 5 mL - وليان دارو</t>
        </is>
      </c>
      <c r="C2907" s="25">
        <f>IF(COUNTIF('کدهای پیام‌داروساز'!$A$2:$A$2442,A2907)&gt;0,"بله","خیر")</f>
        <v/>
      </c>
    </row>
    <row r="2908" ht="15" customHeight="1" s="14">
      <c r="A2908" s="24" t="n">
        <v>52318</v>
      </c>
      <c r="B2908" s="24" t="inlineStr">
        <is>
          <t>قرص متوکاربامول 750 ميلي گرم</t>
        </is>
      </c>
      <c r="C2908" s="25">
        <f>IF(COUNTIF('کدهای پیام‌داروساز'!$A$2:$A$2442,A2908)&gt;0,"بله","خیر")</f>
        <v/>
      </c>
    </row>
    <row r="2909" ht="15" customHeight="1" s="14">
      <c r="A2909" s="24" t="n">
        <v>52319</v>
      </c>
      <c r="B2909" s="24" t="inlineStr">
        <is>
          <t>تريندين   کپسول خوراکي 250 mg - رايان دارو ايرانيان</t>
        </is>
      </c>
      <c r="C2909" s="25">
        <f>IF(COUNTIF('کدهای پیام‌داروساز'!$A$2:$A$2442,A2909)&gt;0,"بله","خیر")</f>
        <v/>
      </c>
    </row>
    <row r="2910" ht="15" customHeight="1" s="14">
      <c r="A2910" s="24" t="n">
        <v>52320</v>
      </c>
      <c r="B2910" s="24" t="inlineStr">
        <is>
          <t>اتونس   کپسول خوراکي 10 mg - داروسازي فاران شيمي</t>
        </is>
      </c>
      <c r="C2910" s="25">
        <f>IF(COUNTIF('کدهای پیام‌داروساز'!$A$2:$A$2442,A2910)&gt;0,"بله","خیر")</f>
        <v/>
      </c>
    </row>
    <row r="2911" ht="15" customHeight="1" s="14">
      <c r="A2911" s="24" t="n">
        <v>52321</v>
      </c>
      <c r="B2911" s="24" t="inlineStr">
        <is>
          <t>اتونس   کپسول خوراکي 20 mg - داروسازي فاران شيمي</t>
        </is>
      </c>
      <c r="C2911" s="25">
        <f>IF(COUNTIF('کدهای پیام‌داروساز'!$A$2:$A$2442,A2911)&gt;0,"بله","خیر")</f>
        <v/>
      </c>
    </row>
    <row r="2912" ht="15" customHeight="1" s="14">
      <c r="A2912" s="24" t="n">
        <v>52322</v>
      </c>
      <c r="B2912" s="24" t="inlineStr">
        <is>
          <t>اتونس   کپسول خوراکي 30 mg - داروسازي فاران شيمي</t>
        </is>
      </c>
      <c r="C2912" s="25">
        <f>IF(COUNTIF('کدهای پیام‌داروساز'!$A$2:$A$2442,A2912)&gt;0,"بله","خیر")</f>
        <v/>
      </c>
    </row>
    <row r="2913" ht="15" customHeight="1" s="14">
      <c r="A2913" s="24" t="n">
        <v>52324</v>
      </c>
      <c r="B2913" s="24" t="inlineStr">
        <is>
          <t>اتونس   کپسول خوراکي 50 mg - داروسازي فاران شيمي</t>
        </is>
      </c>
      <c r="C2913" s="25">
        <f>IF(COUNTIF('کدهای پیام‌داروساز'!$A$2:$A$2442,A2913)&gt;0,"بله","خیر")</f>
        <v/>
      </c>
    </row>
    <row r="2914" ht="15" customHeight="1" s="14">
      <c r="A2914" s="24" t="n">
        <v>52326</v>
      </c>
      <c r="B2914" s="24" t="inlineStr">
        <is>
          <t>اتونس   کپسول خوراکي 70 mg - داروسازي فاران شيمي</t>
        </is>
      </c>
      <c r="C2914" s="25">
        <f>IF(COUNTIF('کدهای پیام‌داروساز'!$A$2:$A$2442,A2914)&gt;0,"بله","خیر")</f>
        <v/>
      </c>
    </row>
    <row r="2915" ht="15" customHeight="1" s="14">
      <c r="A2915" s="24" t="n">
        <v>52327</v>
      </c>
      <c r="B2915" s="24" t="inlineStr">
        <is>
          <t>سرماخوردگي روز و شب   قرص خوراکي 500 mg/15 mg/5 mg - آفا شيمي</t>
        </is>
      </c>
      <c r="C2915" s="25">
        <f>IF(COUNTIF('کدهای پیام‌داروساز'!$A$2:$A$2442,A2915)&gt;0,"بله","خیر")</f>
        <v/>
      </c>
    </row>
    <row r="2916" ht="15" customHeight="1" s="14">
      <c r="A2916" s="24" t="n">
        <v>52328</v>
      </c>
      <c r="B2916" s="24" t="inlineStr">
        <is>
          <t>آزانيز   اسپري با دوز اندازه گيري شده از راه بيني 137 ug/50 ug/1 {Puff} 120 mL - کوشان فارمد</t>
        </is>
      </c>
      <c r="C2916" s="25">
        <f>IF(COUNTIF('کدهای پیام‌داروساز'!$A$2:$A$2442,A2916)&gt;0,"بله","خیر")</f>
        <v/>
      </c>
    </row>
    <row r="2917" ht="15" customHeight="1" s="14">
      <c r="A2917" s="24" t="n">
        <v>52329</v>
      </c>
      <c r="B2917" s="24" t="inlineStr">
        <is>
          <t>درموفيکس   کرم موضعي 2 % 20 g - اکتوورکو</t>
        </is>
      </c>
      <c r="C2917" s="25">
        <f>IF(COUNTIF('کدهای پیام‌داروساز'!$A$2:$A$2442,A2917)&gt;0,"بله","خیر")</f>
        <v/>
      </c>
    </row>
    <row r="2918" ht="15" customHeight="1" s="14">
      <c r="A2918" s="24" t="n">
        <v>52330</v>
      </c>
      <c r="B2918" s="24" t="inlineStr">
        <is>
          <t>اسمولول   پودر لئوفيليزه براي تهيه محلول تزريقي پرنترال 2500 mg  mg - عرفان طب پارس</t>
        </is>
      </c>
      <c r="C2918" s="25">
        <f>IF(COUNTIF('کدهای پیام‌داروساز'!$A$2:$A$2442,A2918)&gt;0,"بله","خیر")</f>
        <v/>
      </c>
    </row>
    <row r="2919" ht="15" customHeight="1" s="14">
      <c r="A2919" s="24" t="n">
        <v>52331</v>
      </c>
      <c r="B2919" s="24" t="inlineStr">
        <is>
          <t>پروترال اپاس   قرص پيوسته رهش خوراکي 0.4 mg - دارو سازي آنوشا</t>
        </is>
      </c>
      <c r="C2919" s="25">
        <f>IF(COUNTIF('کدهای پیام‌داروساز'!$A$2:$A$2442,A2919)&gt;0,"بله","خیر")</f>
        <v/>
      </c>
    </row>
    <row r="2920" ht="15" customHeight="1" s="14">
      <c r="A2920" s="24" t="n">
        <v>52332</v>
      </c>
      <c r="B2920" s="24" t="inlineStr">
        <is>
          <t>ادواگرف   کپسول پيوسته رهش خوراکي 1 mg - بهستان دارو</t>
        </is>
      </c>
      <c r="C2920" s="25">
        <f>IF(COUNTIF('کدهای پیام‌داروساز'!$A$2:$A$2442,A2920)&gt;0,"بله","خیر")</f>
        <v/>
      </c>
    </row>
    <row r="2921" ht="15" customHeight="1" s="14">
      <c r="A2921" s="24" t="n">
        <v>52333</v>
      </c>
      <c r="B2921" s="24" t="inlineStr">
        <is>
          <t>ادواگرف   کپسول پيوسته رهش خوراکي 5 mg - بهستان دارو</t>
        </is>
      </c>
      <c r="C2921" s="25">
        <f>IF(COUNTIF('کدهای پیام‌داروساز'!$A$2:$A$2442,A2921)&gt;0,"بله","خیر")</f>
        <v/>
      </c>
    </row>
    <row r="2922" ht="15" customHeight="1" s="14">
      <c r="A2922" s="24" t="n">
        <v>52334</v>
      </c>
      <c r="B2922" s="24" t="inlineStr">
        <is>
          <t>ايلومدين   محلول تزريقي پرنترال 20 ug/1mL 1 - پويش دارو گستر برتر فارس</t>
        </is>
      </c>
      <c r="C2922" s="25">
        <f>IF(COUNTIF('کدهای پیام‌داروساز'!$A$2:$A$2442,A2922)&gt;0,"بله","خیر")</f>
        <v/>
      </c>
    </row>
    <row r="2923" ht="15" customHeight="1" s="14">
      <c r="A2923" s="24" t="n">
        <v>52336</v>
      </c>
      <c r="B2923" s="24" t="inlineStr">
        <is>
          <t>انکوزار   محلول غليظ تزريقي پرنترال 100 mg/1mL 2 mg - اکترو خاورميانه</t>
        </is>
      </c>
      <c r="C2923" s="25">
        <f>IF(COUNTIF('کدهای پیام‌داروساز'!$A$2:$A$2442,A2923)&gt;0,"بله","خیر")</f>
        <v/>
      </c>
    </row>
    <row r="2924" ht="15" customHeight="1" s="14">
      <c r="A2924" s="24" t="n">
        <v>52338</v>
      </c>
      <c r="B2924" s="24" t="inlineStr">
        <is>
          <t>انکوزار   محلول غليظ تزريقي پرنترال 100 mg/1mL 10 mg - اکترو خاورميانه</t>
        </is>
      </c>
      <c r="C2924" s="25">
        <f>IF(COUNTIF('کدهای پیام‌داروساز'!$A$2:$A$2442,A2924)&gt;0,"بله","خیر")</f>
        <v/>
      </c>
    </row>
    <row r="2925" ht="15" customHeight="1" s="14">
      <c r="A2925" s="24" t="n">
        <v>52340</v>
      </c>
      <c r="B2925" s="24" t="inlineStr">
        <is>
          <t>آمينوپلاسمال بي.براون 10 %   محلول تزريقي داخل وريدي 500 mL - نيکان فارمد</t>
        </is>
      </c>
      <c r="C2925" s="25">
        <f>IF(COUNTIF('کدهای پیام‌داروساز'!$A$2:$A$2442,A2925)&gt;0,"بله","خیر")</f>
        <v/>
      </c>
    </row>
    <row r="2926" ht="15" customHeight="1" s="14">
      <c r="A2926" s="24" t="n">
        <v>52342</v>
      </c>
      <c r="B2926" s="24" t="inlineStr">
        <is>
          <t>داربينا   محلول تزريقي پرنترال 25 mg/1mL 2 mg - نانو فناوران داروئي الوند</t>
        </is>
      </c>
      <c r="C2926" s="25">
        <f>IF(COUNTIF('کدهای پیام‌داروساز'!$A$2:$A$2442,A2926)&gt;0,"بله","خیر")</f>
        <v/>
      </c>
    </row>
    <row r="2927" ht="15" customHeight="1" s="14">
      <c r="A2927" s="24" t="n">
        <v>52343</v>
      </c>
      <c r="B2927" s="24" t="inlineStr">
        <is>
          <t>فلوميست   اسپري از راه بيني 50 ug/1{Puff} 100 mg - کوشان فارمد</t>
        </is>
      </c>
      <c r="C2927" s="25">
        <f>IF(COUNTIF('کدهای پیام‌داروساز'!$A$2:$A$2442,A2927)&gt;0,"بله","خیر")</f>
        <v/>
      </c>
    </row>
    <row r="2928" ht="15" customHeight="1" s="14">
      <c r="A2928" s="24" t="n">
        <v>52345</v>
      </c>
      <c r="B2928" s="24" t="inlineStr">
        <is>
          <t>آنتي-دي ايمونوگلوبولين گريفولز   محلول تزريقي عضلاني 300 ug/2mL  ug</t>
        </is>
      </c>
      <c r="C2928" s="25">
        <f>IF(COUNTIF('کدهای پیام‌داروساز'!$A$2:$A$2442,A2928)&gt;0,"بله","خیر")</f>
        <v/>
      </c>
    </row>
    <row r="2929" ht="15" customHeight="1" s="14">
      <c r="A2929" s="24" t="n">
        <v>52346</v>
      </c>
      <c r="B2929" s="24" t="inlineStr">
        <is>
          <t>گروتروپين-مائي   محلول تزريقي پرنترال 4 [iU]/0.5mL  [iU] - رويان دارو</t>
        </is>
      </c>
      <c r="C2929" s="25">
        <f>IF(COUNTIF('کدهای پیام‌داروساز'!$A$2:$A$2442,A2929)&gt;0,"بله","خیر")</f>
        <v/>
      </c>
    </row>
    <row r="2930" ht="15" customHeight="1" s="14">
      <c r="A2930" s="24" t="n">
        <v>52349</v>
      </c>
      <c r="B2930" s="24" t="inlineStr">
        <is>
          <t>السوتر   محلول تزريقي داخل وريدي 20 mg/1mL 1 mL - داروسازي سبحان انکولوژي</t>
        </is>
      </c>
      <c r="C2930" s="25">
        <f>IF(COUNTIF('کدهای پیام‌داروساز'!$A$2:$A$2442,A2930)&gt;0,"بله","خیر")</f>
        <v/>
      </c>
    </row>
    <row r="2931" ht="15" customHeight="1" s="14">
      <c r="A2931" s="24" t="n">
        <v>52350</v>
      </c>
      <c r="B2931" s="24" t="inlineStr">
        <is>
          <t>ابلايز   محلول غليظ تزريقي پرنترال 10 mg/1mL 30 mg - تحقيقاتي وتوليدي سينا ژن</t>
        </is>
      </c>
      <c r="C2931" s="25">
        <f>IF(COUNTIF('کدهای پیام‌داروساز'!$A$2:$A$2442,A2931)&gt;0,"بله","خیر")</f>
        <v/>
      </c>
    </row>
    <row r="2932" ht="15" customHeight="1" s="14">
      <c r="A2932" s="24" t="n">
        <v>52351</v>
      </c>
      <c r="B2932" s="24" t="inlineStr">
        <is>
          <t>يوداکسن   قرص خوراکي 50 mg - پيک دارو توسعه</t>
        </is>
      </c>
      <c r="C2932" s="25">
        <f>IF(COUNTIF('کدهای پیام‌داروساز'!$A$2:$A$2442,A2932)&gt;0,"بله","خیر")</f>
        <v/>
      </c>
    </row>
    <row r="2933" ht="15" customHeight="1" s="14">
      <c r="A2933" s="24" t="n">
        <v>52352</v>
      </c>
      <c r="B2933" s="24" t="inlineStr">
        <is>
          <t>دکسپکت پلاس   شربت خوراکي 30 mg/200 mg/10 mg/5mL 60 mL - پور سينا</t>
        </is>
      </c>
      <c r="C2933" s="25">
        <f>IF(COUNTIF('کدهای پیام‌داروساز'!$A$2:$A$2442,A2933)&gt;0,"بله","خیر")</f>
        <v/>
      </c>
    </row>
    <row r="2934" ht="15" customHeight="1" s="14">
      <c r="A2934" s="24" t="n">
        <v>52353</v>
      </c>
      <c r="B2934" s="24" t="inlineStr">
        <is>
          <t>ابترکسات   تزريقي پرنترال 20 mg/1mL 0.375 mg - کاوش گستر دارو</t>
        </is>
      </c>
      <c r="C2934" s="25">
        <f>IF(COUNTIF('کدهای پیام‌داروساز'!$A$2:$A$2442,A2934)&gt;0,"بله","خیر")</f>
        <v/>
      </c>
    </row>
    <row r="2935" ht="15" customHeight="1" s="14">
      <c r="A2935" s="24" t="n">
        <v>52354</v>
      </c>
      <c r="B2935" s="24" t="inlineStr">
        <is>
          <t>ابترکسات   تزريقي پرنترال 20 mg/1mL 0.5 mg - کاوش گستر دارو</t>
        </is>
      </c>
      <c r="C2935" s="25">
        <f>IF(COUNTIF('کدهای پیام‌داروساز'!$A$2:$A$2442,A2935)&gt;0,"بله","خیر")</f>
        <v/>
      </c>
    </row>
    <row r="2936" ht="15" customHeight="1" s="14">
      <c r="A2936" s="24" t="n">
        <v>52355</v>
      </c>
      <c r="B2936" s="24" t="inlineStr">
        <is>
          <t>ابترکسات   تزريقي پرنترال 20 mg/1mL 0.75 - کاوش گستر دارو</t>
        </is>
      </c>
      <c r="C2936" s="25">
        <f>IF(COUNTIF('کدهای پیام‌داروساز'!$A$2:$A$2442,A2936)&gt;0,"بله","خیر")</f>
        <v/>
      </c>
    </row>
    <row r="2937" ht="15" customHeight="1" s="14">
      <c r="A2937" s="24" t="n">
        <v>52356</v>
      </c>
      <c r="B2937" s="24" t="inlineStr">
        <is>
          <t>ابترکسات   تزريقي پرنترال 20 mg/1mL 1 mg - کاوش گستر دارو</t>
        </is>
      </c>
      <c r="C2937" s="25">
        <f>IF(COUNTIF('کدهای پیام‌داروساز'!$A$2:$A$2442,A2937)&gt;0,"بله","خیر")</f>
        <v/>
      </c>
    </row>
    <row r="2938" ht="15" customHeight="1" s="14">
      <c r="A2938" s="24" t="n">
        <v>52357</v>
      </c>
      <c r="B2938" s="24" t="inlineStr">
        <is>
          <t>ابترکسات   تزريقي پرنترال 20 mg/1mL 1.25 mg - کاوش گستر دارو</t>
        </is>
      </c>
      <c r="C2938" s="25">
        <f>IF(COUNTIF('کدهای پیام‌داروساز'!$A$2:$A$2442,A2938)&gt;0,"بله","خیر")</f>
        <v/>
      </c>
    </row>
    <row r="2939" ht="15" customHeight="1" s="14">
      <c r="A2939" s="24" t="n">
        <v>52358</v>
      </c>
      <c r="B2939" s="24" t="inlineStr">
        <is>
          <t>اسپيريوا رسپيمت   محلول استنشاقي 2.5 ug/1{Puff} 30 mg - شفا ياب گستر</t>
        </is>
      </c>
      <c r="C2939" s="25">
        <f>IF(COUNTIF('کدهای پیام‌داروساز'!$A$2:$A$2442,A2939)&gt;0,"بله","خیر")</f>
        <v/>
      </c>
    </row>
    <row r="2940" ht="15" customHeight="1" s="14">
      <c r="A2940" s="24" t="n">
        <v>52360</v>
      </c>
      <c r="B2940" s="24" t="inlineStr">
        <is>
          <t>آب آليبور   لوسيون موضعي 1 g/1.5 g/100mL  mL - داروسازي کيمياگر طوس</t>
        </is>
      </c>
      <c r="C2940" s="25">
        <f>IF(COUNTIF('کدهای پیام‌داروساز'!$A$2:$A$2442,A2940)&gt;0,"بله","خیر")</f>
        <v/>
      </c>
    </row>
    <row r="2941" ht="15" customHeight="1" s="14">
      <c r="A2941" s="24" t="n">
        <v>52361</v>
      </c>
      <c r="B2941" s="24" t="inlineStr">
        <is>
          <t>آمپول موسيناک   تزريقي پرنترال 100 mg/1mL 3 mg - درمان ياب آنا</t>
        </is>
      </c>
      <c r="C2941" s="25">
        <f>IF(COUNTIF('کدهای پیام‌داروساز'!$A$2:$A$2442,A2941)&gt;0,"بله","خیر")</f>
        <v/>
      </c>
    </row>
    <row r="2942" ht="15" customHeight="1" s="14">
      <c r="A2942" s="24" t="n">
        <v>52363</v>
      </c>
      <c r="B2942" s="24" t="inlineStr">
        <is>
          <t>اپديوو   محلول غليظ تزريقي پرنترال 10 mg/1mL 4 mg - بازرگاني سها کيش</t>
        </is>
      </c>
      <c r="C2942" s="25">
        <f>IF(COUNTIF('کدهای پیام‌داروساز'!$A$2:$A$2442,A2942)&gt;0,"بله","خیر")</f>
        <v/>
      </c>
    </row>
    <row r="2943" ht="15" customHeight="1" s="14">
      <c r="A2943" s="24" t="n">
        <v>52364</v>
      </c>
      <c r="B2943" s="24" t="inlineStr">
        <is>
          <t>آدنوزين کابي   تزريقي پرنترال 3 mg/1mL 1 mg - درمان ياب دارو</t>
        </is>
      </c>
      <c r="C2943" s="25">
        <f>IF(COUNTIF('کدهای پیام‌داروساز'!$A$2:$A$2442,A2943)&gt;0,"بله","خیر")</f>
        <v/>
      </c>
    </row>
    <row r="2944" ht="15" customHeight="1" s="14">
      <c r="A2944" s="24" t="n">
        <v>52365</v>
      </c>
      <c r="B2944" s="24" t="inlineStr">
        <is>
          <t>آدنوزين کابي   تزريقي پرنترال 3 mg/1mL 4 mg - درمان ياب دارو</t>
        </is>
      </c>
      <c r="C2944" s="25">
        <f>IF(COUNTIF('کدهای پیام‌داروساز'!$A$2:$A$2442,A2944)&gt;0,"بله","خیر")</f>
        <v/>
      </c>
    </row>
    <row r="2945" ht="15" customHeight="1" s="14">
      <c r="A2945" s="24" t="n">
        <v>52366</v>
      </c>
      <c r="B2945" s="24" t="inlineStr">
        <is>
          <t>آلساوا   محلول تزريقي پرنترال 30 mg/20mL  mg - زيست دارو دانش</t>
        </is>
      </c>
      <c r="C2945" s="25">
        <f>IF(COUNTIF('کدهای پیام‌داروساز'!$A$2:$A$2442,A2945)&gt;0,"بله","خیر")</f>
        <v/>
      </c>
    </row>
    <row r="2946" ht="15" customHeight="1" s="14">
      <c r="A2946" s="24" t="n">
        <v>52367</v>
      </c>
      <c r="B2946" s="24" t="inlineStr">
        <is>
          <t>اداراوون   محلول تزريقي پرنترال 30 mg/100mL  mL - داروسازي شهيد قاضي</t>
        </is>
      </c>
      <c r="C2946" s="25">
        <f>IF(COUNTIF('کدهای پیام‌داروساز'!$A$2:$A$2442,A2946)&gt;0,"بله","خیر")</f>
        <v/>
      </c>
    </row>
    <row r="2947" ht="15" customHeight="1" s="14">
      <c r="A2947" s="24" t="n">
        <v>52368</v>
      </c>
      <c r="B2947" s="24" t="inlineStr">
        <is>
          <t>رهامون   قرص خوراکي 500 mg/5 mg/25 mg</t>
        </is>
      </c>
      <c r="C2947" s="25">
        <f>IF(COUNTIF('کدهای پیام‌داروساز'!$A$2:$A$2442,A2947)&gt;0,"بله","خیر")</f>
        <v/>
      </c>
    </row>
    <row r="2948" ht="15" customHeight="1" s="14">
      <c r="A2948" s="24" t="n">
        <v>52369</v>
      </c>
      <c r="B2948" s="24" t="inlineStr">
        <is>
          <t>افلوراپ   محلول، قطره چشمي 3 mg/1mL 5 mL - داروسازي رها اصفهان</t>
        </is>
      </c>
      <c r="C2948" s="25">
        <f>IF(COUNTIF('کدهای پیام‌داروساز'!$A$2:$A$2442,A2948)&gt;0,"بله","خیر")</f>
        <v/>
      </c>
    </row>
    <row r="2949" ht="15" customHeight="1" s="14">
      <c r="A2949" s="24" t="n">
        <v>52376</v>
      </c>
      <c r="B2949" s="24" t="inlineStr">
        <is>
          <t>پردفورت   سوسپانسيون، قطره چشمي 1 % 5 % - پويش دارو گستر برتر فارس</t>
        </is>
      </c>
      <c r="C2949" s="25">
        <f>IF(COUNTIF('کدهای پیام‌داروساز'!$A$2:$A$2442,A2949)&gt;0,"بله","خیر")</f>
        <v/>
      </c>
    </row>
    <row r="2950" ht="15" customHeight="1" s="14">
      <c r="A2950" s="24" t="n">
        <v>52377</v>
      </c>
      <c r="B2950" s="24" t="inlineStr">
        <is>
          <t>آ اس آ   قرص خوراکي 100 mg - دارويي و نهاده هاي زاگرس دارو پارسيان</t>
        </is>
      </c>
      <c r="C2950" s="25">
        <f>IF(COUNTIF('کدهای پیام‌داروساز'!$A$2:$A$2442,A2950)&gt;0,"بله","خیر")</f>
        <v/>
      </c>
    </row>
    <row r="2951" ht="15" customHeight="1" s="14">
      <c r="A2951" s="24" t="n">
        <v>52378</v>
      </c>
      <c r="B2951" s="24" t="inlineStr">
        <is>
          <t>ثاموسالين   محلول استنشاقي 7 % 4 mL - داروسازي ثامن</t>
        </is>
      </c>
      <c r="C2951" s="25">
        <f>IF(COUNTIF('کدهای پیام‌داروساز'!$A$2:$A$2442,A2951)&gt;0,"بله","خیر")</f>
        <v/>
      </c>
    </row>
    <row r="2952" ht="15" customHeight="1" s="14">
      <c r="A2952" s="24" t="n">
        <v>52379</v>
      </c>
      <c r="B2952" s="24" t="inlineStr">
        <is>
          <t>پتاسيم کلرايد   محلول غليظ تزريقي داخل وريدي 2 meq/1mL 10 mL - اريکه تجارت ويستا</t>
        </is>
      </c>
      <c r="C2952" s="25">
        <f>IF(COUNTIF('کدهای پیام‌داروساز'!$A$2:$A$2442,A2952)&gt;0,"بله","خیر")</f>
        <v/>
      </c>
    </row>
    <row r="2953" ht="15" customHeight="1" s="14">
      <c r="A2953" s="24" t="n">
        <v>52384</v>
      </c>
      <c r="B2953" s="24" t="inlineStr">
        <is>
          <t>تراکوتيل   تزريقي پرنترال 0.6958 mg/0.6815 mg/0.1979 mg/0.2046 mg/0.0053 mg/0.00789 mg/0.00242 mg/0.0166 mg/0.126 mg/1mL 10 mL - نيکان فارمد</t>
        </is>
      </c>
      <c r="C2953" s="25">
        <f>IF(COUNTIF('کدهای پیام‌داروساز'!$A$2:$A$2442,A2953)&gt;0,"بله","خیر")</f>
        <v/>
      </c>
    </row>
    <row r="2954" ht="15" customHeight="1" s="14">
      <c r="A2954" s="24" t="n">
        <v>52393</v>
      </c>
      <c r="B2954" s="24" t="inlineStr">
        <is>
          <t>سايتوسار   پودر براي تهيه محلول تزريقي پرنترال 100 mg  mg - بهستان دارو</t>
        </is>
      </c>
      <c r="C2954" s="25">
        <f>IF(COUNTIF('کدهای پیام‌داروساز'!$A$2:$A$2442,A2954)&gt;0,"بله","خیر")</f>
        <v/>
      </c>
    </row>
    <row r="2955" ht="15" customHeight="1" s="14">
      <c r="A2955" s="24" t="n">
        <v>52394</v>
      </c>
      <c r="B2955" s="24" t="inlineStr">
        <is>
          <t>سيتارابين   محلول تزريقي پرنترال 100 mg/1mL 10 mg - بهستان دارو</t>
        </is>
      </c>
      <c r="C2955" s="25">
        <f>IF(COUNTIF('کدهای پیام‌داروساز'!$A$2:$A$2442,A2955)&gt;0,"بله","خیر")</f>
        <v/>
      </c>
    </row>
    <row r="2956" ht="15" customHeight="1" s="14">
      <c r="A2956" s="24" t="n">
        <v>52395</v>
      </c>
      <c r="B2956" s="24" t="inlineStr">
        <is>
          <t>ادوالژين سرماخوردگي   قرص خوراکي 200 mg/5 mg - داروسازي دکتر عبيدي</t>
        </is>
      </c>
      <c r="C2956" s="25">
        <f>IF(COUNTIF('کدهای پیام‌داروساز'!$A$2:$A$2442,A2956)&gt;0,"بله","خیر")</f>
        <v/>
      </c>
    </row>
    <row r="2957" ht="15" customHeight="1" s="14">
      <c r="A2957" s="24" t="n">
        <v>52398</v>
      </c>
      <c r="B2957" s="24" t="inlineStr">
        <is>
          <t>متوسل   پودر لئوفيليزه براي تهيه محلول تزريقي پرنترال 1 g  g - رايان دارو ايرانيان</t>
        </is>
      </c>
      <c r="C2957" s="25">
        <f>IF(COUNTIF('کدهای پیام‌داروساز'!$A$2:$A$2442,A2957)&gt;0,"بله","خیر")</f>
        <v/>
      </c>
    </row>
    <row r="2958" ht="15" customHeight="1" s="14">
      <c r="A2958" s="24" t="n">
        <v>52402</v>
      </c>
      <c r="B2958" s="24" t="inlineStr">
        <is>
          <t>پن-وي کا   پودر براي تهيه سوسپانسيون   خوراکي 250 mg/5mL 100 mL - داروسازي جابرابن حيان</t>
        </is>
      </c>
      <c r="C2958" s="25">
        <f>IF(COUNTIF('کدهای پیام‌داروساز'!$A$2:$A$2442,A2958)&gt;0,"بله","خیر")</f>
        <v/>
      </c>
    </row>
    <row r="2959" ht="15" customHeight="1" s="14">
      <c r="A2959" s="24" t="n">
        <v>52404</v>
      </c>
      <c r="B2959" s="24" t="inlineStr">
        <is>
          <t>سيتارابين   محلول تزريقي پرنترال 20 mg/1mL 50 g - پويش دارو گستر برتر فارس</t>
        </is>
      </c>
      <c r="C2959" s="25">
        <f>IF(COUNTIF('کدهای پیام‌داروساز'!$A$2:$A$2442,A2959)&gt;0,"بله","خیر")</f>
        <v/>
      </c>
    </row>
    <row r="2960" ht="15" customHeight="1" s="14">
      <c r="A2960" s="24" t="n">
        <v>52405</v>
      </c>
      <c r="B2960" s="24" t="inlineStr">
        <is>
          <t>ايبوپروفن   ژل موضعي 5 % 50 g - داروسازي رها اصفهان</t>
        </is>
      </c>
      <c r="C2960" s="25">
        <f>IF(COUNTIF('کدهای پیام‌داروساز'!$A$2:$A$2442,A2960)&gt;0,"بله","خیر")</f>
        <v/>
      </c>
    </row>
    <row r="2961" ht="15" customHeight="1" s="14">
      <c r="A2961" s="24" t="n">
        <v>52406</v>
      </c>
      <c r="B2961" s="24" t="inlineStr">
        <is>
          <t>ايبوپروفن   ژل موضعي 5 % 30 g - داروسازي توليد دارو</t>
        </is>
      </c>
      <c r="C2961" s="25">
        <f>IF(COUNTIF('کدهای پیام‌داروساز'!$A$2:$A$2442,A2961)&gt;0,"بله","خیر")</f>
        <v/>
      </c>
    </row>
    <row r="2962" ht="15" customHeight="1" s="14">
      <c r="A2962" s="24" t="n">
        <v>52407</v>
      </c>
      <c r="B2962" s="24" t="inlineStr">
        <is>
          <t>واکسن سرخک و سرخجه   پودر لئوفيليزه براي تهيه محلول تزريقي پرنترال 5 {dose} 2.5 {dose} - اوين دارو</t>
        </is>
      </c>
      <c r="C2962" s="25">
        <f>IF(COUNTIF('کدهای پیام‌داروساز'!$A$2:$A$2442,A2962)&gt;0,"بله","خیر")</f>
        <v/>
      </c>
    </row>
    <row r="2963" ht="15" customHeight="1" s="14">
      <c r="A2963" s="24" t="n">
        <v>52408</v>
      </c>
      <c r="B2963" s="24" t="inlineStr">
        <is>
          <t>ريفاز   شربت خوراکي 20 mg/1mL 60 mL - رايان دارو ايرانيان</t>
        </is>
      </c>
      <c r="C2963" s="25">
        <f>IF(COUNTIF('کدهای پیام‌داروساز'!$A$2:$A$2442,A2963)&gt;0,"بله","خیر")</f>
        <v/>
      </c>
    </row>
    <row r="2964" ht="15" customHeight="1" s="14">
      <c r="A2964" s="24" t="n">
        <v>52409</v>
      </c>
      <c r="B2964" s="24" t="inlineStr">
        <is>
          <t>داپسون   ژل موضعي 5 % 15 g - گيلارانکو</t>
        </is>
      </c>
      <c r="C2964" s="25">
        <f>IF(COUNTIF('کدهای پیام‌داروساز'!$A$2:$A$2442,A2964)&gt;0,"بله","خیر")</f>
        <v/>
      </c>
    </row>
    <row r="2965" ht="15" customHeight="1" s="14">
      <c r="A2965" s="24" t="n">
        <v>52411</v>
      </c>
      <c r="B2965" s="24" t="inlineStr">
        <is>
          <t>آنتي توکسين ديفتري    تزريقي پرنترال 1000 [iU]/1mL 10 [iU] - دارويي پخش رازي</t>
        </is>
      </c>
      <c r="C2965" s="25">
        <f>IF(COUNTIF('کدهای پیام‌داروساز'!$A$2:$A$2442,A2965)&gt;0,"بله","خیر")</f>
        <v/>
      </c>
    </row>
    <row r="2966" ht="15" customHeight="1" s="14">
      <c r="A2966" s="24" t="n">
        <v>52412</v>
      </c>
      <c r="B2966" s="24" t="inlineStr">
        <is>
          <t>برونکوونت   پودر استنشاقي 12 ug/1{dose} 120 {dose} - دارو سازي کيميا سلامت نيکان</t>
        </is>
      </c>
      <c r="C2966" s="25">
        <f>IF(COUNTIF('کدهای پیام‌داروساز'!$A$2:$A$2442,A2966)&gt;0,"بله","خیر")</f>
        <v/>
      </c>
    </row>
    <row r="2967" ht="15" customHeight="1" s="14">
      <c r="A2967" s="24" t="n">
        <v>52413</v>
      </c>
      <c r="B2967" s="24" t="inlineStr">
        <is>
          <t>ريواسويتا   محلول خوراکي 2 mg/1mL 120 mL - نوآوري هاي دارويي رايا</t>
        </is>
      </c>
      <c r="C2967" s="25">
        <f>IF(COUNTIF('کدهای پیام‌داروساز'!$A$2:$A$2442,A2967)&gt;0,"بله","خیر")</f>
        <v/>
      </c>
    </row>
    <row r="2968" ht="15" customHeight="1" s="14">
      <c r="A2968" s="24" t="n">
        <v>52414</v>
      </c>
      <c r="B2968" s="24" t="inlineStr">
        <is>
          <t>هرسپتين   محلول تزريقي پرنترال 600 mg/5mL  mg - رش پارس</t>
        </is>
      </c>
      <c r="C2968" s="25">
        <f>IF(COUNTIF('کدهای پیام‌داروساز'!$A$2:$A$2442,A2968)&gt;0,"بله","خیر")</f>
        <v/>
      </c>
    </row>
    <row r="2969" ht="15" customHeight="1" s="14">
      <c r="A2969" s="24" t="n">
        <v>52416</v>
      </c>
      <c r="B2969" s="24" t="inlineStr">
        <is>
          <t>اکتوکلد شب   پودر براي تهيه محلول خوراکي 650 mg/10 mg/25 mg  g - اکتوورکو</t>
        </is>
      </c>
      <c r="C2969" s="25">
        <f>IF(COUNTIF('کدهای پیام‌داروساز'!$A$2:$A$2442,A2969)&gt;0,"بله","خیر")</f>
        <v/>
      </c>
    </row>
    <row r="2970" ht="15" customHeight="1" s="14">
      <c r="A2970" s="24" t="n">
        <v>52417</v>
      </c>
      <c r="B2970" s="24" t="inlineStr">
        <is>
          <t>اکتوکلد روز   پودر براي تهيه محلول خوراکي 650 mg/10 mg  g - اکتوورکو</t>
        </is>
      </c>
      <c r="C2970" s="25">
        <f>IF(COUNTIF('کدهای پیام‌داروساز'!$A$2:$A$2442,A2970)&gt;0,"بله","خیر")</f>
        <v/>
      </c>
    </row>
    <row r="2971" ht="15" customHeight="1" s="14">
      <c r="A2971" s="24" t="n">
        <v>52418</v>
      </c>
      <c r="B2971" s="24" t="inlineStr">
        <is>
          <t>لوپيناوير / ريتوناوير   محلول خوراکي 80 mg/20 mg/1mL 60 mL - ماه داروي حکيم</t>
        </is>
      </c>
      <c r="C2971" s="25">
        <f>IF(COUNTIF('کدهای پیام‌داروساز'!$A$2:$A$2442,A2971)&gt;0,"بله","خیر")</f>
        <v/>
      </c>
    </row>
    <row r="2972" ht="15" customHeight="1" s="14">
      <c r="A2972" s="24" t="n">
        <v>52419</v>
      </c>
      <c r="B2972" s="24" t="inlineStr">
        <is>
          <t>فلوسيپ کلد و کاف روز   پودر براي تهيه محلول خوراکي 650 mg/20 mg/10 mg  g - درمان ياب دارو</t>
        </is>
      </c>
      <c r="C2972" s="25">
        <f>IF(COUNTIF('کدهای پیام‌داروساز'!$A$2:$A$2442,A2972)&gt;0,"بله","خیر")</f>
        <v/>
      </c>
    </row>
    <row r="2973" ht="15" customHeight="1" s="14">
      <c r="A2973" s="24" t="n">
        <v>52420</v>
      </c>
      <c r="B2973" s="24" t="inlineStr">
        <is>
          <t>دلوتگراوير   قرص خوراکي 10 mg - کي بي سي</t>
        </is>
      </c>
      <c r="C2973" s="25">
        <f>IF(COUNTIF('کدهای پیام‌داروساز'!$A$2:$A$2442,A2973)&gt;0,"بله","خیر")</f>
        <v/>
      </c>
    </row>
    <row r="2974" ht="15" customHeight="1" s="14">
      <c r="A2974" s="24" t="n">
        <v>52421</v>
      </c>
      <c r="B2974" s="24" t="inlineStr">
        <is>
          <t>دلوتگراوير   قرص خوراکي 25 mg - ماه داروي حکيم</t>
        </is>
      </c>
      <c r="C2974" s="25">
        <f>IF(COUNTIF('کدهای پیام‌داروساز'!$A$2:$A$2442,A2974)&gt;0,"بله","خیر")</f>
        <v/>
      </c>
    </row>
    <row r="2975" ht="15" customHeight="1" s="14">
      <c r="A2975" s="24" t="n">
        <v>52422</v>
      </c>
      <c r="B2975" s="24" t="inlineStr">
        <is>
          <t>تداپرايد   قرص خوراکي 1 mg - دارو سازي تهران دارو</t>
        </is>
      </c>
      <c r="C2975" s="25">
        <f>IF(COUNTIF('کدهای پیام‌داروساز'!$A$2:$A$2442,A2975)&gt;0,"بله","خیر")</f>
        <v/>
      </c>
    </row>
    <row r="2976" ht="15" customHeight="1" s="14">
      <c r="A2976" s="24" t="n">
        <v>52423</v>
      </c>
      <c r="B2976" s="24" t="inlineStr">
        <is>
          <t>تداپرايد   قرص خوراکي 2 mg - دارو سازي تهران دارو</t>
        </is>
      </c>
      <c r="C2976" s="25">
        <f>IF(COUNTIF('کدهای پیام‌داروساز'!$A$2:$A$2442,A2976)&gt;0,"بله","خیر")</f>
        <v/>
      </c>
    </row>
    <row r="2977" ht="15" customHeight="1" s="14">
      <c r="A2977" s="24" t="n">
        <v>52424</v>
      </c>
      <c r="B2977" s="24" t="inlineStr">
        <is>
          <t>تداپرايد   قرص خوراکي 3 mg - دارو سازي تهران دارو</t>
        </is>
      </c>
      <c r="C2977" s="25">
        <f>IF(COUNTIF('کدهای پیام‌داروساز'!$A$2:$A$2442,A2977)&gt;0,"بله","خیر")</f>
        <v/>
      </c>
    </row>
    <row r="2978" ht="15" customHeight="1" s="14">
      <c r="A2978" s="24" t="n">
        <v>52425</v>
      </c>
      <c r="B2978" s="24" t="inlineStr">
        <is>
          <t>تداپرايد   قرص خوراکي 4 mg - دارو سازي تهران دارو</t>
        </is>
      </c>
      <c r="C2978" s="25">
        <f>IF(COUNTIF('کدهای پیام‌داروساز'!$A$2:$A$2442,A2978)&gt;0,"بله","خیر")</f>
        <v/>
      </c>
    </row>
    <row r="2979" ht="15" customHeight="1" s="14">
      <c r="A2979" s="24" t="n">
        <v>52426</v>
      </c>
      <c r="B2979" s="24" t="inlineStr">
        <is>
          <t>اسکارنت   محلول تزريقي پرنترال 24 mg/1mL 250 mL - اوزان</t>
        </is>
      </c>
      <c r="C2979" s="25">
        <f>IF(COUNTIF('کدهای پیام‌داروساز'!$A$2:$A$2442,A2979)&gt;0,"بله","خیر")</f>
        <v/>
      </c>
    </row>
    <row r="2980" ht="15" customHeight="1" s="14">
      <c r="A2980" s="24" t="n">
        <v>52427</v>
      </c>
      <c r="B2980" s="24" t="inlineStr">
        <is>
          <t>اووکزاک   کپسول خوراکي 30 mg - فوريتهاي سينا آرات گستر</t>
        </is>
      </c>
      <c r="C2980" s="25">
        <f>IF(COUNTIF('کدهای پیام‌داروساز'!$A$2:$A$2442,A2980)&gt;0,"بله","خیر")</f>
        <v/>
      </c>
    </row>
    <row r="2981" ht="15" customHeight="1" s="14">
      <c r="A2981" s="24" t="n">
        <v>52428</v>
      </c>
      <c r="B2981" s="24" t="inlineStr">
        <is>
          <t>لينپارزا   کپسول خوراکي 50 mg - فوريتهاي سينا آرات گستر</t>
        </is>
      </c>
      <c r="C2981" s="25">
        <f>IF(COUNTIF('کدهای پیام‌داروساز'!$A$2:$A$2442,A2981)&gt;0,"بله","خیر")</f>
        <v/>
      </c>
    </row>
    <row r="2982" ht="15" customHeight="1" s="14">
      <c r="A2982" s="24" t="n">
        <v>52429</v>
      </c>
      <c r="B2982" s="24" t="inlineStr">
        <is>
          <t>آنورو اليپتا 62.5/25 م ک گ اسپري - جي اس کا</t>
        </is>
      </c>
      <c r="C2982" s="25">
        <f>IF(COUNTIF('کدهای پیام‌داروساز'!$A$2:$A$2442,A2982)&gt;0,"بله","خیر")</f>
        <v/>
      </c>
    </row>
    <row r="2983" ht="15" customHeight="1" s="14">
      <c r="A2983" s="24" t="n">
        <v>52430</v>
      </c>
      <c r="B2983" s="24" t="inlineStr">
        <is>
          <t>بريموتاپ   ژل موضعي 3 mg/1g 30 g - سبحان دارو</t>
        </is>
      </c>
      <c r="C2983" s="25">
        <f>IF(COUNTIF('کدهای پیام‌داروساز'!$A$2:$A$2442,A2983)&gt;0,"بله","خیر")</f>
        <v/>
      </c>
    </row>
    <row r="2984" ht="15" customHeight="1" s="14">
      <c r="A2984" s="24" t="n">
        <v>52432</v>
      </c>
      <c r="B2984" s="24" t="inlineStr">
        <is>
          <t>آرتروميت   محلول تزريقي پرنترال 25 mg/1mL 1 mg - اکترو خاورميانه</t>
        </is>
      </c>
      <c r="C2984" s="25">
        <f>IF(COUNTIF('کدهای پیام‌داروساز'!$A$2:$A$2442,A2984)&gt;0,"بله","خیر")</f>
        <v/>
      </c>
    </row>
    <row r="2985" ht="15" customHeight="1" s="14">
      <c r="A2985" s="24" t="n">
        <v>52433</v>
      </c>
      <c r="B2985" s="24" t="inlineStr">
        <is>
          <t>فورزمايد جسفور   تزريقي داخل وريدي 10 mg/1mL 25 mg - اريکه تجارت ويستا</t>
        </is>
      </c>
      <c r="C2985" s="25">
        <f>IF(COUNTIF('کدهای پیام‌داروساز'!$A$2:$A$2442,A2985)&gt;0,"بله","خیر")</f>
        <v/>
      </c>
    </row>
    <row r="2986" ht="15" customHeight="1" s="14">
      <c r="A2986" s="24" t="n">
        <v>52434</v>
      </c>
      <c r="B2986" s="24" t="inlineStr">
        <is>
          <t>ليدوفورت   کرم موضعي 4 % 15 g - ايران دارو</t>
        </is>
      </c>
      <c r="C2986" s="25">
        <f>IF(COUNTIF('کدهای پیام‌داروساز'!$A$2:$A$2442,A2986)&gt;0,"بله","خیر")</f>
        <v/>
      </c>
    </row>
    <row r="2987" ht="15" customHeight="1" s="14">
      <c r="A2987" s="24" t="n">
        <v>52435</v>
      </c>
      <c r="B2987" s="24" t="inlineStr">
        <is>
          <t>پوريک سيدال   قرص خوراکي 750 mg - داروسازي خوارزمي</t>
        </is>
      </c>
      <c r="C2987" s="25">
        <f>IF(COUNTIF('کدهای پیام‌داروساز'!$A$2:$A$2442,A2987)&gt;0,"بله","خیر")</f>
        <v/>
      </c>
    </row>
    <row r="2988" ht="15" customHeight="1" s="14">
      <c r="A2988" s="24" t="n">
        <v>52436</v>
      </c>
      <c r="B2988" s="24" t="inlineStr">
        <is>
          <t>ليتو خوارزمي بلتيل   محلول خوراکي 4 mg/5mL 120 mL - داروسازي خوارزمي</t>
        </is>
      </c>
      <c r="C2988" s="25">
        <f>IF(COUNTIF('کدهای پیام‌داروساز'!$A$2:$A$2442,A2988)&gt;0,"بله","خیر")</f>
        <v/>
      </c>
    </row>
    <row r="2989" ht="15" customHeight="1" s="14">
      <c r="A2989" s="24" t="n">
        <v>52437</v>
      </c>
      <c r="B2989" s="24" t="inlineStr">
        <is>
          <t>تئوفيلين   کپسول روکشدار پيوسته رهش خوراکي 100 mg - داروسازي آوه سينا</t>
        </is>
      </c>
      <c r="C2989" s="25">
        <f>IF(COUNTIF('کدهای پیام‌داروساز'!$A$2:$A$2442,A2989)&gt;0,"بله","خیر")</f>
        <v/>
      </c>
    </row>
    <row r="2990" ht="15" customHeight="1" s="14">
      <c r="A2990" s="24" t="n">
        <v>52438</v>
      </c>
      <c r="B2990" s="24" t="inlineStr">
        <is>
          <t>تئوفيلين   کپسول روکشدار پيوسته رهش خوراکي 300 mg - داروسازي آوه سينا</t>
        </is>
      </c>
      <c r="C2990" s="25">
        <f>IF(COUNTIF('کدهای پیام‌داروساز'!$A$2:$A$2442,A2990)&gt;0,"بله","خیر")</f>
        <v/>
      </c>
    </row>
    <row r="2991" ht="15" customHeight="1" s="14">
      <c r="A2991" s="24" t="n">
        <v>52439</v>
      </c>
      <c r="B2991" s="24" t="inlineStr">
        <is>
          <t>تئوفيلين   کپسول روکشدار پيوسته رهش خوراکي 400 mg - داروسازي جالينوس</t>
        </is>
      </c>
      <c r="C2991" s="25">
        <f>IF(COUNTIF('کدهای پیام‌داروساز'!$A$2:$A$2442,A2991)&gt;0,"بله","خیر")</f>
        <v/>
      </c>
    </row>
    <row r="2992" ht="15" customHeight="1" s="14">
      <c r="A2992" s="24" t="n">
        <v>52440</v>
      </c>
      <c r="B2992" s="24" t="inlineStr">
        <is>
          <t>بودوفورمکس   آئروسل با دوز اندازه گيري شده استنشاقي 160 ug/4.5 ug/1{dose} 120 {Puff} - داروسازي جابرابن حيان</t>
        </is>
      </c>
      <c r="C2992" s="25">
        <f>IF(COUNTIF('کدهای پیام‌داروساز'!$A$2:$A$2442,A2992)&gt;0,"بله","خیر")</f>
        <v/>
      </c>
    </row>
    <row r="2993" ht="15" customHeight="1" s="14">
      <c r="A2993" s="24" t="n">
        <v>52441</v>
      </c>
      <c r="B2993" s="24" t="inlineStr">
        <is>
          <t>بودوفورمکس   آئروسل با دوز اندازه گيري شده استنشاقي 80 ug/4.5 ug/1{dose} 120 {Puff} - داروسازي جابرابن حيان</t>
        </is>
      </c>
      <c r="C2993" s="25">
        <f>IF(COUNTIF('کدهای پیام‌داروساز'!$A$2:$A$2442,A2993)&gt;0,"بله","خیر")</f>
        <v/>
      </c>
    </row>
    <row r="2994" ht="15" customHeight="1" s="14">
      <c r="A2994" s="24" t="n">
        <v>52442</v>
      </c>
      <c r="B2994" s="24" t="inlineStr">
        <is>
          <t>فارالکس (براي شب)   قرص خوراکي 300 mg/15 mg/2 mg - دارو سازي فارابي</t>
        </is>
      </c>
      <c r="C2994" s="25">
        <f>IF(COUNTIF('کدهای پیام‌داروساز'!$A$2:$A$2442,A2994)&gt;0,"بله","خیر")</f>
        <v/>
      </c>
    </row>
    <row r="2995" ht="15" customHeight="1" s="14">
      <c r="A2995" s="24" t="n">
        <v>52445</v>
      </c>
      <c r="B2995" s="24" t="inlineStr">
        <is>
          <t>ليوکلر   محلول، قطره چشمي 0.5 % 5 mL - يارا طب خاورميانه</t>
        </is>
      </c>
      <c r="C2995" s="25">
        <f>IF(COUNTIF('کدهای پیام‌داروساز'!$A$2:$A$2442,A2995)&gt;0,"بله","خیر")</f>
        <v/>
      </c>
    </row>
    <row r="2996" ht="15" customHeight="1" s="14">
      <c r="A2996" s="24" t="n">
        <v>52448</v>
      </c>
      <c r="B2996" s="24" t="inlineStr">
        <is>
          <t>آلترود تي   کپسول خوراکي 0.5 mg/0.4 mg - کيميا آرا هرم</t>
        </is>
      </c>
      <c r="C2996" s="25">
        <f>IF(COUNTIF('کدهای پیام‌داروساز'!$A$2:$A$2442,A2996)&gt;0,"بله","خیر")</f>
        <v/>
      </c>
    </row>
    <row r="2997" ht="15" customHeight="1" s="14">
      <c r="A2997" s="24" t="n">
        <v>52450</v>
      </c>
      <c r="B2997" s="24" t="inlineStr">
        <is>
          <t>لاکسوريت   پودر خوراکي  17 g - تدبير کالاي جم</t>
        </is>
      </c>
      <c r="C2997" s="25">
        <f>IF(COUNTIF('کدهای پیام‌داروساز'!$A$2:$A$2442,A2997)&gt;0,"بله","خیر")</f>
        <v/>
      </c>
    </row>
    <row r="2998" ht="15" customHeight="1" s="14">
      <c r="A2998" s="24" t="n">
        <v>52451</v>
      </c>
      <c r="B2998" s="24" t="inlineStr">
        <is>
          <t>داتيسين   پودر براي تهيه محلول خوراکي 75 mg/5mL 80 g - داروسازي تهران شيمي</t>
        </is>
      </c>
      <c r="C2998" s="25">
        <f>IF(COUNTIF('کدهای پیام‌داروساز'!$A$2:$A$2442,A2998)&gt;0,"بله","خیر")</f>
        <v/>
      </c>
    </row>
    <row r="2999" ht="15" customHeight="1" s="14">
      <c r="A2999" s="24" t="n">
        <v>52452</v>
      </c>
      <c r="B2999" s="24" t="inlineStr">
        <is>
          <t>ديازپام   محلول خوراکي 2 mg/5 mL 120 mL - داروسازي خوارزمي</t>
        </is>
      </c>
      <c r="C2999" s="25">
        <f>IF(COUNTIF('کدهای پیام‌داروساز'!$A$2:$A$2442,A2999)&gt;0,"بله","خیر")</f>
        <v/>
      </c>
    </row>
    <row r="3000" ht="15" customHeight="1" s="14">
      <c r="A3000" s="24" t="n">
        <v>52455</v>
      </c>
      <c r="B3000" s="24" t="inlineStr">
        <is>
          <t>ديلتيازم   قرص خوراکي 30 mg - داروسازي امين</t>
        </is>
      </c>
      <c r="C3000" s="25">
        <f>IF(COUNTIF('کدهای پیام‌داروساز'!$A$2:$A$2442,A3000)&gt;0,"بله","خیر")</f>
        <v/>
      </c>
    </row>
    <row r="3001" ht="15" customHeight="1" s="14">
      <c r="A3001" s="24" t="n">
        <v>52456</v>
      </c>
      <c r="B3001" s="24" t="inlineStr">
        <is>
          <t>ديلتيازم   قرص خوراکي 90 mg - داروسازي امين</t>
        </is>
      </c>
      <c r="C3001" s="25">
        <f>IF(COUNTIF('کدهای پیام‌داروساز'!$A$2:$A$2442,A3001)&gt;0,"بله","خیر")</f>
        <v/>
      </c>
    </row>
    <row r="3002" ht="15" customHeight="1" s="14">
      <c r="A3002" s="24" t="n">
        <v>52458</v>
      </c>
      <c r="B3002" s="24" t="inlineStr">
        <is>
          <t>يوسنايد   قرص پيوسته رهش خوراکي 9 mg - دارو سازي آنوشا</t>
        </is>
      </c>
      <c r="C3002" s="25">
        <f>IF(COUNTIF('کدهای پیام‌داروساز'!$A$2:$A$2442,A3002)&gt;0,"بله","خیر")</f>
        <v/>
      </c>
    </row>
    <row r="3003" ht="15" customHeight="1" s="14">
      <c r="A3003" s="24" t="n">
        <v>52459</v>
      </c>
      <c r="B3003" s="24" t="inlineStr">
        <is>
          <t>پاتانيکس   اسپري از راه بيني 0.6 % 15 mL - داروسازي جابرابن حيان</t>
        </is>
      </c>
      <c r="C3003" s="25">
        <f>IF(COUNTIF('کدهای پیام‌داروساز'!$A$2:$A$2442,A3003)&gt;0,"بله","خیر")</f>
        <v/>
      </c>
    </row>
    <row r="3004" ht="15" customHeight="1" s="14">
      <c r="A3004" s="24" t="n">
        <v>52460</v>
      </c>
      <c r="B3004" s="24" t="inlineStr">
        <is>
          <t>آنتي هيستامين دکونژستانت   قرص خوراکي 4 mg/10 mg - پور سينا</t>
        </is>
      </c>
      <c r="C3004" s="25">
        <f>IF(COUNTIF('کدهای پیام‌داروساز'!$A$2:$A$2442,A3004)&gt;0,"بله","خیر")</f>
        <v/>
      </c>
    </row>
    <row r="3005" ht="15" customHeight="1" s="14">
      <c r="A3005" s="24" t="n">
        <v>52461</v>
      </c>
      <c r="B3005" s="24" t="inlineStr">
        <is>
          <t>پنتابيو   سوسپانسيون تزريقي پرنترال 5 {dose}  {dose} - دارو درمان آرنگ</t>
        </is>
      </c>
      <c r="C3005" s="25">
        <f>IF(COUNTIF('کدهای پیام‌داروساز'!$A$2:$A$2442,A3005)&gt;0,"بله","خیر")</f>
        <v/>
      </c>
    </row>
    <row r="3006" ht="15" customHeight="1" s="14">
      <c r="A3006" s="24" t="n">
        <v>52463</v>
      </c>
      <c r="B3006" s="24" t="inlineStr">
        <is>
          <t>پراکس باند   محلول تزريقي پرنترال 2.5 g/50mL  g - شفا ياب گستر</t>
        </is>
      </c>
      <c r="C3006" s="25">
        <f>IF(COUNTIF('کدهای پیام‌داروساز'!$A$2:$A$2442,A3006)&gt;0,"بله","خیر")</f>
        <v/>
      </c>
    </row>
    <row r="3007" ht="15" customHeight="1" s="14">
      <c r="A3007" s="24" t="n">
        <v>52464</v>
      </c>
      <c r="B3007" s="24" t="inlineStr">
        <is>
          <t>گوگرد   صابون موضعي 10 % 100 g - ساپونين ايران</t>
        </is>
      </c>
      <c r="C3007" s="25">
        <f>IF(COUNTIF('کدهای پیام‌داروساز'!$A$2:$A$2442,A3007)&gt;0,"بله","خیر")</f>
        <v/>
      </c>
    </row>
    <row r="3008" ht="15" customHeight="1" s="14">
      <c r="A3008" s="24" t="n">
        <v>52465</v>
      </c>
      <c r="B3008" s="24" t="inlineStr">
        <is>
          <t>تري کلوکربان   صابون موضعي 1 % 75 - ساپونين ايران</t>
        </is>
      </c>
      <c r="C3008" s="25">
        <f>IF(COUNTIF('کدهای پیام‌داروساز'!$A$2:$A$2442,A3008)&gt;0,"بله","خیر")</f>
        <v/>
      </c>
    </row>
    <row r="3009" ht="15" customHeight="1" s="14">
      <c r="A3009" s="24" t="n">
        <v>52467</v>
      </c>
      <c r="B3009" s="24" t="inlineStr">
        <is>
          <t>کا اسکات   قرص جويدني خوراکي 10 mg - پاد جندي شاپور</t>
        </is>
      </c>
      <c r="C3009" s="25">
        <f>IF(COUNTIF('کدهای پیام‌داروساز'!$A$2:$A$2442,A3009)&gt;0,"بله","خیر")</f>
        <v/>
      </c>
    </row>
    <row r="3010" ht="15" customHeight="1" s="14">
      <c r="A3010" s="24" t="n">
        <v>52469</v>
      </c>
      <c r="B3010" s="24" t="inlineStr">
        <is>
          <t>دايمکت   محلول، قطره خوراکي 41.2 mg/1mL 30 mL - سبحان دارو</t>
        </is>
      </c>
      <c r="C3010" s="25">
        <f>IF(COUNTIF('کدهای پیام‌داروساز'!$A$2:$A$2442,A3010)&gt;0,"بله","خیر")</f>
        <v/>
      </c>
    </row>
    <row r="3011" ht="15" customHeight="1" s="14">
      <c r="A3011" s="24" t="n">
        <v>52470</v>
      </c>
      <c r="B3011" s="24" t="inlineStr">
        <is>
          <t>اسکين پروتکتانت   پماد موضعي 0.44 g/20.625 g/10 g/100 g 15 g - داروسازي جابرابن حيان</t>
        </is>
      </c>
      <c r="C3011" s="25">
        <f>IF(COUNTIF('کدهای پیام‌داروساز'!$A$2:$A$2442,A3011)&gt;0,"بله","خیر")</f>
        <v/>
      </c>
    </row>
    <row r="3012" ht="15" customHeight="1" s="14">
      <c r="A3012" s="24" t="n">
        <v>52471</v>
      </c>
      <c r="B3012" s="24" t="inlineStr">
        <is>
          <t>بلويسين-اس   تزريقي پرنترال 15 [iU]  [iU] - رويان دارو</t>
        </is>
      </c>
      <c r="C3012" s="25">
        <f>IF(COUNTIF('کدهای پیام‌داروساز'!$A$2:$A$2442,A3012)&gt;0,"بله","خیر")</f>
        <v/>
      </c>
    </row>
    <row r="3013" ht="15" customHeight="1" s="14">
      <c r="A3013" s="24" t="n">
        <v>52474</v>
      </c>
      <c r="B3013" s="24" t="inlineStr">
        <is>
          <t>وبراکيم   کپسول خوراکي 100 mg - دارو سازي حکيم</t>
        </is>
      </c>
      <c r="C3013" s="25">
        <f>IF(COUNTIF('کدهای پیام‌داروساز'!$A$2:$A$2442,A3013)&gt;0,"بله","خیر")</f>
        <v/>
      </c>
    </row>
    <row r="3014" ht="15" customHeight="1" s="14">
      <c r="A3014" s="24" t="n">
        <v>52478</v>
      </c>
      <c r="B3014" s="24" t="inlineStr">
        <is>
          <t>هيدرالازين   محلول غليظ تزريقي پرنترال 20 mg 1 mg - تامين فارمد تهران</t>
        </is>
      </c>
      <c r="C3014" s="25">
        <f>IF(COUNTIF('کدهای پیام‌داروساز'!$A$2:$A$2442,A3014)&gt;0,"بله","خیر")</f>
        <v/>
      </c>
    </row>
    <row r="3015" ht="15" customHeight="1" s="14">
      <c r="A3015" s="24" t="n">
        <v>52479</v>
      </c>
      <c r="B3015" s="24" t="inlineStr">
        <is>
          <t>پارکوهيل   قرص پيوسته رهش خوراکي 200 mg/50 mg - تدبير کالاي جم</t>
        </is>
      </c>
      <c r="C3015" s="25">
        <f>IF(COUNTIF('کدهای پیام‌داروساز'!$A$2:$A$2442,A3015)&gt;0,"بله","خیر")</f>
        <v/>
      </c>
    </row>
    <row r="3016" ht="15" customHeight="1" s="14">
      <c r="A3016" s="24" t="n">
        <v>52480</v>
      </c>
      <c r="B3016" s="24" t="inlineStr">
        <is>
          <t>ايبوپروفن   سوسپانسيون خوراکي 40 mg/1mL 30 mL - داروسازي خوارزمي</t>
        </is>
      </c>
      <c r="C3016" s="25">
        <f>IF(COUNTIF('کدهای پیام‌داروساز'!$A$2:$A$2442,A3016)&gt;0,"بله","خیر")</f>
        <v/>
      </c>
    </row>
    <row r="3017" ht="15" customHeight="1" s="14">
      <c r="A3017" s="24" t="n">
        <v>52489</v>
      </c>
      <c r="B3017" s="24" t="inlineStr">
        <is>
          <t>استيل سيستئين   قرص جوشان خوراکي 200 mg - داروسازي آني درمان</t>
        </is>
      </c>
      <c r="C3017" s="25">
        <f>IF(COUNTIF('کدهای پیام‌داروساز'!$A$2:$A$2442,A3017)&gt;0,"بله","خیر")</f>
        <v/>
      </c>
    </row>
    <row r="3018" ht="15" customHeight="1" s="14">
      <c r="A3018" s="24" t="n">
        <v>52500</v>
      </c>
      <c r="B3018" s="24" t="inlineStr">
        <is>
          <t>استاژل-سي   کپسول حاوي مايع خوراکي 300 mg/20 mg - داروسازي دانا</t>
        </is>
      </c>
      <c r="C3018" s="25">
        <f>IF(COUNTIF('کدهای پیام‌داروساز'!$A$2:$A$2442,A3018)&gt;0,"بله","خیر")</f>
        <v/>
      </c>
    </row>
    <row r="3019" ht="15" customHeight="1" s="14">
      <c r="A3019" s="24" t="n">
        <v>52504</v>
      </c>
      <c r="B3019" s="24" t="inlineStr">
        <is>
          <t>انکاسپار   محلول تزريقي پرنترال 750 [iU]/1mL 5 [iU] - کار و انديشه</t>
        </is>
      </c>
      <c r="C3019" s="25">
        <f>IF(COUNTIF('کدهای پیام‌داروساز'!$A$2:$A$2442,A3019)&gt;0,"بله","خیر")</f>
        <v/>
      </c>
    </row>
    <row r="3020" ht="15" customHeight="1" s="14">
      <c r="A3020" s="24" t="n">
        <v>52506</v>
      </c>
      <c r="B3020" s="24" t="inlineStr">
        <is>
          <t>دانوروبيسين   محلول تزريقي پرنترال 2 mg/1mL 10 mg - بهستان دارو</t>
        </is>
      </c>
      <c r="C3020" s="25">
        <f>IF(COUNTIF('کدهای پیام‌داروساز'!$A$2:$A$2442,A3020)&gt;0,"بله","خیر")</f>
        <v/>
      </c>
    </row>
    <row r="3021" ht="15" customHeight="1" s="14">
      <c r="A3021" s="24" t="n">
        <v>52507</v>
      </c>
      <c r="B3021" s="24" t="inlineStr">
        <is>
          <t>اکس ويرا   قرص خوراکي 250 mg - فوريتهاي سينا آرات گستر</t>
        </is>
      </c>
      <c r="C3021" s="25">
        <f>IF(COUNTIF('کدهای پیام‌داروساز'!$A$2:$A$2442,A3021)&gt;0,"بله","خیر")</f>
        <v/>
      </c>
    </row>
    <row r="3022" ht="15" customHeight="1" s="14">
      <c r="A3022" s="24" t="n">
        <v>52508</v>
      </c>
      <c r="B3022" s="24" t="inlineStr">
        <is>
          <t>ليناکلايد   کپسول خوراکي 290 ug - اکتوورکو</t>
        </is>
      </c>
      <c r="C3022" s="25">
        <f>IF(COUNTIF('کدهای پیام‌داروساز'!$A$2:$A$2442,A3022)&gt;0,"بله","خیر")</f>
        <v/>
      </c>
    </row>
    <row r="3023" ht="15" customHeight="1" s="14">
      <c r="A3023" s="24" t="n">
        <v>52509</v>
      </c>
      <c r="B3023" s="24" t="inlineStr">
        <is>
          <t>بونويوا   محلول تزريقي پرنترال 3 mg/1mL 3 - فوريتهاي سينا آرات گستر</t>
        </is>
      </c>
      <c r="C3023" s="25">
        <f>IF(COUNTIF('کدهای پیام‌داروساز'!$A$2:$A$2442,A3023)&gt;0,"بله","خیر")</f>
        <v/>
      </c>
    </row>
    <row r="3024" ht="15" customHeight="1" s="14">
      <c r="A3024" s="24" t="n">
        <v>52510</v>
      </c>
      <c r="B3024" s="24" t="inlineStr">
        <is>
          <t>کاتاپرس   محلول تزريقي داخل وريدي 150 ug/1mL  ug - فوريتهاي سينا آرات گستر</t>
        </is>
      </c>
      <c r="C3024" s="25">
        <f>IF(COUNTIF('کدهای پیام‌داروساز'!$A$2:$A$2442,A3024)&gt;0,"بله","خیر")</f>
        <v/>
      </c>
    </row>
    <row r="3025" ht="15" customHeight="1" s="14">
      <c r="A3025" s="24" t="n">
        <v>52511</v>
      </c>
      <c r="B3025" s="24" t="inlineStr">
        <is>
          <t>ويگديس   قرص بازشونده در دهان خوراکي 25 mg - فارماشيمي</t>
        </is>
      </c>
      <c r="C3025" s="25">
        <f>IF(COUNTIF('کدهای پیام‌داروساز'!$A$2:$A$2442,A3025)&gt;0,"بله","خیر")</f>
        <v/>
      </c>
    </row>
    <row r="3026" ht="15" customHeight="1" s="14">
      <c r="A3026" s="24" t="n">
        <v>52512</v>
      </c>
      <c r="B3026" s="24" t="inlineStr">
        <is>
          <t>پريگرا   قرص بازشونده در دهان خوراکي 50 mg - پارس دارو</t>
        </is>
      </c>
      <c r="C3026" s="25">
        <f>IF(COUNTIF('کدهای پیام‌داروساز'!$A$2:$A$2442,A3026)&gt;0,"بله","خیر")</f>
        <v/>
      </c>
    </row>
    <row r="3027" ht="15" customHeight="1" s="14">
      <c r="A3027" s="24" t="n">
        <v>52513</v>
      </c>
      <c r="B3027" s="24" t="inlineStr">
        <is>
          <t>آئتوکسي اسکرول   محلول تزريقي پرنترال 3 % 2 % - فوريتهاي سينا آرات گستر</t>
        </is>
      </c>
      <c r="C3027" s="25">
        <f>IF(COUNTIF('کدهای پیام‌داروساز'!$A$2:$A$2442,A3027)&gt;0,"بله","خیر")</f>
        <v/>
      </c>
    </row>
    <row r="3028" ht="15" customHeight="1" s="14">
      <c r="A3028" s="24" t="n">
        <v>52514</v>
      </c>
      <c r="B3028" s="24" t="inlineStr">
        <is>
          <t>دولفين   قرص خوراکي 500 mg - بازرگاني سها کيش</t>
        </is>
      </c>
      <c r="C3028" s="25">
        <f>IF(COUNTIF('کدهای پیام‌داروساز'!$A$2:$A$2442,A3028)&gt;0,"بله","خیر")</f>
        <v/>
      </c>
    </row>
    <row r="3029" ht="15" customHeight="1" s="14">
      <c r="A3029" s="24" t="n">
        <v>52515</v>
      </c>
      <c r="B3029" s="24" t="inlineStr">
        <is>
          <t>بيوا ليرودين   پودر لئوفيليزه براي تهيه محلول تزريقي پرنترال 250 mg  mg - ثمين دارو آرکا</t>
        </is>
      </c>
      <c r="C3029" s="25">
        <f>IF(COUNTIF('کدهای پیام‌داروساز'!$A$2:$A$2442,A3029)&gt;0,"بله","خیر")</f>
        <v/>
      </c>
    </row>
    <row r="3030" ht="15" customHeight="1" s="14">
      <c r="A3030" s="24" t="n">
        <v>52516</v>
      </c>
      <c r="B3030" s="24" t="inlineStr">
        <is>
          <t>نيکارديپين   کپسول خوراکي 20 mg  mg - ثمين دارو آرکا</t>
        </is>
      </c>
      <c r="C3030" s="25">
        <f>IF(COUNTIF('کدهای پیام‌داروساز'!$A$2:$A$2442,A3030)&gt;0,"بله","خیر")</f>
        <v/>
      </c>
    </row>
    <row r="3031" ht="15" customHeight="1" s="14">
      <c r="A3031" s="24" t="n">
        <v>52517</v>
      </c>
      <c r="B3031" s="24" t="inlineStr">
        <is>
          <t>لدرلون   سوسپانسيون تزريقي پرنترال 20 mg/1mL 1 mg - فوريتهاي سينا آرات گستر</t>
        </is>
      </c>
      <c r="C3031" s="25">
        <f>IF(COUNTIF('کدهای پیام‌داروساز'!$A$2:$A$2442,A3031)&gt;0,"بله","خیر")</f>
        <v/>
      </c>
    </row>
    <row r="3032" ht="15" customHeight="1" s="14">
      <c r="A3032" s="24" t="n">
        <v>52518</v>
      </c>
      <c r="B3032" s="24" t="inlineStr">
        <is>
          <t>ديبرو-ب مونو   قرص خوراکي 850 mg - فوريتهاي سينا آرات گستر</t>
        </is>
      </c>
      <c r="C3032" s="25">
        <f>IF(COUNTIF('کدهای پیام‌داروساز'!$A$2:$A$2442,A3032)&gt;0,"بله","خیر")</f>
        <v/>
      </c>
    </row>
    <row r="3033" ht="15" customHeight="1" s="14">
      <c r="A3033" s="24" t="n">
        <v>52519</v>
      </c>
      <c r="B3033" s="24" t="inlineStr">
        <is>
          <t>سيدوفوير   تزريقي پرنترال 75 mg/1mL 5 mg - فوريتهاي سينا آرات گستر</t>
        </is>
      </c>
      <c r="C3033" s="25">
        <f>IF(COUNTIF('کدهای پیام‌داروساز'!$A$2:$A$2442,A3033)&gt;0,"بله","خیر")</f>
        <v/>
      </c>
    </row>
    <row r="3034" ht="15" customHeight="1" s="14">
      <c r="A3034" s="24" t="n">
        <v>52520</v>
      </c>
      <c r="B3034" s="24" t="inlineStr">
        <is>
          <t>زلدوکس   کپسول خوراکي 40 mg - بازرگاني سها کيش</t>
        </is>
      </c>
      <c r="C3034" s="25">
        <f>IF(COUNTIF('کدهای پیام‌داروساز'!$A$2:$A$2442,A3034)&gt;0,"بله","خیر")</f>
        <v/>
      </c>
    </row>
    <row r="3035" ht="15" customHeight="1" s="14">
      <c r="A3035" s="24" t="n">
        <v>52521</v>
      </c>
      <c r="B3035" s="24" t="inlineStr">
        <is>
          <t>ونوروتن   قرص جوشان خوراکي 1000 mg - فوريتهاي سينا آرات گستر</t>
        </is>
      </c>
      <c r="C3035" s="25">
        <f>IF(COUNTIF('کدهای پیام‌داروساز'!$A$2:$A$2442,A3035)&gt;0,"بله","خیر")</f>
        <v/>
      </c>
    </row>
    <row r="3036" ht="15" customHeight="1" s="14">
      <c r="A3036" s="24" t="n">
        <v>52522</v>
      </c>
      <c r="B3036" s="24" t="inlineStr">
        <is>
          <t>گالووس   قرص خوراکي 50 mg - پويش دارو گستر برتر فارس</t>
        </is>
      </c>
      <c r="C3036" s="25">
        <f>IF(COUNTIF('کدهای پیام‌داروساز'!$A$2:$A$2442,A3036)&gt;0,"بله","خیر")</f>
        <v/>
      </c>
    </row>
    <row r="3037" ht="15" customHeight="1" s="14">
      <c r="A3037" s="24" t="n">
        <v>52523</v>
      </c>
      <c r="B3037" s="24" t="inlineStr">
        <is>
          <t>فابرزايم   پودر براي تهيه محلول تزريقي پرنترال 35 mg  mg - اوزان</t>
        </is>
      </c>
      <c r="C3037" s="25">
        <f>IF(COUNTIF('کدهای پیام‌داروساز'!$A$2:$A$2442,A3037)&gt;0,"بله","خیر")</f>
        <v/>
      </c>
    </row>
    <row r="3038" ht="15" customHeight="1" s="14">
      <c r="A3038" s="24" t="n">
        <v>52524</v>
      </c>
      <c r="B3038" s="24" t="inlineStr">
        <is>
          <t>ناژو-بت   ژل موضعي 0.005 %/0.064 % 40 g - ايران ناژو</t>
        </is>
      </c>
      <c r="C3038" s="25">
        <f>IF(COUNTIF('کدهای پیام‌داروساز'!$A$2:$A$2442,A3038)&gt;0,"بله","خیر")</f>
        <v/>
      </c>
    </row>
    <row r="3039" ht="15" customHeight="1" s="14">
      <c r="A3039" s="24" t="n">
        <v>52526</v>
      </c>
      <c r="B3039" s="24" t="inlineStr">
        <is>
          <t>باکتي مايد   محلول، قطره چشمي 10 % 5 mL - لابراتوارهاي سينا دارو</t>
        </is>
      </c>
      <c r="C3039" s="25">
        <f>IF(COUNTIF('کدهای پیام‌داروساز'!$A$2:$A$2442,A3039)&gt;0,"بله","خیر")</f>
        <v/>
      </c>
    </row>
    <row r="3040" ht="15" customHeight="1" s="14">
      <c r="A3040" s="24" t="n">
        <v>52527</v>
      </c>
      <c r="B3040" s="24" t="inlineStr">
        <is>
          <t>باکتي مايد   محلول، قطره چشمي 20 % 5 mL - لابراتوارهاي سينا دارو</t>
        </is>
      </c>
      <c r="C3040" s="25">
        <f>IF(COUNTIF('کدهای پیام‌داروساز'!$A$2:$A$2442,A3040)&gt;0,"بله","خیر")</f>
        <v/>
      </c>
    </row>
    <row r="3041" ht="15" customHeight="1" s="14">
      <c r="A3041" s="24" t="n">
        <v>52528</v>
      </c>
      <c r="B3041" s="24" t="inlineStr">
        <is>
          <t>سيپروفلوکساسين   محلول، قطره چشمي 0.3 % 5 mL - نوآوري زيستي گويا</t>
        </is>
      </c>
      <c r="C3041" s="25">
        <f>IF(COUNTIF('کدهای پیام‌داروساز'!$A$2:$A$2442,A3041)&gt;0,"بله","خیر")</f>
        <v/>
      </c>
    </row>
    <row r="3042" ht="15" customHeight="1" s="14">
      <c r="A3042" s="24" t="n">
        <v>52530</v>
      </c>
      <c r="B3042" s="24" t="inlineStr">
        <is>
          <t>هپارين   تزريقي پرنترال 1000 [iU]/1mL 1 mL - البرز دارو</t>
        </is>
      </c>
      <c r="C3042" s="25">
        <f>IF(COUNTIF('کدهای پیام‌داروساز'!$A$2:$A$2442,A3042)&gt;0,"بله","خیر")</f>
        <v/>
      </c>
    </row>
    <row r="3043" ht="15" customHeight="1" s="14">
      <c r="A3043" s="24" t="n">
        <v>52531</v>
      </c>
      <c r="B3043" s="24" t="inlineStr">
        <is>
          <t>ساتيکا   کپسول استنشاقي 50 ug/100 ug/1{dose} - تدبير کالاي جم</t>
        </is>
      </c>
      <c r="C3043" s="25">
        <f>IF(COUNTIF('کدهای پیام‌داروساز'!$A$2:$A$2442,A3043)&gt;0,"بله","خیر")</f>
        <v/>
      </c>
    </row>
    <row r="3044" ht="15" customHeight="1" s="14">
      <c r="A3044" s="24" t="n">
        <v>52533</v>
      </c>
      <c r="B3044" s="24" t="inlineStr">
        <is>
          <t>روفلو دي پي اي رويان   کپسول استنشاقي 50 ug/250 ug/1{dose}</t>
        </is>
      </c>
      <c r="C3044" s="25">
        <f>IF(COUNTIF('کدهای پیام‌داروساز'!$A$2:$A$2442,A3044)&gt;0,"بله","خیر")</f>
        <v/>
      </c>
    </row>
    <row r="3045" ht="15" customHeight="1" s="14">
      <c r="A3045" s="24" t="n">
        <v>52535</v>
      </c>
      <c r="B3045" s="24" t="inlineStr">
        <is>
          <t>روفلو دي پي اي رويان   کپسول استنشاقي 50 ug/500 ug/1{dose} - رويان دارو</t>
        </is>
      </c>
      <c r="C3045" s="25">
        <f>IF(COUNTIF('کدهای پیام‌داروساز'!$A$2:$A$2442,A3045)&gt;0,"بله","خیر")</f>
        <v/>
      </c>
    </row>
    <row r="3046" ht="15" customHeight="1" s="14">
      <c r="A3046" s="24" t="n">
        <v>52537</v>
      </c>
      <c r="B3046" s="24" t="inlineStr">
        <is>
          <t>استيل سيستئين   قرص خوراکي 600 mg - داروسازي جالينوس</t>
        </is>
      </c>
      <c r="C3046" s="25">
        <f>IF(COUNTIF('کدهای پیام‌داروساز'!$A$2:$A$2442,A3046)&gt;0,"بله","خیر")</f>
        <v/>
      </c>
    </row>
    <row r="3047" ht="15" customHeight="1" s="14">
      <c r="A3047" s="24" t="n">
        <v>52538</v>
      </c>
      <c r="B3047" s="24" t="inlineStr">
        <is>
          <t>جي سونيت   شياف مقعدي 100 mg - بازرگاني سها کيش</t>
        </is>
      </c>
      <c r="C3047" s="25">
        <f>IF(COUNTIF('کدهای پیام‌داروساز'!$A$2:$A$2442,A3047)&gt;0,"بله","خیر")</f>
        <v/>
      </c>
    </row>
    <row r="3048" ht="15" customHeight="1" s="14">
      <c r="A3048" s="24" t="n">
        <v>52539</v>
      </c>
      <c r="B3048" s="24" t="inlineStr">
        <is>
          <t>داساتينيب   قرص خوراکي 100 mg - داروسازي خوارزمي</t>
        </is>
      </c>
      <c r="C3048" s="25">
        <f>IF(COUNTIF('کدهای پیام‌داروساز'!$A$2:$A$2442,A3048)&gt;0,"بله","خیر")</f>
        <v/>
      </c>
    </row>
    <row r="3049" ht="15" customHeight="1" s="14">
      <c r="A3049" s="24" t="n">
        <v>52540</v>
      </c>
      <c r="B3049" s="24" t="inlineStr">
        <is>
          <t>داساتينيب   قرص خوراکي 80 mg - داروسازي سبحان انکولوژي</t>
        </is>
      </c>
      <c r="C3049" s="25">
        <f>IF(COUNTIF('کدهای پیام‌داروساز'!$A$2:$A$2442,A3049)&gt;0,"بله","خیر")</f>
        <v/>
      </c>
    </row>
    <row r="3050" ht="15" customHeight="1" s="14">
      <c r="A3050" s="24" t="n">
        <v>52541</v>
      </c>
      <c r="B3050" s="24" t="inlineStr">
        <is>
          <t>داساتينيب   قرص خوراکي 140 mg - داروسازي زهراوي</t>
        </is>
      </c>
      <c r="C3050" s="25">
        <f>IF(COUNTIF('کدهای پیام‌داروساز'!$A$2:$A$2442,A3050)&gt;0,"بله","خیر")</f>
        <v/>
      </c>
    </row>
    <row r="3051" ht="15" customHeight="1" s="14">
      <c r="A3051" s="24" t="n">
        <v>52542</v>
      </c>
      <c r="B3051" s="24" t="inlineStr">
        <is>
          <t>داساتينيب   قرص خوراکي 20 mg - داروسازي سبحان انکولوژي</t>
        </is>
      </c>
      <c r="C3051" s="25">
        <f>IF(COUNTIF('کدهای پیام‌داروساز'!$A$2:$A$2442,A3051)&gt;0,"بله","خیر")</f>
        <v/>
      </c>
    </row>
    <row r="3052" ht="15" customHeight="1" s="14">
      <c r="A3052" s="24" t="n">
        <v>52543</v>
      </c>
      <c r="B3052" s="24" t="inlineStr">
        <is>
          <t>مونوسيد   کرم موضعي 20 % 20 g - رايان دارو ايرانيان</t>
        </is>
      </c>
      <c r="C3052" s="25">
        <f>IF(COUNTIF('کدهای پیام‌داروساز'!$A$2:$A$2442,A3052)&gt;0,"بله","خیر")</f>
        <v/>
      </c>
    </row>
    <row r="3053" ht="15" customHeight="1" s="14">
      <c r="A3053" s="24" t="n">
        <v>52544</v>
      </c>
      <c r="B3053" s="24" t="inlineStr">
        <is>
          <t>هيدروکورتيزون-حنان   کرم موضعي 1 % 100 g - داروسازي حنان بروجن</t>
        </is>
      </c>
      <c r="C3053" s="25">
        <f>IF(COUNTIF('کدهای پیام‌داروساز'!$A$2:$A$2442,A3053)&gt;0,"بله","خیر")</f>
        <v/>
      </c>
    </row>
    <row r="3054" ht="15" customHeight="1" s="14">
      <c r="A3054" s="24" t="n">
        <v>52547</v>
      </c>
      <c r="B3054" s="24" t="inlineStr">
        <is>
          <t>زاويسفتا   پودر براي تهيه فرآورده تزريقي پرنترال 2 g/0.5 g  g - اريکه تجارت ويستا</t>
        </is>
      </c>
      <c r="C3054" s="25">
        <f>IF(COUNTIF('کدهای پیام‌داروساز'!$A$2:$A$2442,A3054)&gt;0,"بله","خیر")</f>
        <v/>
      </c>
    </row>
    <row r="3055" ht="15" customHeight="1" s="14">
      <c r="A3055" s="24" t="n">
        <v>52605</v>
      </c>
      <c r="B3055" s="24" t="inlineStr">
        <is>
          <t>سو-بگ بي   پودر غير قابل مصرف   mg - تجهيزات پزشکي هلال ايران</t>
        </is>
      </c>
      <c r="C3055" s="25">
        <f>IF(COUNTIF('کدهای پیام‌داروساز'!$A$2:$A$2442,A3055)&gt;0,"بله","خیر")</f>
        <v/>
      </c>
    </row>
    <row r="3056" ht="15" customHeight="1" s="14">
      <c r="A3056" s="24" t="n">
        <v>52620</v>
      </c>
      <c r="B3056" s="24" t="inlineStr">
        <is>
          <t>زارونتين   شربت خوراکي 250 mg/5mL 200 mg - پويش دارو گستر برتر فارس</t>
        </is>
      </c>
      <c r="C3056" s="25">
        <f>IF(COUNTIF('کدهای پیام‌داروساز'!$A$2:$A$2442,A3056)&gt;0,"بله","خیر")</f>
        <v/>
      </c>
    </row>
    <row r="3057" ht="15" customHeight="1" s="14">
      <c r="A3057" s="24" t="n">
        <v>52621</v>
      </c>
      <c r="B3057" s="24" t="inlineStr">
        <is>
          <t>متوکسالن   محلول موضعي 1 % 25 mL - نوآوران فخر دارو</t>
        </is>
      </c>
      <c r="C3057" s="25">
        <f>IF(COUNTIF('کدهای پیام‌داروساز'!$A$2:$A$2442,A3057)&gt;0,"بله","خیر")</f>
        <v/>
      </c>
    </row>
    <row r="3058" ht="15" customHeight="1" s="14">
      <c r="A3058" s="24" t="n">
        <v>52622</v>
      </c>
      <c r="B3058" s="24" t="inlineStr">
        <is>
          <t>آ. اس.آ /ويتامين ث - ثنامد   قرص جوشان خوراکي 400 mg/240 mg - داروسازي ثنامد</t>
        </is>
      </c>
      <c r="C3058" s="25">
        <f>IF(COUNTIF('کدهای پیام‌داروساز'!$A$2:$A$2442,A3058)&gt;0,"بله","خیر")</f>
        <v/>
      </c>
    </row>
    <row r="3059" ht="15" customHeight="1" s="14">
      <c r="A3059" s="24" t="n">
        <v>52623</v>
      </c>
      <c r="B3059" s="24" t="inlineStr">
        <is>
          <t>ايپرکس   تزريقي پرنترال 4000 [iU]/1mL 0.5 [iU] - بهستان دارو</t>
        </is>
      </c>
      <c r="C3059" s="25">
        <f>IF(COUNTIF('کدهای پیام‌داروساز'!$A$2:$A$2442,A3059)&gt;0,"بله","خیر")</f>
        <v/>
      </c>
    </row>
    <row r="3060" ht="15" customHeight="1" s="14">
      <c r="A3060" s="24" t="n">
        <v>52624</v>
      </c>
      <c r="B3060" s="24" t="inlineStr">
        <is>
          <t>تيناکيد   تزريقي پرنترال 600 ug/1mL 0.25 ug - آريا تينا ژن</t>
        </is>
      </c>
      <c r="C3060" s="25">
        <f>IF(COUNTIF('کدهای پیام‌داروساز'!$A$2:$A$2442,A3060)&gt;0,"بله","خیر")</f>
        <v/>
      </c>
    </row>
    <row r="3061" ht="15" customHeight="1" s="14">
      <c r="A3061" s="24" t="n">
        <v>52625</v>
      </c>
      <c r="B3061" s="24" t="inlineStr">
        <is>
          <t>تين کلد   کپسول حاوي مايع خوراکي 250 mg/12.5 mg/5 mg - داروسازي دانا</t>
        </is>
      </c>
      <c r="C3061" s="25">
        <f>IF(COUNTIF('کدهای پیام‌داروساز'!$A$2:$A$2442,A3061)&gt;0,"بله","خیر")</f>
        <v/>
      </c>
    </row>
    <row r="3062" ht="15" customHeight="1" s="14">
      <c r="A3062" s="24" t="n">
        <v>52626</v>
      </c>
      <c r="B3062" s="24" t="inlineStr">
        <is>
          <t>پي دي پويتين   محلول تزريقي پرنترال 4000 [iU]/0.5mL  [iU] - فرآورده هاي پويش دارو</t>
        </is>
      </c>
      <c r="C3062" s="25">
        <f>IF(COUNTIF('کدهای پیام‌داروساز'!$A$2:$A$2442,A3062)&gt;0,"بله","خیر")</f>
        <v/>
      </c>
    </row>
    <row r="3063" ht="15" customHeight="1" s="14">
      <c r="A3063" s="24" t="n">
        <v>52627</v>
      </c>
      <c r="B3063" s="24" t="inlineStr">
        <is>
          <t>آکراويا   محلول غليظ تزريقي پرنترال 20 mg/1mL 5 mg - تحقيقاتي وتوليدي سينا ژن</t>
        </is>
      </c>
      <c r="C3063" s="25">
        <f>IF(COUNTIF('کدهای پیام‌داروساز'!$A$2:$A$2442,A3063)&gt;0,"بله","خیر")</f>
        <v/>
      </c>
    </row>
    <row r="3064" ht="15" customHeight="1" s="14">
      <c r="A3064" s="24" t="n">
        <v>52628</v>
      </c>
      <c r="B3064" s="24" t="inlineStr">
        <is>
          <t>آکراويا   محلول غليظ تزريقي پرنترال 20 mg/1mL 20 mg - تحقيقاتي وتوليدي سينا ژن</t>
        </is>
      </c>
      <c r="C3064" s="25">
        <f>IF(COUNTIF('کدهای پیام‌داروساز'!$A$2:$A$2442,A3064)&gt;0,"بله","خیر")</f>
        <v/>
      </c>
    </row>
    <row r="3065" ht="15" customHeight="1" s="14">
      <c r="A3065" s="24" t="n">
        <v>52630</v>
      </c>
      <c r="B3065" s="24" t="inlineStr">
        <is>
          <t>زوستاوکس   پودر براي تهيه سوسپانسيون تزريقي پرنترال 19400 [PFU]/0.65mL  mL - بهستان دارو</t>
        </is>
      </c>
      <c r="C3065" s="25">
        <f>IF(COUNTIF('کدهای پیام‌داروساز'!$A$2:$A$2442,A3065)&gt;0,"بله","خیر")</f>
        <v/>
      </c>
    </row>
    <row r="3066" ht="15" customHeight="1" s="14">
      <c r="A3066" s="24" t="n">
        <v>52631</v>
      </c>
      <c r="B3066" s="24" t="inlineStr">
        <is>
          <t>سيتوبلاستين   محلول تزريقي پرنترال 1 mg/1mL 10 mg - پاد جندي شاپور</t>
        </is>
      </c>
      <c r="C3066" s="25">
        <f>IF(COUNTIF('کدهای پیام‌داروساز'!$A$2:$A$2442,A3066)&gt;0,"بله","خیر")</f>
        <v/>
      </c>
    </row>
    <row r="3067" ht="15" customHeight="1" s="14">
      <c r="A3067" s="24" t="n">
        <v>52632</v>
      </c>
      <c r="B3067" s="24" t="inlineStr">
        <is>
          <t>استامينوفن/ اکسي کدون هيدروکلرايد   قرص خوراکي 325 mg/5 mg - توليد مواد اوليه داروپخش</t>
        </is>
      </c>
      <c r="C3067" s="25">
        <f>IF(COUNTIF('کدهای پیام‌داروساز'!$A$2:$A$2442,A3067)&gt;0,"بله","خیر")</f>
        <v/>
      </c>
    </row>
    <row r="3068" ht="15" customHeight="1" s="14">
      <c r="A3068" s="24" t="n">
        <v>52633</v>
      </c>
      <c r="B3068" s="24" t="inlineStr">
        <is>
          <t>اکسوست   قرص خوراکي 325 mg/10 mg - کيش مديفارم</t>
        </is>
      </c>
      <c r="C3068" s="25">
        <f>IF(COUNTIF('کدهای پیام‌داروساز'!$A$2:$A$2442,A3068)&gt;0,"بله","خیر")</f>
        <v/>
      </c>
    </row>
    <row r="3069" ht="15" customHeight="1" s="14">
      <c r="A3069" s="24" t="n">
        <v>52634</v>
      </c>
      <c r="B3069" s="24" t="inlineStr">
        <is>
          <t>رنيوم-188سولفيد کلوئيد   سوسپانسيون تزريقي پرنترال 5 mCi  mCi - پارس ايزوتوپ</t>
        </is>
      </c>
      <c r="C3069" s="25">
        <f>IF(COUNTIF('کدهای پیام‌داروساز'!$A$2:$A$2442,A3069)&gt;0,"بله","خیر")</f>
        <v/>
      </c>
    </row>
    <row r="3070" ht="15" customHeight="1" s="14">
      <c r="A3070" s="24" t="n">
        <v>52635</v>
      </c>
      <c r="B3070" s="24" t="inlineStr">
        <is>
          <t>انتوکورت سي آي آر   کپسول پيوسته رهش خوراکي 3 mg - راسن درمان</t>
        </is>
      </c>
      <c r="C3070" s="25">
        <f>IF(COUNTIF('کدهای پیام‌داروساز'!$A$2:$A$2442,A3070)&gt;0,"بله","خیر")</f>
        <v/>
      </c>
    </row>
    <row r="3071" ht="15" customHeight="1" s="14">
      <c r="A3071" s="24" t="n">
        <v>52636</v>
      </c>
      <c r="B3071" s="24" t="inlineStr">
        <is>
          <t>افين کامپلکس   کپسول خوراکي 200 mg/25 mg/2.5 mg/150 mg - افق توليد دارو پارس</t>
        </is>
      </c>
      <c r="C3071" s="25">
        <f>IF(COUNTIF('کدهای پیام‌داروساز'!$A$2:$A$2442,A3071)&gt;0,"بله","خیر")</f>
        <v/>
      </c>
    </row>
    <row r="3072" ht="15" customHeight="1" s="14">
      <c r="A3072" s="24" t="n">
        <v>52637</v>
      </c>
      <c r="B3072" s="24" t="inlineStr">
        <is>
          <t>بودزونايد   آئروسل با دوز اندازه گيري شده استنشاقي 200 ug/1{dose} 200 ug - داروسازي جابرابن حيان</t>
        </is>
      </c>
      <c r="C3072" s="25">
        <f>IF(COUNTIF('کدهای پیام‌داروساز'!$A$2:$A$2442,A3072)&gt;0,"بله","خیر")</f>
        <v/>
      </c>
    </row>
    <row r="3073" ht="15" customHeight="1" s="14">
      <c r="A3073" s="24" t="n">
        <v>52638</v>
      </c>
      <c r="B3073" s="24" t="inlineStr">
        <is>
          <t>بودزونايد   آئروسل با دوز اندازه گيري شده استنشاقي 100 ug/1{dose} 200 ug - داروسازي جابرابن حيان</t>
        </is>
      </c>
      <c r="C3073" s="25">
        <f>IF(COUNTIF('کدهای پیام‌داروساز'!$A$2:$A$2442,A3073)&gt;0,"بله","خیر")</f>
        <v/>
      </c>
    </row>
    <row r="3074" ht="15" customHeight="1" s="14">
      <c r="A3074" s="24" t="n">
        <v>52639</v>
      </c>
      <c r="B3074" s="24" t="inlineStr">
        <is>
          <t>ايکلوسيگ   قرص خوراکي 45 mg - آسمان داروي پارس</t>
        </is>
      </c>
      <c r="C3074" s="25">
        <f>IF(COUNTIF('کدهای پیام‌داروساز'!$A$2:$A$2442,A3074)&gt;0,"بله","خیر")</f>
        <v/>
      </c>
    </row>
    <row r="3075" ht="15" customHeight="1" s="14">
      <c r="A3075" s="24" t="n">
        <v>52640</v>
      </c>
      <c r="B3075" s="24" t="inlineStr">
        <is>
          <t>روتاريکس   پودر براي تهيه سوسپانسيون   خوراکي  1.5 mL - کوبل دارو</t>
        </is>
      </c>
      <c r="C3075" s="25">
        <f>IF(COUNTIF('کدهای پیام‌داروساز'!$A$2:$A$2442,A3075)&gt;0,"بله","خیر")</f>
        <v/>
      </c>
    </row>
    <row r="3076" ht="15" customHeight="1" s="14">
      <c r="A3076" s="24" t="n">
        <v>52641</v>
      </c>
      <c r="B3076" s="24" t="inlineStr">
        <is>
          <t>تنگستن 188/رنيوم188   محلول غير قابل مصرف 1000 mCi  mCi - پارس ايزوتوپ</t>
        </is>
      </c>
      <c r="C3076" s="25">
        <f>IF(COUNTIF('کدهای پیام‌داروساز'!$A$2:$A$2442,A3076)&gt;0,"بله","خیر")</f>
        <v/>
      </c>
    </row>
    <row r="3077" ht="15" customHeight="1" s="14">
      <c r="A3077" s="24" t="n">
        <v>52642</v>
      </c>
      <c r="B3077" s="24" t="inlineStr">
        <is>
          <t>رنيوم-188سولفيد کلوئيد   سوسپانسيون تزريقي پرنترال 10 mCi  mCi - پارس ايزوتوپ</t>
        </is>
      </c>
      <c r="C3077" s="25">
        <f>IF(COUNTIF('کدهای پیام‌داروساز'!$A$2:$A$2442,A3077)&gt;0,"بله","خیر")</f>
        <v/>
      </c>
    </row>
    <row r="3078" ht="15" customHeight="1" s="14">
      <c r="A3078" s="24" t="n">
        <v>52643</v>
      </c>
      <c r="B3078" s="24" t="inlineStr">
        <is>
          <t>پارس-لوتو تيت   محلول تزريقي پرنترال 200 mCi  mCi - پارس ايزوتوپ</t>
        </is>
      </c>
      <c r="C3078" s="25">
        <f>IF(COUNTIF('کدهای پیام‌داروساز'!$A$2:$A$2442,A3078)&gt;0,"بله","خیر")</f>
        <v/>
      </c>
    </row>
    <row r="3079" ht="15" customHeight="1" s="14">
      <c r="A3079" s="24" t="n">
        <v>52644</v>
      </c>
      <c r="B3079" s="24" t="inlineStr">
        <is>
          <t>پارس - لوتو پي. اس. ام. آ   محلول تزريقي پرنترال 200 mCi  mCi - پارس ايزوتوپ</t>
        </is>
      </c>
      <c r="C3079" s="25">
        <f>IF(COUNTIF('کدهای پیام‌داروساز'!$A$2:$A$2442,A3079)&gt;0,"بله","خیر")</f>
        <v/>
      </c>
    </row>
    <row r="3080" ht="15" customHeight="1" s="14">
      <c r="A3080" s="24" t="n">
        <v>52645</v>
      </c>
      <c r="B3080" s="24" t="inlineStr">
        <is>
          <t>گاليوم -68 پي.اس. ام. آ -11   محلول تزريقي پرنترال 5 mCi  mCi - پارس ايزوتوپ</t>
        </is>
      </c>
      <c r="C3080" s="25">
        <f>IF(COUNTIF('کدهای پیام‌داروساز'!$A$2:$A$2442,A3080)&gt;0,"بله","خیر")</f>
        <v/>
      </c>
    </row>
    <row r="3081" ht="15" customHeight="1" s="14">
      <c r="A3081" s="24" t="n">
        <v>52648</v>
      </c>
      <c r="B3081" s="24" t="inlineStr">
        <is>
          <t>لوتشيوم-177 اي.دي.تي.ام.پي   محلول تزريقي پرنترال 200 mCi  mCi - پارس ايزوتوپ</t>
        </is>
      </c>
      <c r="C3081" s="25">
        <f>IF(COUNTIF('کدهای پیام‌داروساز'!$A$2:$A$2442,A3081)&gt;0,"بله","خیر")</f>
        <v/>
      </c>
    </row>
    <row r="3082" ht="15" customHeight="1" s="14">
      <c r="A3082" s="24" t="n">
        <v>52651</v>
      </c>
      <c r="B3082" s="24" t="inlineStr">
        <is>
          <t>روبيديم -81/کريپتون 81 ام ژنراتور   گاز استنشاقي 12 mCi  mCi - پارس ايزوتوپ</t>
        </is>
      </c>
      <c r="C3082" s="25">
        <f>IF(COUNTIF('کدهای پیام‌داروساز'!$A$2:$A$2442,A3082)&gt;0,"بله","خیر")</f>
        <v/>
      </c>
    </row>
    <row r="3083" ht="15" customHeight="1" s="14">
      <c r="A3083" s="24" t="n">
        <v>52652</v>
      </c>
      <c r="B3083" s="24" t="inlineStr">
        <is>
          <t>گاليوم-68 دوتاتيت   محلول تزريقي پرنترال 5 mCi  mCi - پارس ايزوتوپ</t>
        </is>
      </c>
      <c r="C3083" s="25">
        <f>IF(COUNTIF('کدهای پیام‌داروساز'!$A$2:$A$2442,A3083)&gt;0,"بله","خیر")</f>
        <v/>
      </c>
    </row>
    <row r="3084" ht="15" customHeight="1" s="14">
      <c r="A3084" s="24" t="n">
        <v>52653</v>
      </c>
      <c r="B3084" s="24" t="inlineStr">
        <is>
          <t>آمفوتريسين بي ليپوزوم   پودر لئوفيليزه براي تهيه محلول تزريقي پرنترال 50 mg  mg - فرا درمان آذربايجان</t>
        </is>
      </c>
      <c r="C3084" s="25">
        <f>IF(COUNTIF('کدهای پیام‌داروساز'!$A$2:$A$2442,A3084)&gt;0,"بله","خیر")</f>
        <v/>
      </c>
    </row>
    <row r="3085" ht="15" customHeight="1" s="14">
      <c r="A3085" s="24" t="n">
        <v>52654</v>
      </c>
      <c r="B3085" s="24" t="inlineStr">
        <is>
          <t>رسوچين   قرص خوراکي 250 mg - شفا ياب گستر</t>
        </is>
      </c>
      <c r="C3085" s="25">
        <f>IF(COUNTIF('کدهای پیام‌داروساز'!$A$2:$A$2442,A3085)&gt;0,"بله","خیر")</f>
        <v/>
      </c>
    </row>
    <row r="3086" ht="15" customHeight="1" s="14">
      <c r="A3086" s="24" t="n">
        <v>52656</v>
      </c>
      <c r="B3086" s="24" t="inlineStr">
        <is>
          <t>ريبابايووير   قرص خوراکي 600 mg   - باختر بيو شيمي</t>
        </is>
      </c>
      <c r="C3086" s="25">
        <f>IF(COUNTIF('کدهای پیام‌داروساز'!$A$2:$A$2442,A3086)&gt;0,"بله","خیر")</f>
        <v/>
      </c>
    </row>
    <row r="3087" ht="15" customHeight="1" s="14">
      <c r="A3087" s="24" t="n">
        <v>52657</v>
      </c>
      <c r="B3087" s="24" t="inlineStr">
        <is>
          <t>بتامتازون-حنان   کرم موضعي 0.1 % 100 g - داروسازي حنان بروجن</t>
        </is>
      </c>
      <c r="C3087" s="25">
        <f>IF(COUNTIF('کدهای پیام‌داروساز'!$A$2:$A$2442,A3087)&gt;0,"بله","خیر")</f>
        <v/>
      </c>
    </row>
    <row r="3088" ht="15" customHeight="1" s="14">
      <c r="A3088" s="24" t="n">
        <v>52658</v>
      </c>
      <c r="B3088" s="24" t="inlineStr">
        <is>
          <t>هيدروکورتيزون-حنان   پماد موضعي 1 % 100 g - داروسازي حنان بروجن</t>
        </is>
      </c>
      <c r="C3088" s="25">
        <f>IF(COUNTIF('کدهای پیام‌داروساز'!$A$2:$A$2442,A3088)&gt;0,"بله","خیر")</f>
        <v/>
      </c>
    </row>
    <row r="3089" ht="15" customHeight="1" s="14">
      <c r="A3089" s="24" t="n">
        <v>52659</v>
      </c>
      <c r="B3089" s="24" t="inlineStr">
        <is>
          <t>بتامتازون-حنان   پماد موضعي 0.1 % 100 g - داروسازي حنان بروجن</t>
        </is>
      </c>
      <c r="C3089" s="25">
        <f>IF(COUNTIF('کدهای پیام‌داروساز'!$A$2:$A$2442,A3089)&gt;0,"بله","خیر")</f>
        <v/>
      </c>
    </row>
    <row r="3090" ht="15" customHeight="1" s="14">
      <c r="A3090" s="24" t="n">
        <v>52660</v>
      </c>
      <c r="B3090" s="24" t="inlineStr">
        <is>
          <t>پنتاگلوبين   تزريقي پرنترال 50 mg/1mL 10 g - درمان آرا</t>
        </is>
      </c>
      <c r="C3090" s="25">
        <f>IF(COUNTIF('کدهای پیام‌داروساز'!$A$2:$A$2442,A3090)&gt;0,"بله","خیر")</f>
        <v/>
      </c>
    </row>
    <row r="3091" ht="15" customHeight="1" s="14">
      <c r="A3091" s="24" t="n">
        <v>52661</v>
      </c>
      <c r="B3091" s="24" t="inlineStr">
        <is>
          <t>بي دي فاوي   قرص خوراکي 200 mg - يارا طب خاورميانه</t>
        </is>
      </c>
      <c r="C3091" s="25">
        <f>IF(COUNTIF('کدهای پیام‌داروساز'!$A$2:$A$2442,A3091)&gt;0,"بله","خیر")</f>
        <v/>
      </c>
    </row>
    <row r="3092" ht="15" customHeight="1" s="14">
      <c r="A3092" s="24" t="n">
        <v>52662</v>
      </c>
      <c r="B3092" s="24" t="inlineStr">
        <is>
          <t>اديو پلاس   قرص خوراکي 500 mg/200 mg - افق توليد دارو پارس</t>
        </is>
      </c>
      <c r="C3092" s="25">
        <f>IF(COUNTIF('کدهای پیام‌داروساز'!$A$2:$A$2442,A3092)&gt;0,"بله","خیر")</f>
        <v/>
      </c>
    </row>
    <row r="3093" ht="15" customHeight="1" s="14">
      <c r="A3093" s="24" t="n">
        <v>52663</v>
      </c>
      <c r="B3093" s="24" t="inlineStr">
        <is>
          <t>ايپراتروپيوم برومايد   اسپري با دوز اندازه گيري شده از راه بيني 21 ug/1{Puff} 25 mL - داروسازي جابرابن حيان</t>
        </is>
      </c>
      <c r="C3093" s="25">
        <f>IF(COUNTIF('کدهای پیام‌داروساز'!$A$2:$A$2442,A3093)&gt;0,"بله","خیر")</f>
        <v/>
      </c>
    </row>
    <row r="3094" ht="15" customHeight="1" s="14">
      <c r="A3094" s="24" t="n">
        <v>52664</v>
      </c>
      <c r="B3094" s="24" t="inlineStr">
        <is>
          <t>ليتو خوارزمي گايافکس   شربت خوراکي 100 mg/5mL 120 mL - داروسازي خوارزمي</t>
        </is>
      </c>
      <c r="C3094" s="25">
        <f>IF(COUNTIF('کدهای پیام‌داروساز'!$A$2:$A$2442,A3094)&gt;0,"بله","خیر")</f>
        <v/>
      </c>
    </row>
    <row r="3095" ht="15" customHeight="1" s="14">
      <c r="A3095" s="24" t="n">
        <v>52665</v>
      </c>
      <c r="B3095" s="24" t="inlineStr">
        <is>
          <t>نوريزموکو   شربت خوراکي 125 mg/50 mg/2.5 mg/5mL 60 mL - داروسازي خوارزمي</t>
        </is>
      </c>
      <c r="C3095" s="25">
        <f>IF(COUNTIF('کدهای پیام‌داروساز'!$A$2:$A$2442,A3095)&gt;0,"بله","خیر")</f>
        <v/>
      </c>
    </row>
    <row r="3096" ht="15" customHeight="1" s="14">
      <c r="A3096" s="24" t="n">
        <v>52666</v>
      </c>
      <c r="B3096" s="24" t="inlineStr">
        <is>
          <t>دپوستيوا   سوسپانسيون تزريقي پيوسته رهش داخل مفصلي 32 mg  mg - نانو دارو پژوهان پرديس</t>
        </is>
      </c>
      <c r="C3096" s="25">
        <f>IF(COUNTIF('کدهای پیام‌داروساز'!$A$2:$A$2442,A3096)&gt;0,"بله","خیر")</f>
        <v/>
      </c>
    </row>
    <row r="3097" ht="15" customHeight="1" s="14">
      <c r="A3097" s="24" t="n">
        <v>52667</v>
      </c>
      <c r="B3097" s="24" t="inlineStr">
        <is>
          <t>يوفوژل (ويژه آقايان)   ژل موضعي 1 % 20 g - پارس دارو</t>
        </is>
      </c>
      <c r="C3097" s="25">
        <f>IF(COUNTIF('کدهای پیام‌داروساز'!$A$2:$A$2442,A3097)&gt;0,"بله","خیر")</f>
        <v/>
      </c>
    </row>
    <row r="3098" ht="15" customHeight="1" s="14">
      <c r="A3098" s="24" t="n">
        <v>52668</v>
      </c>
      <c r="B3098" s="24" t="inlineStr">
        <is>
          <t>رينوتوس دي   شربت خوراکي 2 mg/15 mg/5 mg/5mL 120 mL - داروسازي توليد دارو</t>
        </is>
      </c>
      <c r="C3098" s="25">
        <f>IF(COUNTIF('کدهای پیام‌داروساز'!$A$2:$A$2442,A3098)&gt;0,"بله","خیر")</f>
        <v/>
      </c>
    </row>
    <row r="3099" ht="15" customHeight="1" s="14">
      <c r="A3099" s="24" t="n">
        <v>52670</v>
      </c>
      <c r="B3099" s="24" t="inlineStr">
        <is>
          <t>دزوکوئل   پماد موضعي 0.05 % 15 g - پارس دارو</t>
        </is>
      </c>
      <c r="C3099" s="25">
        <f>IF(COUNTIF('کدهای پیام‌داروساز'!$A$2:$A$2442,A3099)&gt;0,"بله","خیر")</f>
        <v/>
      </c>
    </row>
    <row r="3100" ht="15" customHeight="1" s="14">
      <c r="A3100" s="24" t="n">
        <v>52671</v>
      </c>
      <c r="B3100" s="24" t="inlineStr">
        <is>
          <t>ژانونايد   ژل موضعي 0.05 % 15 g - ژرف انديشان نويد سلامت</t>
        </is>
      </c>
      <c r="C3100" s="25">
        <f>IF(COUNTIF('کدهای پیام‌داروساز'!$A$2:$A$2442,A3100)&gt;0,"بله","خیر")</f>
        <v/>
      </c>
    </row>
    <row r="3101" ht="15" customHeight="1" s="14">
      <c r="A3101" s="24" t="n">
        <v>52672</v>
      </c>
      <c r="B3101" s="24" t="inlineStr">
        <is>
          <t>اينتسا   قرص پيوسته رهش خوراکي 1200 mg</t>
        </is>
      </c>
      <c r="C3101" s="25">
        <f>IF(COUNTIF('کدهای پیام‌داروساز'!$A$2:$A$2442,A3101)&gt;0,"بله","خیر")</f>
        <v/>
      </c>
    </row>
    <row r="3102" ht="15" customHeight="1" s="14">
      <c r="A3102" s="24" t="n">
        <v>52673</v>
      </c>
      <c r="B3102" s="24" t="inlineStr">
        <is>
          <t>اوپريو   سوسپانسيون خوراکي 1 mg/1 mL 120 mL - داروسازي تهران شيمي</t>
        </is>
      </c>
      <c r="C3102" s="25">
        <f>IF(COUNTIF('کدهای پیام‌داروساز'!$A$2:$A$2442,A3102)&gt;0,"بله","خیر")</f>
        <v/>
      </c>
    </row>
    <row r="3103" ht="15" customHeight="1" s="14">
      <c r="A3103" s="24" t="n">
        <v>52674</v>
      </c>
      <c r="B3103" s="24" t="inlineStr">
        <is>
          <t>سايکوکالم   محلول خوراکي 25 mg/5mL 125 mL - اوکسين داروي وشت</t>
        </is>
      </c>
      <c r="C3103" s="25">
        <f>IF(COUNTIF('کدهای پیام‌داروساز'!$A$2:$A$2442,A3103)&gt;0,"بله","خیر")</f>
        <v/>
      </c>
    </row>
    <row r="3104" ht="15" customHeight="1" s="14">
      <c r="A3104" s="24" t="n">
        <v>52675</v>
      </c>
      <c r="B3104" s="24" t="inlineStr">
        <is>
          <t>مکسوپرازول   گرانول انتريک کوتد خوراکي 2.5 mg  mg - داروسازي سامي ساز</t>
        </is>
      </c>
      <c r="C3104" s="25">
        <f>IF(COUNTIF('کدهای پیام‌داروساز'!$A$2:$A$2442,A3104)&gt;0,"بله","خیر")</f>
        <v/>
      </c>
    </row>
    <row r="3105" ht="15" customHeight="1" s="14">
      <c r="A3105" s="24" t="n">
        <v>52676</v>
      </c>
      <c r="B3105" s="24" t="inlineStr">
        <is>
          <t>اي سي کيور ام ال ايي   ژل موضعي 0.1 %/2.5 % 15 g - پارس بهروزان جم</t>
        </is>
      </c>
      <c r="C3105" s="25">
        <f>IF(COUNTIF('کدهای پیام‌داروساز'!$A$2:$A$2442,A3105)&gt;0,"بله","خیر")</f>
        <v/>
      </c>
    </row>
    <row r="3106" ht="15" customHeight="1" s="14">
      <c r="A3106" s="24" t="n">
        <v>52677</v>
      </c>
      <c r="B3106" s="24" t="inlineStr">
        <is>
          <t>انتکاوير   قرص خوراکي 0.5 mg - صنعت دارويي شاري</t>
        </is>
      </c>
      <c r="C3106" s="25">
        <f>IF(COUNTIF('کدهای پیام‌داروساز'!$A$2:$A$2442,A3106)&gt;0,"بله","خیر")</f>
        <v/>
      </c>
    </row>
    <row r="3107" ht="15" customHeight="1" s="14">
      <c r="A3107" s="24" t="n">
        <v>52681</v>
      </c>
      <c r="B3107" s="24" t="inlineStr">
        <is>
          <t>هيستاپرل   کپسول حاوي مايع خوراکي 4 mg/10 mg - داروسازي زهراوي</t>
        </is>
      </c>
      <c r="C3107" s="25">
        <f>IF(COUNTIF('کدهای پیام‌داروساز'!$A$2:$A$2442,A3107)&gt;0,"بله","خیر")</f>
        <v/>
      </c>
    </row>
    <row r="3108" ht="15" customHeight="1" s="14">
      <c r="A3108" s="24" t="n">
        <v>52684</v>
      </c>
      <c r="B3108" s="24" t="inlineStr">
        <is>
          <t>دياسکين تست   محلول تزريقي داخل جلدي  3 mL - بيوسان فارمد</t>
        </is>
      </c>
      <c r="C3108" s="25">
        <f>IF(COUNTIF('کدهای پیام‌داروساز'!$A$2:$A$2442,A3108)&gt;0,"بله","خیر")</f>
        <v/>
      </c>
    </row>
    <row r="3109" ht="15" customHeight="1" s="14">
      <c r="A3109" s="24" t="n">
        <v>52685</v>
      </c>
      <c r="B3109" s="24" t="inlineStr">
        <is>
          <t>دلتابرن   پماد موضعي 0.44 g/20.625 g/10 g/100 g 30 g - دلتا دارو</t>
        </is>
      </c>
      <c r="C3109" s="25">
        <f>IF(COUNTIF('کدهای پیام‌داروساز'!$A$2:$A$2442,A3109)&gt;0,"بله","خیر")</f>
        <v/>
      </c>
    </row>
    <row r="3110" ht="15" customHeight="1" s="14">
      <c r="A3110" s="24" t="n">
        <v>52686</v>
      </c>
      <c r="B3110" s="24" t="inlineStr">
        <is>
          <t>دلتابرن   پماد موضعي 0.44 g/20.625 g/10 g/100 g 60 g - دلتا دارو</t>
        </is>
      </c>
      <c r="C3110" s="25">
        <f>IF(COUNTIF('کدهای پیام‌داروساز'!$A$2:$A$2442,A3110)&gt;0,"بله","خیر")</f>
        <v/>
      </c>
    </row>
    <row r="3111" ht="15" customHeight="1" s="14">
      <c r="A3111" s="24" t="n">
        <v>52688</v>
      </c>
      <c r="B3111" s="24" t="inlineStr">
        <is>
          <t>اکسابن   قرص خوراکي 10 mg - داروسازي ابوريحان</t>
        </is>
      </c>
      <c r="C3111" s="25">
        <f>IF(COUNTIF('کدهای پیام‌داروساز'!$A$2:$A$2442,A3111)&gt;0,"بله","خیر")</f>
        <v/>
      </c>
    </row>
    <row r="3112" ht="15" customHeight="1" s="14">
      <c r="A3112" s="24" t="n">
        <v>52689</v>
      </c>
      <c r="B3112" s="24" t="inlineStr">
        <is>
          <t>اکسيرال   پودر براي تهيه محلول تزريقي پرنترال 100 mg  mg - داروسازي اکسير</t>
        </is>
      </c>
      <c r="C3112" s="25">
        <f>IF(COUNTIF('کدهای پیام‌داروساز'!$A$2:$A$2442,A3112)&gt;0,"بله","خیر")</f>
        <v/>
      </c>
    </row>
    <row r="3113" ht="15" customHeight="1" s="14">
      <c r="A3113" s="24" t="n">
        <v>52690</v>
      </c>
      <c r="B3113" s="24" t="inlineStr">
        <is>
          <t>بنترا   تزريقي پرنترال 25 mg/1mL 4 mL - داروسازي سبحان انکولوژي</t>
        </is>
      </c>
      <c r="C3113" s="25">
        <f>IF(COUNTIF('کدهای پیام‌داروساز'!$A$2:$A$2442,A3113)&gt;0,"بله","خیر")</f>
        <v/>
      </c>
    </row>
    <row r="3114" ht="15" customHeight="1" s="14">
      <c r="A3114" s="24" t="n">
        <v>52691</v>
      </c>
      <c r="B3114" s="24" t="inlineStr">
        <is>
          <t>امپاور پلاس   قرص پيوسته رهش خوراکي 5 mg/1000 mg - اکتوورکو</t>
        </is>
      </c>
      <c r="C3114" s="25">
        <f>IF(COUNTIF('کدهای پیام‌داروساز'!$A$2:$A$2442,A3114)&gt;0,"بله","خیر")</f>
        <v/>
      </c>
    </row>
    <row r="3115" ht="15" customHeight="1" s="14">
      <c r="A3115" s="24" t="n">
        <v>52692</v>
      </c>
      <c r="B3115" s="24" t="inlineStr">
        <is>
          <t>امپاور پلاس   قرص پيوسته رهش خوراکي 12.5 mg/1000 mg - اکتوورکو</t>
        </is>
      </c>
      <c r="C3115" s="25">
        <f>IF(COUNTIF('کدهای پیام‌داروساز'!$A$2:$A$2442,A3115)&gt;0,"بله","خیر")</f>
        <v/>
      </c>
    </row>
    <row r="3116" ht="15" customHeight="1" s="14">
      <c r="A3116" s="24" t="n">
        <v>52693</v>
      </c>
      <c r="B3116" s="24" t="inlineStr">
        <is>
          <t>آپيدان اکستنت   قرص پيوسته رهش خوراکي 150 mg - داروئي ارايشي وبهداشتي مينو</t>
        </is>
      </c>
      <c r="C3116" s="25">
        <f>IF(COUNTIF('کدهای پیام‌داروساز'!$A$2:$A$2442,A3116)&gt;0,"بله","خیر")</f>
        <v/>
      </c>
    </row>
    <row r="3117" ht="15" customHeight="1" s="14">
      <c r="A3117" s="24" t="n">
        <v>52694</v>
      </c>
      <c r="B3117" s="24" t="inlineStr">
        <is>
          <t>آپيدان اکستنت   قرص پيوسته رهش خوراکي 300 mg - داروئي ارايشي وبهداشتي مينو</t>
        </is>
      </c>
      <c r="C3117" s="25">
        <f>IF(COUNTIF('کدهای پیام‌داروساز'!$A$2:$A$2442,A3117)&gt;0,"بله","خیر")</f>
        <v/>
      </c>
    </row>
    <row r="3118" ht="15" customHeight="1" s="14">
      <c r="A3118" s="24" t="n">
        <v>52695</v>
      </c>
      <c r="B3118" s="24" t="inlineStr">
        <is>
          <t>اسکاي سل فلو چهار ظرفيتي   تزريقي پرنترال 1 {dose}  mL - رستا ژن دارو</t>
        </is>
      </c>
      <c r="C3118" s="25">
        <f>IF(COUNTIF('کدهای پیام‌داروساز'!$A$2:$A$2442,A3118)&gt;0,"بله","خیر")</f>
        <v/>
      </c>
    </row>
    <row r="3119" ht="15" customHeight="1" s="14">
      <c r="A3119" s="24" t="n">
        <v>52696</v>
      </c>
      <c r="B3119" s="24" t="inlineStr">
        <is>
          <t>دايمکت   قرص جويدني خوراکي 125 mg - سبحان دارو</t>
        </is>
      </c>
      <c r="C3119" s="25">
        <f>IF(COUNTIF('کدهای پیام‌داروساز'!$A$2:$A$2442,A3119)&gt;0,"بله","خیر")</f>
        <v/>
      </c>
    </row>
    <row r="3120" ht="15" customHeight="1" s="14">
      <c r="A3120" s="24" t="n">
        <v>52698</v>
      </c>
      <c r="B3120" s="24" t="inlineStr">
        <is>
          <t>اپتوئين   سوسپانسيون خوراکي 30 mg/5mL 200 mL - دارو بهداشت درنا</t>
        </is>
      </c>
      <c r="C3120" s="25">
        <f>IF(COUNTIF('کدهای پیام‌داروساز'!$A$2:$A$2442,A3120)&gt;0,"بله","خیر")</f>
        <v/>
      </c>
    </row>
    <row r="3121" ht="15" customHeight="1" s="14">
      <c r="A3121" s="24" t="n">
        <v>52700</v>
      </c>
      <c r="B3121" s="24" t="inlineStr">
        <is>
          <t>ايبرونب   قرص خوراکي 140 mg - شيميائي و داروئي باران</t>
        </is>
      </c>
      <c r="C3121" s="25">
        <f>IF(COUNTIF('کدهای پیام‌داروساز'!$A$2:$A$2442,A3121)&gt;0,"بله","خیر")</f>
        <v/>
      </c>
    </row>
    <row r="3122" ht="15" customHeight="1" s="14">
      <c r="A3122" s="24" t="n">
        <v>52701</v>
      </c>
      <c r="B3122" s="24" t="inlineStr">
        <is>
          <t>واريو کلد   پودر براي تهيه محلول خوراکي 500 mg/10 mg/4 mg  g - تحقيقاتي و توليدي واريان فارمد</t>
        </is>
      </c>
      <c r="C3122" s="25">
        <f>IF(COUNTIF('کدهای پیام‌داروساز'!$A$2:$A$2442,A3122)&gt;0,"بله","خیر")</f>
        <v/>
      </c>
    </row>
    <row r="3123" ht="15" customHeight="1" s="14">
      <c r="A3123" s="24" t="n">
        <v>52703</v>
      </c>
      <c r="B3123" s="24" t="inlineStr">
        <is>
          <t>اتانول   محلول غير قابل مصرف 96 % 5 L - خميرمايه و الکل رازي</t>
        </is>
      </c>
      <c r="C3123" s="25">
        <f>IF(COUNTIF('کدهای پیام‌داروساز'!$A$2:$A$2442,A3123)&gt;0,"بله","خیر")</f>
        <v/>
      </c>
    </row>
    <row r="3124" ht="15" customHeight="1" s="14">
      <c r="A3124" s="24" t="n">
        <v>52704</v>
      </c>
      <c r="B3124" s="24" t="inlineStr">
        <is>
          <t>اتانول   محلول غير قابل مصرف 70 % 2.5 L - توليدي الکل و مواد غذايي ويسيان خرم آباد</t>
        </is>
      </c>
      <c r="C3124" s="25">
        <f>IF(COUNTIF('کدهای پیام‌داروساز'!$A$2:$A$2442,A3124)&gt;0,"بله","خیر")</f>
        <v/>
      </c>
    </row>
    <row r="3125" ht="15" customHeight="1" s="14">
      <c r="A3125" s="24" t="n">
        <v>52705</v>
      </c>
      <c r="B3125" s="24" t="inlineStr">
        <is>
          <t>ديکلوفناک سديم   محلول موضعي 2 % 60 mL - هيواد دارو ايرانيان</t>
        </is>
      </c>
      <c r="C3125" s="25">
        <f>IF(COUNTIF('کدهای پیام‌داروساز'!$A$2:$A$2442,A3125)&gt;0,"بله","خیر")</f>
        <v/>
      </c>
    </row>
    <row r="3126" ht="15" customHeight="1" s="14">
      <c r="A3126" s="24" t="n">
        <v>52706</v>
      </c>
      <c r="B3126" s="24" t="inlineStr">
        <is>
          <t>اکتمرا   محلول تزريقي پرنترال 162 mg/0.9mL  mL - رايان دارو ايرانيان</t>
        </is>
      </c>
      <c r="C3126" s="25">
        <f>IF(COUNTIF('کدهای پیام‌داروساز'!$A$2:$A$2442,A3126)&gt;0,"بله","خیر")</f>
        <v/>
      </c>
    </row>
    <row r="3127" ht="15" customHeight="1" s="14">
      <c r="A3127" s="24" t="n">
        <v>52707</v>
      </c>
      <c r="B3127" s="24" t="inlineStr">
        <is>
          <t>اسپريم ال   محلول تزريقي پرنترال 5 mg/1mL 20 mL - بازرگاني سها کيش</t>
        </is>
      </c>
      <c r="C3127" s="25">
        <f>IF(COUNTIF('کدهای پیام‌داروساز'!$A$2:$A$2442,A3127)&gt;0,"بله","خیر")</f>
        <v/>
      </c>
    </row>
    <row r="3128" ht="15" customHeight="1" s="14">
      <c r="A3128" s="24" t="n">
        <v>52708</v>
      </c>
      <c r="B3128" s="24" t="inlineStr">
        <is>
          <t>پنوموسيل   تزريقي پرنترال  2.5 {dose} - هيات امناي صرفه جويي ارزي در معالجه بيماران</t>
        </is>
      </c>
      <c r="C3128" s="25">
        <f>IF(COUNTIF('کدهای پیام‌داروساز'!$A$2:$A$2442,A3128)&gt;0,"بله","خیر")</f>
        <v/>
      </c>
    </row>
    <row r="3129" ht="15" customHeight="1" s="14">
      <c r="A3129" s="24" t="n">
        <v>52709</v>
      </c>
      <c r="B3129" s="24" t="inlineStr">
        <is>
          <t>نرلينکس   قرص خوراکي 40 mg - بازرگاني سها کيش</t>
        </is>
      </c>
      <c r="C3129" s="25">
        <f>IF(COUNTIF('کدهای پیام‌داروساز'!$A$2:$A$2442,A3129)&gt;0,"بله","خیر")</f>
        <v/>
      </c>
    </row>
    <row r="3130" ht="15" customHeight="1" s="14">
      <c r="A3130" s="24" t="n">
        <v>52710</v>
      </c>
      <c r="B3130" s="24" t="inlineStr">
        <is>
          <t>ويتامين ب12   محلول تزريقي پرنترال 1500 ug/1mL 1 ug - بازرگاني سها کيش</t>
        </is>
      </c>
      <c r="C3130" s="25">
        <f>IF(COUNTIF('کدهای پیام‌داروساز'!$A$2:$A$2442,A3130)&gt;0,"بله","خیر")</f>
        <v/>
      </c>
    </row>
    <row r="3131" ht="15" customHeight="1" s="14">
      <c r="A3131" s="24" t="n">
        <v>52711</v>
      </c>
      <c r="B3131" s="24" t="inlineStr">
        <is>
          <t>بلينسايتو   پودر براي تهيه محلول تزريقي پرنترال 38.5 ug  ug - بهستان دارو</t>
        </is>
      </c>
      <c r="C3131" s="25">
        <f>IF(COUNTIF('کدهای پیام‌داروساز'!$A$2:$A$2442,A3131)&gt;0,"بله","خیر")</f>
        <v/>
      </c>
    </row>
    <row r="3132" ht="15" customHeight="1" s="14">
      <c r="A3132" s="24" t="n">
        <v>52712</v>
      </c>
      <c r="B3132" s="24" t="inlineStr">
        <is>
          <t>درموفيکس   شياف واژينال 300 mg - اکتوورکو</t>
        </is>
      </c>
      <c r="C3132" s="25">
        <f>IF(COUNTIF('کدهای پیام‌داروساز'!$A$2:$A$2442,A3132)&gt;0,"بله","خیر")</f>
        <v/>
      </c>
    </row>
    <row r="3133" ht="15" customHeight="1" s="14">
      <c r="A3133" s="24" t="n">
        <v>52713</v>
      </c>
      <c r="B3133" s="24" t="inlineStr">
        <is>
          <t>رکسيمد   محلول غليظ تزريقي پرنترال 100 mg/1mL 5 mg - نانو فناوران داروئي الوند</t>
        </is>
      </c>
      <c r="C3133" s="25">
        <f>IF(COUNTIF('کدهای پیام‌داروساز'!$A$2:$A$2442,A3133)&gt;0,"بله","خیر")</f>
        <v/>
      </c>
    </row>
    <row r="3134" ht="15" customHeight="1" s="14">
      <c r="A3134" s="24" t="n">
        <v>52714</v>
      </c>
      <c r="B3134" s="24" t="inlineStr">
        <is>
          <t>رکسيمد   محلول غليظ تزريقي پرنترال 100 mg/1mL 10 mg - نانو فناوران داروئي الوند</t>
        </is>
      </c>
      <c r="C3134" s="25">
        <f>IF(COUNTIF('کدهای پیام‌داروساز'!$A$2:$A$2442,A3134)&gt;0,"بله","خیر")</f>
        <v/>
      </c>
    </row>
    <row r="3135" ht="15" customHeight="1" s="14">
      <c r="A3135" s="24" t="n">
        <v>52715</v>
      </c>
      <c r="B3135" s="24" t="inlineStr">
        <is>
          <t>رکسيمد   محلول غليظ تزريقي پرنترال 100 mg/1mL 50 mg - نانو فناوران داروئي الوند</t>
        </is>
      </c>
      <c r="C3135" s="25">
        <f>IF(COUNTIF('کدهای پیام‌داروساز'!$A$2:$A$2442,A3135)&gt;0,"بله","خیر")</f>
        <v/>
      </c>
    </row>
    <row r="3136" ht="15" customHeight="1" s="14">
      <c r="A3136" s="24" t="n">
        <v>52716</v>
      </c>
      <c r="B3136" s="24" t="inlineStr">
        <is>
          <t>آدمپاس   قرص خوراکي 1 mg - بازرگاني سها کيش</t>
        </is>
      </c>
      <c r="C3136" s="25">
        <f>IF(COUNTIF('کدهای پیام‌داروساز'!$A$2:$A$2442,A3136)&gt;0,"بله","خیر")</f>
        <v/>
      </c>
    </row>
    <row r="3137" ht="15" customHeight="1" s="14">
      <c r="A3137" s="24" t="n">
        <v>52717</v>
      </c>
      <c r="B3137" s="24" t="inlineStr">
        <is>
          <t>رنولا   پودر براي تهيه سوسپانسيون   خوراکي 800 mg  mg - کوبل دارو</t>
        </is>
      </c>
      <c r="C3137" s="25">
        <f>IF(COUNTIF('کدهای پیام‌داروساز'!$A$2:$A$2442,A3137)&gt;0,"بله","خیر")</f>
        <v/>
      </c>
    </row>
    <row r="3138" ht="15" customHeight="1" s="14">
      <c r="A3138" s="24" t="n">
        <v>52718</v>
      </c>
      <c r="B3138" s="24" t="inlineStr">
        <is>
          <t>اپي پن   محلول تزريقي پرنترال 0.3 mg/0.3mL 2 mL - سينا پيشگام دارو نوين</t>
        </is>
      </c>
      <c r="C3138" s="25">
        <f>IF(COUNTIF('کدهای پیام‌داروساز'!$A$2:$A$2442,A3138)&gt;0,"بله","خیر")</f>
        <v/>
      </c>
    </row>
    <row r="3139" ht="15" customHeight="1" s="14">
      <c r="A3139" s="24" t="n">
        <v>52719</v>
      </c>
      <c r="B3139" s="24" t="inlineStr">
        <is>
          <t>پکنوگرف   تزريقي پرنترال 270 mg/1mL 100 mg - رويان دارو</t>
        </is>
      </c>
      <c r="C3139" s="25">
        <f>IF(COUNTIF('کدهای پیام‌داروساز'!$A$2:$A$2442,A3139)&gt;0,"بله","خیر")</f>
        <v/>
      </c>
    </row>
    <row r="3140" ht="15" customHeight="1" s="14">
      <c r="A3140" s="24" t="n">
        <v>52720</v>
      </c>
      <c r="B3140" s="24" t="inlineStr">
        <is>
          <t>پراليم   محلول تزريقي پرنترال 20 mg/1mL 1 mg - نانو فناوران داروئي الوند</t>
        </is>
      </c>
      <c r="C3140" s="25">
        <f>IF(COUNTIF('کدهای پیام‌داروساز'!$A$2:$A$2442,A3140)&gt;0,"بله","خیر")</f>
        <v/>
      </c>
    </row>
    <row r="3141" ht="15" customHeight="1" s="14">
      <c r="A3141" s="24" t="n">
        <v>52722</v>
      </c>
      <c r="B3141" s="24" t="inlineStr">
        <is>
          <t>آيبرکت   کپسول خوراکي 100 mg - اکترو خاورميانه</t>
        </is>
      </c>
      <c r="C3141" s="25">
        <f>IF(COUNTIF('کدهای پیام‌داروساز'!$A$2:$A$2442,A3141)&gt;0,"بله","خیر")</f>
        <v/>
      </c>
    </row>
    <row r="3142" ht="15" customHeight="1" s="14">
      <c r="A3142" s="24" t="n">
        <v>52723</v>
      </c>
      <c r="B3142" s="24" t="inlineStr">
        <is>
          <t>آيبرکت   کپسول خوراکي 75 mg - اکترو خاورميانه</t>
        </is>
      </c>
      <c r="C3142" s="25">
        <f>IF(COUNTIF('کدهای پیام‌داروساز'!$A$2:$A$2442,A3142)&gt;0,"بله","خیر")</f>
        <v/>
      </c>
    </row>
    <row r="3143" ht="15" customHeight="1" s="14">
      <c r="A3143" s="24" t="n">
        <v>52725</v>
      </c>
      <c r="B3143" s="24" t="inlineStr">
        <is>
          <t>کلديز   قرص خوراکي 15 mg/5 mg/325 mg - صنعتي کيميدارو</t>
        </is>
      </c>
      <c r="C3143" s="25">
        <f>IF(COUNTIF('کدهای پیام‌داروساز'!$A$2:$A$2442,A3143)&gt;0,"بله","خیر")</f>
        <v/>
      </c>
    </row>
    <row r="3144" ht="15" customHeight="1" s="14">
      <c r="A3144" s="24" t="n">
        <v>52727</v>
      </c>
      <c r="B3144" s="24" t="inlineStr">
        <is>
          <t>اوروسيترا   قرص پيوسته رهش خوراکي 15 meq - سبحان دارو</t>
        </is>
      </c>
      <c r="C3144" s="25">
        <f>IF(COUNTIF('کدهای پیام‌داروساز'!$A$2:$A$2442,A3144)&gt;0,"بله","خیر")</f>
        <v/>
      </c>
    </row>
    <row r="3145" ht="15" customHeight="1" s="14">
      <c r="A3145" s="24" t="n">
        <v>52728</v>
      </c>
      <c r="B3145" s="24" t="inlineStr">
        <is>
          <t>الانيب   قرص خوراکي 150 mg - اوتانا فارمد گستر</t>
        </is>
      </c>
      <c r="C3145" s="25">
        <f>IF(COUNTIF('کدهای پیام‌داروساز'!$A$2:$A$2442,A3145)&gt;0,"بله","خیر")</f>
        <v/>
      </c>
    </row>
    <row r="3146" ht="15" customHeight="1" s="14">
      <c r="A3146" s="24" t="n">
        <v>52730</v>
      </c>
      <c r="B3146" s="24" t="inlineStr">
        <is>
          <t>بيسوتا اچ سي تي   قرص خوراکي 2.5 mg/6.25 mg - داروسازي سامي ساز</t>
        </is>
      </c>
      <c r="C3146" s="25">
        <f>IF(COUNTIF('کدهای پیام‌داروساز'!$A$2:$A$2442,A3146)&gt;0,"بله","خیر")</f>
        <v/>
      </c>
    </row>
    <row r="3147" ht="15" customHeight="1" s="14">
      <c r="A3147" s="24" t="n">
        <v>52731</v>
      </c>
      <c r="B3147" s="24" t="inlineStr">
        <is>
          <t>بيسوتا اچ سي تي   قرص خوراکي 5 mg/6.25 mg - داروسازي سامي ساز</t>
        </is>
      </c>
      <c r="C3147" s="25">
        <f>IF(COUNTIF('کدهای پیام‌داروساز'!$A$2:$A$2442,A3147)&gt;0,"بله","خیر")</f>
        <v/>
      </c>
    </row>
    <row r="3148" ht="15" customHeight="1" s="14">
      <c r="A3148" s="24" t="n">
        <v>52732</v>
      </c>
      <c r="B3148" s="24" t="inlineStr">
        <is>
          <t>بيسوتا اچ سي تي   قرص خوراکي 10 mg/6.25 mg - داروسازي سامي ساز</t>
        </is>
      </c>
      <c r="C3148" s="25">
        <f>IF(COUNTIF('کدهای پیام‌داروساز'!$A$2:$A$2442,A3148)&gt;0,"بله","خیر")</f>
        <v/>
      </c>
    </row>
    <row r="3149" ht="15" customHeight="1" s="14">
      <c r="A3149" s="24" t="n">
        <v>52733</v>
      </c>
      <c r="B3149" s="24" t="inlineStr">
        <is>
          <t>بيسوتا اچ سي تي   قرص خوراکي 5 mg/12.5 mg - داروسازي سامي ساز</t>
        </is>
      </c>
      <c r="C3149" s="25">
        <f>IF(COUNTIF('کدهای پیام‌داروساز'!$A$2:$A$2442,A3149)&gt;0,"بله","خیر")</f>
        <v/>
      </c>
    </row>
    <row r="3150" ht="15" customHeight="1" s="14">
      <c r="A3150" s="24" t="n">
        <v>52734</v>
      </c>
      <c r="B3150" s="24" t="inlineStr">
        <is>
          <t>بيسوتا اچ سي تي   قرص خوراکي 10 mg/25 mg - داروسازي سامي ساز</t>
        </is>
      </c>
      <c r="C3150" s="25">
        <f>IF(COUNTIF('کدهای پیام‌داروساز'!$A$2:$A$2442,A3150)&gt;0,"بله","خیر")</f>
        <v/>
      </c>
    </row>
    <row r="3151" ht="15" customHeight="1" s="14">
      <c r="A3151" s="24" t="n">
        <v>52735</v>
      </c>
      <c r="B3151" s="24" t="inlineStr">
        <is>
          <t>آلسنسا   کپسول خوراکي 150 mg - اوزان</t>
        </is>
      </c>
      <c r="C3151" s="25">
        <f>IF(COUNTIF('کدهای پیام‌داروساز'!$A$2:$A$2442,A3151)&gt;0,"بله","خیر")</f>
        <v/>
      </c>
    </row>
    <row r="3152" ht="15" customHeight="1" s="14">
      <c r="A3152" s="24" t="n">
        <v>52736</v>
      </c>
      <c r="B3152" s="24" t="inlineStr">
        <is>
          <t>ليتو خوارزمي موکورانت   شربت خوراکي 100 mg/2 mg/30 mg/5mL 120 mL - داروسازي خوارزمي</t>
        </is>
      </c>
      <c r="C3152" s="25">
        <f>IF(COUNTIF('کدهای پیام‌داروساز'!$A$2:$A$2442,A3152)&gt;0,"بله","خیر")</f>
        <v/>
      </c>
    </row>
    <row r="3153" ht="15" customHeight="1" s="14">
      <c r="A3153" s="24" t="n">
        <v>52737</v>
      </c>
      <c r="B3153" s="24" t="inlineStr">
        <is>
          <t>پارومومايسين   پماد موضعي 15 % 30 g - بازرگاني سها کيش</t>
        </is>
      </c>
      <c r="C3153" s="25">
        <f>IF(COUNTIF('کدهای پیام‌داروساز'!$A$2:$A$2442,A3153)&gt;0,"بله","خیر")</f>
        <v/>
      </c>
    </row>
    <row r="3154" ht="15" customHeight="1" s="14">
      <c r="A3154" s="24" t="n">
        <v>52738</v>
      </c>
      <c r="B3154" s="24" t="inlineStr">
        <is>
          <t>ترکسوما   محلول تزريقي پرنترال 50 mg/1mL 0.25 mg - نانو فناوران داروئي الوند</t>
        </is>
      </c>
      <c r="C3154" s="25">
        <f>IF(COUNTIF('کدهای پیام‌داروساز'!$A$2:$A$2442,A3154)&gt;0,"بله","خیر")</f>
        <v/>
      </c>
    </row>
    <row r="3155" ht="15" customHeight="1" s="14">
      <c r="A3155" s="24" t="n">
        <v>52739</v>
      </c>
      <c r="B3155" s="24" t="inlineStr">
        <is>
          <t>ترکسوما   محلول تزريقي پرنترال 50 mg/1mL 0.35 mg - نانو فناوران داروئي الوند</t>
        </is>
      </c>
      <c r="C3155" s="25">
        <f>IF(COUNTIF('کدهای پیام‌داروساز'!$A$2:$A$2442,A3155)&gt;0,"بله","خیر")</f>
        <v/>
      </c>
    </row>
    <row r="3156" ht="15" customHeight="1" s="14">
      <c r="A3156" s="24" t="n">
        <v>52740</v>
      </c>
      <c r="B3156" s="24" t="inlineStr">
        <is>
          <t>ترکسوما   محلول تزريقي پرنترال 50 mg/1mL 0.45 mg - نانو فناوران داروئي الوند</t>
        </is>
      </c>
      <c r="C3156" s="25">
        <f>IF(COUNTIF('کدهای پیام‌داروساز'!$A$2:$A$2442,A3156)&gt;0,"بله","خیر")</f>
        <v/>
      </c>
    </row>
    <row r="3157" ht="15" customHeight="1" s="14">
      <c r="A3157" s="24" t="n">
        <v>52741</v>
      </c>
      <c r="B3157" s="24" t="inlineStr">
        <is>
          <t>پروپس   اينسرت پيوسته رهش واژينال 10 mg  mg - درمان ياب دارو</t>
        </is>
      </c>
      <c r="C3157" s="25">
        <f>IF(COUNTIF('کدهای پیام‌داروساز'!$A$2:$A$2442,A3157)&gt;0,"بله","خیر")</f>
        <v/>
      </c>
    </row>
    <row r="3158" ht="15" customHeight="1" s="14">
      <c r="A3158" s="24" t="n">
        <v>52742</v>
      </c>
      <c r="B3158" s="24" t="inlineStr">
        <is>
          <t>آرنوکسا   محلول غليظ تزريقي پرنترال 300 mg/16.7mL  mg - زيست اروند فارمد</t>
        </is>
      </c>
      <c r="C3158" s="25">
        <f>IF(COUNTIF('کدهای پیام‌داروساز'!$A$2:$A$2442,A3158)&gt;0,"بله","خیر")</f>
        <v/>
      </c>
    </row>
    <row r="3159" ht="15" customHeight="1" s="14">
      <c r="A3159" s="24" t="n">
        <v>52743</v>
      </c>
      <c r="B3159" s="24" t="inlineStr">
        <is>
          <t>قرص ليپزيب 10/10 ميلي گرم(آتورواستاتين+ازتيمايب)</t>
        </is>
      </c>
      <c r="C3159" s="25">
        <f>IF(COUNTIF('کدهای پیام‌داروساز'!$A$2:$A$2442,A3159)&gt;0,"بله","خیر")</f>
        <v/>
      </c>
    </row>
    <row r="3160" ht="15" customHeight="1" s="14">
      <c r="A3160" s="24" t="n">
        <v>52744</v>
      </c>
      <c r="B3160" s="24" t="inlineStr">
        <is>
          <t>ليپزيب   قرص خوراکي 20 mg/10 mg - نيک آسا فارمد</t>
        </is>
      </c>
      <c r="C3160" s="25">
        <f>IF(COUNTIF('کدهای پیام‌داروساز'!$A$2:$A$2442,A3160)&gt;0,"بله","خیر")</f>
        <v/>
      </c>
    </row>
    <row r="3161" ht="15" customHeight="1" s="14">
      <c r="A3161" s="24" t="n">
        <v>52745</v>
      </c>
      <c r="B3161" s="24" t="inlineStr">
        <is>
          <t>ليپزيب   قرص خوراکي 40 mg/10 mg - نيک آسا فارمد</t>
        </is>
      </c>
      <c r="C3161" s="25">
        <f>IF(COUNTIF('کدهای پیام‌داروساز'!$A$2:$A$2442,A3161)&gt;0,"بله","خیر")</f>
        <v/>
      </c>
    </row>
    <row r="3162" ht="15" customHeight="1" s="14">
      <c r="A3162" s="24" t="n">
        <v>52746</v>
      </c>
      <c r="B3162" s="24" t="inlineStr">
        <is>
          <t>ليپزيب   قرص خوراکي 80 mg/10 mg - نيک آسا فارمد</t>
        </is>
      </c>
      <c r="C3162" s="25">
        <f>IF(COUNTIF('کدهای پیام‌داروساز'!$A$2:$A$2442,A3162)&gt;0,"بله","خیر")</f>
        <v/>
      </c>
    </row>
    <row r="3163" ht="15" customHeight="1" s="14">
      <c r="A3163" s="24" t="n">
        <v>52747</v>
      </c>
      <c r="B3163" s="24" t="inlineStr">
        <is>
          <t>استاداکس   کپسول انتريک کوتد خوراکي 100 mg - اهران تجارت</t>
        </is>
      </c>
      <c r="C3163" s="25">
        <f>IF(COUNTIF('کدهای پیام‌داروساز'!$A$2:$A$2442,A3163)&gt;0,"بله","خیر")</f>
        <v/>
      </c>
    </row>
    <row r="3164" ht="15" customHeight="1" s="14">
      <c r="A3164" s="24" t="n">
        <v>52750</v>
      </c>
      <c r="B3164" s="24" t="inlineStr">
        <is>
          <t>تست توبرکولين   محلول تزريقي داخل جلدي  5 mL - پيشرو تشخيص</t>
        </is>
      </c>
      <c r="C3164" s="25">
        <f>IF(COUNTIF('کدهای پیام‌داروساز'!$A$2:$A$2442,A3164)&gt;0,"بله","خیر")</f>
        <v/>
      </c>
    </row>
    <row r="3165" ht="15" customHeight="1" s="14">
      <c r="A3165" s="24" t="n">
        <v>52752</v>
      </c>
      <c r="B3165" s="24" t="inlineStr">
        <is>
          <t>اسنافب 6   تزريقي پرنترال  10 mL - پادرا سرم البرز</t>
        </is>
      </c>
      <c r="C3165" s="25">
        <f>IF(COUNTIF('کدهای پیام‌داروساز'!$A$2:$A$2442,A3165)&gt;0,"بله","خیر")</f>
        <v/>
      </c>
    </row>
    <row r="3166" ht="15" customHeight="1" s="14">
      <c r="A3166" s="24" t="n">
        <v>52754</v>
      </c>
      <c r="B3166" s="24" t="inlineStr">
        <is>
          <t>پم کلد   قرص خوراکي 325 mg/2 mg - نوآوري هاي دارويي رايا</t>
        </is>
      </c>
      <c r="C3166" s="25">
        <f>IF(COUNTIF('کدهای پیام‌داروساز'!$A$2:$A$2442,A3166)&gt;0,"بله","خیر")</f>
        <v/>
      </c>
    </row>
    <row r="3167" ht="15" customHeight="1" s="14">
      <c r="A3167" s="24" t="n">
        <v>52755</v>
      </c>
      <c r="B3167" s="24" t="inlineStr">
        <is>
          <t>فوريمو   قرص خوراکي 600 mg - کيميا آرا هرم</t>
        </is>
      </c>
      <c r="C3167" s="25">
        <f>IF(COUNTIF('کدهای پیام‌داروساز'!$A$2:$A$2442,A3167)&gt;0,"بله","خیر")</f>
        <v/>
      </c>
    </row>
    <row r="3168" ht="15" customHeight="1" s="14">
      <c r="A3168" s="24" t="n">
        <v>52756</v>
      </c>
      <c r="B3168" s="24" t="inlineStr">
        <is>
          <t>ادوالژين اي آر   قرص پيوسته رهش خوراکي 600 mg - داروسازي دکتر عبيدي</t>
        </is>
      </c>
      <c r="C3168" s="25">
        <f>IF(COUNTIF('کدهای پیام‌داروساز'!$A$2:$A$2442,A3168)&gt;0,"بله","خیر")</f>
        <v/>
      </c>
    </row>
    <row r="3169" ht="15" customHeight="1" s="14">
      <c r="A3169" s="24" t="n">
        <v>52757</v>
      </c>
      <c r="B3169" s="24" t="inlineStr">
        <is>
          <t>اس امپرازول - ثنامد   کپسول انتريک کوتد خوراکي 40 mg - داروسازي ثنامد</t>
        </is>
      </c>
      <c r="C3169" s="25">
        <f>IF(COUNTIF('کدهای پیام‌داروساز'!$A$2:$A$2442,A3169)&gt;0,"بله","خیر")</f>
        <v/>
      </c>
    </row>
    <row r="3170" ht="15" customHeight="1" s="14">
      <c r="A3170" s="24" t="n">
        <v>52760</v>
      </c>
      <c r="B3170" s="24" t="inlineStr">
        <is>
          <t>ايمويکو   کپسول خوراکي 70 mg - داروسازي خوارزمي</t>
        </is>
      </c>
      <c r="C3170" s="25">
        <f>IF(COUNTIF('کدهای پیام‌داروساز'!$A$2:$A$2442,A3170)&gt;0,"بله","خیر")</f>
        <v/>
      </c>
    </row>
    <row r="3171" ht="15" customHeight="1" s="14">
      <c r="A3171" s="24" t="n">
        <v>52761</v>
      </c>
      <c r="B3171" s="24" t="inlineStr">
        <is>
          <t>سيتفومين   قرص پيوسته رهش خوراکي 50 mg/500 mg - مهبان دارو</t>
        </is>
      </c>
      <c r="C3171" s="25">
        <f>IF(COUNTIF('کدهای پیام‌داروساز'!$A$2:$A$2442,A3171)&gt;0,"بله","خیر")</f>
        <v/>
      </c>
    </row>
    <row r="3172" ht="15" customHeight="1" s="14">
      <c r="A3172" s="24" t="n">
        <v>52762</v>
      </c>
      <c r="B3172" s="24" t="inlineStr">
        <is>
          <t>سيتفومين   قرص پيوسته رهش خوراکي 50 mg/1000 mg - مهبان دارو</t>
        </is>
      </c>
      <c r="C3172" s="25">
        <f>IF(COUNTIF('کدهای پیام‌داروساز'!$A$2:$A$2442,A3172)&gt;0,"بله","خیر")</f>
        <v/>
      </c>
    </row>
    <row r="3173" ht="15" customHeight="1" s="14">
      <c r="A3173" s="24" t="n">
        <v>52763</v>
      </c>
      <c r="B3173" s="24" t="inlineStr">
        <is>
          <t>سيتفومين   قرص پيوسته رهش خوراکي 100 mg/1000 mg - مهبان دارو</t>
        </is>
      </c>
      <c r="C3173" s="25">
        <f>IF(COUNTIF('کدهای پیام‌داروساز'!$A$2:$A$2442,A3173)&gt;0,"بله","خیر")</f>
        <v/>
      </c>
    </row>
    <row r="3174" ht="15" customHeight="1" s="14">
      <c r="A3174" s="24" t="n">
        <v>52765</v>
      </c>
      <c r="B3174" s="24" t="inlineStr">
        <is>
          <t>ژلاسپان   تزريقي پرنترال 4 % 500 mL - نيکان فارمد</t>
        </is>
      </c>
      <c r="C3174" s="25">
        <f>IF(COUNTIF('کدهای پیام‌داروساز'!$A$2:$A$2442,A3174)&gt;0,"بله","خیر")</f>
        <v/>
      </c>
    </row>
    <row r="3175" ht="15" customHeight="1" s="14">
      <c r="A3175" s="24" t="n">
        <v>52766</v>
      </c>
      <c r="B3175" s="24" t="inlineStr">
        <is>
          <t>زايلوژل   ژل موضعي 2 % 25 g - لابراتوارهاي سينا دارو</t>
        </is>
      </c>
      <c r="C3175" s="25">
        <f>IF(COUNTIF('کدهای پیام‌داروساز'!$A$2:$A$2442,A3175)&gt;0,"بله","خیر")</f>
        <v/>
      </c>
    </row>
    <row r="3176" ht="15" customHeight="1" s="14">
      <c r="A3176" s="24" t="n">
        <v>52768</v>
      </c>
      <c r="B3176" s="24" t="inlineStr">
        <is>
          <t>سلوويتا-کا1   تزريقي پرنترال 10 mg/1mL 0.2 mL - رايان دارو ايرانيان</t>
        </is>
      </c>
      <c r="C3176" s="25">
        <f>IF(COUNTIF('کدهای پیام‌داروساز'!$A$2:$A$2442,A3176)&gt;0,"بله","خیر")</f>
        <v/>
      </c>
    </row>
    <row r="3177" ht="15" customHeight="1" s="14">
      <c r="A3177" s="24" t="n">
        <v>52769</v>
      </c>
      <c r="B3177" s="24" t="inlineStr">
        <is>
          <t>پيراستام   مايع خوراکي 33.33 % 200 mL - دارو بهداشت درنا</t>
        </is>
      </c>
      <c r="C3177" s="25">
        <f>IF(COUNTIF('کدهای پیام‌داروساز'!$A$2:$A$2442,A3177)&gt;0,"بله","خیر")</f>
        <v/>
      </c>
    </row>
    <row r="3178" ht="15" customHeight="1" s="14">
      <c r="A3178" s="24" t="n">
        <v>52773</v>
      </c>
      <c r="B3178" s="24" t="inlineStr">
        <is>
          <t>اسپوتنيک لايت   تزريقي پرنترال  5 {dose} - اکتوورکو</t>
        </is>
      </c>
      <c r="C3178" s="25">
        <f>IF(COUNTIF('کدهای پیام‌داروساز'!$A$2:$A$2442,A3178)&gt;0,"بله","خیر")</f>
        <v/>
      </c>
    </row>
    <row r="3179" ht="15" customHeight="1" s="14">
      <c r="A3179" s="24" t="n">
        <v>52774</v>
      </c>
      <c r="B3179" s="24" t="inlineStr">
        <is>
          <t>اسپوتنيک-5 کامپوننت 2   تزريقي پرنترال  5 {dose} - هيات امناي صرفه جويي ارزي در معالجه بيماران</t>
        </is>
      </c>
      <c r="C3179" s="25">
        <f>IF(COUNTIF('کدهای پیام‌داروساز'!$A$2:$A$2442,A3179)&gt;0,"بله","خیر")</f>
        <v/>
      </c>
    </row>
    <row r="3180" ht="15" customHeight="1" s="14">
      <c r="A3180" s="24" t="n">
        <v>52775</v>
      </c>
      <c r="B3180" s="24" t="inlineStr">
        <is>
          <t>زابوت-ب   تزريقي پرنترال 500 [iU]/1mL 10 [iU] - داروسازي مصون دارو</t>
        </is>
      </c>
      <c r="C3180" s="25">
        <f>IF(COUNTIF('کدهای پیام‌داروساز'!$A$2:$A$2442,A3180)&gt;0,"بله","خیر")</f>
        <v/>
      </c>
    </row>
    <row r="3181" ht="15" customHeight="1" s="14">
      <c r="A3181" s="24" t="n">
        <v>52776</v>
      </c>
      <c r="B3181" s="24" t="inlineStr">
        <is>
          <t>زابوت-اي   تزريقي پرنترال 1000 [iU]/1mL 10 [iU] - داروسازي مصون دارو</t>
        </is>
      </c>
      <c r="C3181" s="25">
        <f>IF(COUNTIF('کدهای پیام‌داروساز'!$A$2:$A$2442,A3181)&gt;0,"بله","خیر")</f>
        <v/>
      </c>
    </row>
    <row r="3182" ht="15" customHeight="1" s="14">
      <c r="A3182" s="24" t="n">
        <v>52778</v>
      </c>
      <c r="B3182" s="24" t="inlineStr">
        <is>
          <t>اسپوتنيک-5 کامپوننت 1   تزريقي پرنترال  1 {dose} - هيات امناي صرفه جويي ارزي در معالجه بيماران</t>
        </is>
      </c>
      <c r="C3182" s="25">
        <f>IF(COUNTIF('کدهای پیام‌داروساز'!$A$2:$A$2442,A3182)&gt;0,"بله","خیر")</f>
        <v/>
      </c>
    </row>
    <row r="3183" ht="15" customHeight="1" s="14">
      <c r="A3183" s="24" t="n">
        <v>52779</v>
      </c>
      <c r="B3183" s="24" t="inlineStr">
        <is>
          <t>اسپوتنيک-5 کامپوننت 2   تزريقي پرنترال  1 {dose} - هيات امناي صرفه جويي ارزي در معالجه بيماران</t>
        </is>
      </c>
      <c r="C3183" s="25">
        <f>IF(COUNTIF('کدهای پیام‌داروساز'!$A$2:$A$2442,A3183)&gt;0,"بله","خیر")</f>
        <v/>
      </c>
    </row>
    <row r="3184" ht="15" customHeight="1" s="14">
      <c r="A3184" s="24" t="n">
        <v>52780</v>
      </c>
      <c r="B3184" s="24" t="inlineStr">
        <is>
          <t>هپارين   تزريقي پرنترال 1000 [iU]/1mL 2 mL - داروسازي کاسپين تأمين</t>
        </is>
      </c>
      <c r="C3184" s="25">
        <f>IF(COUNTIF('کدهای پیام‌داروساز'!$A$2:$A$2442,A3184)&gt;0,"بله","خیر")</f>
        <v/>
      </c>
    </row>
    <row r="3185" ht="15" customHeight="1" s="14">
      <c r="A3185" s="24" t="n">
        <v>52781</v>
      </c>
      <c r="B3185" s="24" t="inlineStr">
        <is>
          <t>گلوکوپروست   محلول، قطره چشمي 0.01 % 0.5 mL - لابراتوارهاي سينا دارو</t>
        </is>
      </c>
      <c r="C3185" s="25">
        <f>IF(COUNTIF('کدهای پیام‌داروساز'!$A$2:$A$2442,A3185)&gt;0,"بله","خیر")</f>
        <v/>
      </c>
    </row>
    <row r="3186" ht="15" customHeight="1" s="14">
      <c r="A3186" s="24" t="n">
        <v>52782</v>
      </c>
      <c r="B3186" s="24" t="inlineStr">
        <is>
          <t>گلوکوپروست   محلول، قطره چشمي 0.03 % 0.5 mL - لابراتوارهاي سينا دارو</t>
        </is>
      </c>
      <c r="C3186" s="25">
        <f>IF(COUNTIF('کدهای پیام‌داروساز'!$A$2:$A$2442,A3186)&gt;0,"بله","خیر")</f>
        <v/>
      </c>
    </row>
    <row r="3187" ht="15" customHeight="1" s="14">
      <c r="A3187" s="24" t="n">
        <v>52784</v>
      </c>
      <c r="B3187" s="24" t="inlineStr">
        <is>
          <t>زژولا   کپسول خوراکي 100 mg - پويش دارو گستر برتر فارس</t>
        </is>
      </c>
      <c r="C3187" s="25">
        <f>IF(COUNTIF('کدهای پیام‌داروساز'!$A$2:$A$2442,A3187)&gt;0,"بله","خیر")</f>
        <v/>
      </c>
    </row>
    <row r="3188" ht="15" customHeight="1" s="14">
      <c r="A3188" s="24" t="n">
        <v>52786</v>
      </c>
      <c r="B3188" s="24" t="inlineStr">
        <is>
          <t>ويولت دوژانسين   محلول موضعي 1 % 60 mL - داروسازي کيمياگر طوس</t>
        </is>
      </c>
      <c r="C3188" s="25">
        <f>IF(COUNTIF('کدهای پیام‌داروساز'!$A$2:$A$2442,A3188)&gt;0,"بله","خیر")</f>
        <v/>
      </c>
    </row>
    <row r="3189" ht="15" customHeight="1" s="14">
      <c r="A3189" s="24" t="n">
        <v>52788</v>
      </c>
      <c r="B3189" s="24" t="inlineStr">
        <is>
          <t>متادون   محلول خوراکي 25 mg/5 mL 1000 mL - داروسازي فاران شيمي</t>
        </is>
      </c>
      <c r="C3189" s="25">
        <f>IF(COUNTIF('کدهای پیام‌داروساز'!$A$2:$A$2442,A3189)&gt;0,"بله","خیر")</f>
        <v/>
      </c>
    </row>
    <row r="3190" ht="15" customHeight="1" s="14">
      <c r="A3190" s="24" t="n">
        <v>52789</v>
      </c>
      <c r="B3190" s="24" t="inlineStr">
        <is>
          <t>کتوکونازول-ناژو   لوسيون موضعي 2 % 30 mL - ايران ناژو</t>
        </is>
      </c>
      <c r="C3190" s="25">
        <f>IF(COUNTIF('کدهای پیام‌داروساز'!$A$2:$A$2442,A3190)&gt;0,"بله","خیر")</f>
        <v/>
      </c>
    </row>
    <row r="3191" ht="15" customHeight="1" s="14">
      <c r="A3191" s="24" t="n">
        <v>52790</v>
      </c>
      <c r="B3191" s="24" t="inlineStr">
        <is>
          <t>ساليسيليک اسيد کامپاند   محلول موضعي 16.7 %/16.7 % 10 mL - داروسازي کيمياگر طوس</t>
        </is>
      </c>
      <c r="C3191" s="25">
        <f>IF(COUNTIF('کدهای پیام‌داروساز'!$A$2:$A$2442,A3191)&gt;0,"بله","خیر")</f>
        <v/>
      </c>
    </row>
    <row r="3192" ht="15" customHeight="1" s="14">
      <c r="A3192" s="24" t="n">
        <v>52791</v>
      </c>
      <c r="B3192" s="24" t="inlineStr">
        <is>
          <t>سيتامکس   محلول تزريقي پرنترال 100 mg/1mL 1 mg - دارويي بهين پاد</t>
        </is>
      </c>
      <c r="C3192" s="25">
        <f>IF(COUNTIF('کدهای پیام‌داروساز'!$A$2:$A$2442,A3192)&gt;0,"بله","خیر")</f>
        <v/>
      </c>
    </row>
    <row r="3193" ht="15" customHeight="1" s="14">
      <c r="A3193" s="24" t="n">
        <v>52792</v>
      </c>
      <c r="B3193" s="24" t="inlineStr">
        <is>
          <t>پدي تايل   سوسپانسيون خوراکي 160 mg/5mL 60 mL - اوکسين داروي وشت</t>
        </is>
      </c>
      <c r="C3193" s="25">
        <f>IF(COUNTIF('کدهای پیام‌داروساز'!$A$2:$A$2442,A3193)&gt;0,"بله","خیر")</f>
        <v/>
      </c>
    </row>
    <row r="3194" ht="15" customHeight="1" s="14">
      <c r="A3194" s="24" t="n">
        <v>52793</v>
      </c>
      <c r="B3194" s="24" t="inlineStr">
        <is>
          <t>سديم کلرايد   محلول تزريقي داخل وريدي 20 % 50 mL - داروسازي شهيد قاضي</t>
        </is>
      </c>
      <c r="C3194" s="25">
        <f>IF(COUNTIF('کدهای پیام‌داروساز'!$A$2:$A$2442,A3194)&gt;0,"بله","خیر")</f>
        <v/>
      </c>
    </row>
    <row r="3195" ht="15" customHeight="1" s="14">
      <c r="A3195" s="24" t="n">
        <v>52794</v>
      </c>
      <c r="B3195" s="24" t="inlineStr">
        <is>
          <t>اينسنت-آي   محلول، قطره چشمي 0.5 % 5 mL - نوآوري زيستي گويا</t>
        </is>
      </c>
      <c r="C3195" s="25">
        <f>IF(COUNTIF('کدهای پیام‌داروساز'!$A$2:$A$2442,A3195)&gt;0,"بله","خیر")</f>
        <v/>
      </c>
    </row>
    <row r="3196" ht="15" customHeight="1" s="14">
      <c r="A3196" s="24" t="n">
        <v>52795</v>
      </c>
      <c r="B3196" s="24" t="inlineStr">
        <is>
          <t xml:space="preserve">قطره چشمي يکبار مصرف تتراکائين </t>
        </is>
      </c>
      <c r="C3196" s="25">
        <f>IF(COUNTIF('کدهای پیام‌داروساز'!$A$2:$A$2442,A3196)&gt;0,"بله","خیر")</f>
        <v/>
      </c>
    </row>
    <row r="3197" ht="15" customHeight="1" s="14">
      <c r="A3197" s="24" t="n">
        <v>52796</v>
      </c>
      <c r="B3197" s="24" t="inlineStr">
        <is>
          <t>پاستوکووک   تزريقي پرنترال  1 {dose} - انستيتو پاستور ايران</t>
        </is>
      </c>
      <c r="C3197" s="25">
        <f>IF(COUNTIF('کدهای پیام‌داروساز'!$A$2:$A$2442,A3197)&gt;0,"بله","خیر")</f>
        <v/>
      </c>
    </row>
    <row r="3198" ht="15" customHeight="1" s="14">
      <c r="A3198" s="24" t="n">
        <v>52797</v>
      </c>
      <c r="B3198" s="24" t="inlineStr">
        <is>
          <t>زيموسيل   گرانول خوراکي 100 mg  mg</t>
        </is>
      </c>
      <c r="C3198" s="25">
        <f>IF(COUNTIF('کدهای پیام‌داروساز'!$A$2:$A$2442,A3198)&gt;0,"بله","خیر")</f>
        <v/>
      </c>
    </row>
    <row r="3199" ht="15" customHeight="1" s="14">
      <c r="A3199" s="24" t="n">
        <v>52798</v>
      </c>
      <c r="B3199" s="24" t="inlineStr">
        <is>
          <t>زيموسيل   گرانول خوراکي 200 mg  mg</t>
        </is>
      </c>
      <c r="C3199" s="25">
        <f>IF(COUNTIF('کدهای پیام‌داروساز'!$A$2:$A$2442,A3199)&gt;0,"بله","خیر")</f>
        <v/>
      </c>
    </row>
    <row r="3200" ht="15" customHeight="1" s="14">
      <c r="A3200" s="24" t="n">
        <v>52800</v>
      </c>
      <c r="B3200" s="24" t="inlineStr">
        <is>
          <t>بي بي آي بي پي -کوروي   تزريقي پرنترال  1 {dose} - بازرگاني سها کيش</t>
        </is>
      </c>
      <c r="C3200" s="25">
        <f>IF(COUNTIF('کدهای پیام‌داروساز'!$A$2:$A$2442,A3200)&gt;0,"بله","خیر")</f>
        <v/>
      </c>
    </row>
    <row r="3201" ht="15" customHeight="1" s="14">
      <c r="A3201" s="24" t="n">
        <v>52801</v>
      </c>
      <c r="B3201" s="24" t="inlineStr">
        <is>
          <t>اينفيو-لوکساسين   محلول تزريقي داخل وريدي 2 mg/1mL 200 mL - داروسازي شهيد قاضي</t>
        </is>
      </c>
      <c r="C3201" s="25">
        <f>IF(COUNTIF('کدهای پیام‌داروساز'!$A$2:$A$2442,A3201)&gt;0,"بله","خیر")</f>
        <v/>
      </c>
    </row>
    <row r="3202" ht="15" customHeight="1" s="14">
      <c r="A3202" s="24" t="n">
        <v>52802</v>
      </c>
      <c r="B3202" s="24" t="inlineStr">
        <is>
          <t>فارمنتين   قرص خوراکي 875 mg/125 mg - دارو سازي فارابي</t>
        </is>
      </c>
      <c r="C3202" s="25">
        <f>IF(COUNTIF('کدهای پیام‌داروساز'!$A$2:$A$2442,A3202)&gt;0,"بله","خیر")</f>
        <v/>
      </c>
    </row>
    <row r="3203" ht="15" customHeight="1" s="14">
      <c r="A3203" s="24" t="n">
        <v>52803</v>
      </c>
      <c r="B3203" s="24" t="inlineStr">
        <is>
          <t>کوو ايران برکت   تزريقي پرنترال  10 {dose} - گروه صنايع شفا فارمد</t>
        </is>
      </c>
      <c r="C3203" s="25">
        <f>IF(COUNTIF('کدهای پیام‌داروساز'!$A$2:$A$2442,A3203)&gt;0,"بله","خیر")</f>
        <v/>
      </c>
    </row>
    <row r="3204" ht="15" customHeight="1" s="14">
      <c r="A3204" s="24" t="n">
        <v>52804</v>
      </c>
      <c r="B3204" s="24" t="inlineStr">
        <is>
          <t>پاستوکووک   تزريقي پرنترال  10 {dose} - انستيتو پاستور ايران</t>
        </is>
      </c>
      <c r="C3204" s="25">
        <f>IF(COUNTIF('کدهای پیام‌داروساز'!$A$2:$A$2442,A3204)&gt;0,"بله","خیر")</f>
        <v/>
      </c>
    </row>
    <row r="3205" ht="15" customHeight="1" s="14">
      <c r="A3205" s="24" t="n">
        <v>52806</v>
      </c>
      <c r="B3205" s="24" t="inlineStr">
        <is>
          <t>اسلتاميوير   پودر براي تهيه محلول خوراکي 30 mg/5mL 60 g - داروسازي امين</t>
        </is>
      </c>
      <c r="C3205" s="25">
        <f>IF(COUNTIF('کدهای پیام‌داروساز'!$A$2:$A$2442,A3205)&gt;0,"بله","خیر")</f>
        <v/>
      </c>
    </row>
    <row r="3206" ht="15" customHeight="1" s="14">
      <c r="A3206" s="24" t="n">
        <v>52807</v>
      </c>
      <c r="B3206" s="24" t="inlineStr">
        <is>
          <t>مگافن فلو   قرص خوراکي 500 mg/10 mg - کيش مديفارم</t>
        </is>
      </c>
      <c r="C3206" s="25">
        <f>IF(COUNTIF('کدهای پیام‌داروساز'!$A$2:$A$2442,A3206)&gt;0,"بله","خیر")</f>
        <v/>
      </c>
    </row>
    <row r="3207" ht="15" customHeight="1" s="14">
      <c r="A3207" s="24" t="n">
        <v>52811</v>
      </c>
      <c r="B3207" s="24" t="inlineStr">
        <is>
          <t>پرافيل خوارزمي   محلول خوراکي 2 mg/5mL 150 mL - داروسازي خوارزمي</t>
        </is>
      </c>
      <c r="C3207" s="25">
        <f>IF(COUNTIF('کدهای پیام‌داروساز'!$A$2:$A$2442,A3207)&gt;0,"بله","خیر")</f>
        <v/>
      </c>
    </row>
    <row r="3208" ht="15" customHeight="1" s="14">
      <c r="A3208" s="24" t="n">
        <v>52812</v>
      </c>
      <c r="B3208" s="24" t="inlineStr">
        <is>
          <t>تراستوريکس   محلول خوراکي 2 mg/5mL 120 mL - تدبير کالاي جم</t>
        </is>
      </c>
      <c r="C3208" s="25">
        <f>IF(COUNTIF('کدهای پیام‌داروساز'!$A$2:$A$2442,A3208)&gt;0,"بله","خیر")</f>
        <v/>
      </c>
    </row>
    <row r="3209" ht="15" customHeight="1" s="14">
      <c r="A3209" s="24" t="n">
        <v>52813</v>
      </c>
      <c r="B3209" s="24" t="inlineStr">
        <is>
          <t>بکواکتين   محلول خوراکي 2 mg/5mL 200 mL - ويتا بيوتيکس فارمد</t>
        </is>
      </c>
      <c r="C3209" s="25">
        <f>IF(COUNTIF('کدهای پیام‌داروساز'!$A$2:$A$2442,A3209)&gt;0,"بله","خیر")</f>
        <v/>
      </c>
    </row>
    <row r="3210" ht="15" customHeight="1" s="14">
      <c r="A3210" s="24" t="n">
        <v>52814</v>
      </c>
      <c r="B3210" s="24" t="inlineStr">
        <is>
          <t>آر-کووي   محلول تزريقي عضلاني  10 {dose} - کوبل دارو</t>
        </is>
      </c>
      <c r="C3210" s="25">
        <f>IF(COUNTIF('کدهای پیام‌داروساز'!$A$2:$A$2442,A3210)&gt;0,"بله","خیر")</f>
        <v/>
      </c>
    </row>
    <row r="3211" ht="15" customHeight="1" s="14">
      <c r="A3211" s="24" t="n">
        <v>52815</v>
      </c>
      <c r="B3211" s="24" t="inlineStr">
        <is>
          <t>کلوتريمازول / هيدروکورتيزون   کرم موضعي 1 %/1 % 30 g - داروسازي ابوريحان</t>
        </is>
      </c>
      <c r="C3211" s="25">
        <f>IF(COUNTIF('کدهای پیام‌داروساز'!$A$2:$A$2442,A3211)&gt;0,"بله","خیر")</f>
        <v/>
      </c>
    </row>
    <row r="3212" ht="15" customHeight="1" s="14">
      <c r="A3212" s="24" t="n">
        <v>52816</v>
      </c>
      <c r="B3212" s="24" t="inlineStr">
        <is>
          <t>استامينوفن   کپسول حاوي مايع خوراکي 500 mg - داروسازي جالينوس</t>
        </is>
      </c>
      <c r="C3212" s="25">
        <f>IF(COUNTIF('کدهای پیام‌داروساز'!$A$2:$A$2442,A3212)&gt;0,"بله","خیر")</f>
        <v/>
      </c>
    </row>
    <row r="3213" ht="15" customHeight="1" s="14">
      <c r="A3213" s="24" t="n">
        <v>52817</v>
      </c>
      <c r="B3213" s="24" t="inlineStr">
        <is>
          <t>ماينوکسيديل   محلول موضعي 20 mg/1mL 50 mL - ايران دارو</t>
        </is>
      </c>
      <c r="C3213" s="25">
        <f>IF(COUNTIF('کدهای پیام‌داروساز'!$A$2:$A$2442,A3213)&gt;0,"بله","خیر")</f>
        <v/>
      </c>
    </row>
    <row r="3214" ht="15" customHeight="1" s="14">
      <c r="A3214" s="24" t="n">
        <v>52818</v>
      </c>
      <c r="B3214" s="24" t="inlineStr">
        <is>
          <t>ماينوکسيديل   محلول موضعي 50 mg/1mL 50 mL - ايران دارو</t>
        </is>
      </c>
      <c r="C3214" s="25">
        <f>IF(COUNTIF('کدهای پیام‌داروساز'!$A$2:$A$2442,A3214)&gt;0,"بله","خیر")</f>
        <v/>
      </c>
    </row>
    <row r="3215" ht="15" customHeight="1" s="14">
      <c r="A3215" s="24" t="n">
        <v>52819</v>
      </c>
      <c r="B3215" s="24" t="inlineStr">
        <is>
          <t>زلکس   اسپري با دوز اندازه گيري شده از راه بيني 137 ug/1{Puff} 20 mL - لابراتوار هاي دنياي بهداشت</t>
        </is>
      </c>
      <c r="C3215" s="25">
        <f>IF(COUNTIF('کدهای پیام‌داروساز'!$A$2:$A$2442,A3215)&gt;0,"بله","خیر")</f>
        <v/>
      </c>
    </row>
    <row r="3216" ht="15" customHeight="1" s="14">
      <c r="A3216" s="24" t="n">
        <v>52820</v>
      </c>
      <c r="B3216" s="24" t="inlineStr">
        <is>
          <t>فلوکسوميد   کپسول انتريک کوتد خوراکي 90 mg - داروئي اميد بهبود</t>
        </is>
      </c>
      <c r="C3216" s="25">
        <f>IF(COUNTIF('کدهای پیام‌داروساز'!$A$2:$A$2442,A3216)&gt;0,"بله","خیر")</f>
        <v/>
      </c>
    </row>
    <row r="3217" ht="15" customHeight="1" s="14">
      <c r="A3217" s="24" t="n">
        <v>52821</v>
      </c>
      <c r="B3217" s="24" t="inlineStr">
        <is>
          <t>فلوتيکاپن   پودر با دوز اندازه گيري شده استنشاقي 250 ug/1{dose} 60 ug - رويان دارو</t>
        </is>
      </c>
      <c r="C3217" s="25">
        <f>IF(COUNTIF('کدهای پیام‌داروساز'!$A$2:$A$2442,A3217)&gt;0,"بله","خیر")</f>
        <v/>
      </c>
    </row>
    <row r="3218" ht="15" customHeight="1" s="14">
      <c r="A3218" s="24" t="n">
        <v>52823</v>
      </c>
      <c r="B3218" s="24" t="inlineStr">
        <is>
          <t>بي بي آي بي پي -کوروي   تزريقي پرنترال  2 {dose} - بازرگاني سها کيش</t>
        </is>
      </c>
      <c r="C3218" s="25">
        <f>IF(COUNTIF('کدهای پیام‌داروساز'!$A$2:$A$2442,A3218)&gt;0,"بله","خیر")</f>
        <v/>
      </c>
    </row>
    <row r="3219" ht="15" customHeight="1" s="14">
      <c r="A3219" s="24" t="n">
        <v>52824</v>
      </c>
      <c r="B3219" s="24" t="inlineStr">
        <is>
          <t>رکسيمد   محلول تزريقي پرنترال 25 mg/1mL 2 mg - نانو فناوران داروئي الوند</t>
        </is>
      </c>
      <c r="C3219" s="25">
        <f>IF(COUNTIF('کدهای پیام‌داروساز'!$A$2:$A$2442,A3219)&gt;0,"بله","خیر")</f>
        <v/>
      </c>
    </row>
    <row r="3220" ht="15" customHeight="1" s="14">
      <c r="A3220" s="24" t="n">
        <v>52826</v>
      </c>
      <c r="B3220" s="24" t="inlineStr">
        <is>
          <t>رابت-ان   محلول، قطره چشمي 0.1 %/0.5 % 5 mL - داروسازي رها اصفهان</t>
        </is>
      </c>
      <c r="C3220" s="25">
        <f>IF(COUNTIF('کدهای پیام‌داروساز'!$A$2:$A$2442,A3220)&gt;0,"بله","خیر")</f>
        <v/>
      </c>
    </row>
    <row r="3221" ht="15" customHeight="1" s="14">
      <c r="A3221" s="24" t="n">
        <v>52827</v>
      </c>
      <c r="B3221" s="24" t="inlineStr">
        <is>
          <t>بتاراسا   پماد موضعي 0.1 %/0.5 % 15 g - راسا طب ورنا</t>
        </is>
      </c>
      <c r="C3221" s="25">
        <f>IF(COUNTIF('کدهای پیام‌داروساز'!$A$2:$A$2442,A3221)&gt;0,"بله","خیر")</f>
        <v/>
      </c>
    </row>
    <row r="3222" ht="15" customHeight="1" s="14">
      <c r="A3222" s="24" t="n">
        <v>52828</v>
      </c>
      <c r="B3222" s="24" t="inlineStr">
        <is>
          <t>کارزيبا   محلول غليظ تزريقي داخل وريدي 4.5 mg/1mL 4.5 mg - مرز گستران فناوري آينده</t>
        </is>
      </c>
      <c r="C3222" s="25">
        <f>IF(COUNTIF('کدهای پیام‌داروساز'!$A$2:$A$2442,A3222)&gt;0,"بله","خیر")</f>
        <v/>
      </c>
    </row>
    <row r="3223" ht="15" customHeight="1" s="14">
      <c r="A3223" s="24" t="n">
        <v>52829</v>
      </c>
      <c r="B3223" s="24" t="inlineStr">
        <is>
          <t>آمبيکارد   قرص خوراکي 5 mg/5 mg - دارو درمان آريا سپاهان</t>
        </is>
      </c>
      <c r="C3223" s="25">
        <f>IF(COUNTIF('کدهای پیام‌داروساز'!$A$2:$A$2442,A3223)&gt;0,"بله","خیر")</f>
        <v/>
      </c>
    </row>
    <row r="3224" ht="15" customHeight="1" s="14">
      <c r="A3224" s="24" t="n">
        <v>52830</v>
      </c>
      <c r="B3224" s="24" t="inlineStr">
        <is>
          <t>آملوديپين / بيزوپرولول   قرص خوراکي 5 mg/10 mg - داروسازي خوارزمي</t>
        </is>
      </c>
      <c r="C3224" s="25">
        <f>IF(COUNTIF('کدهای پیام‌داروساز'!$A$2:$A$2442,A3224)&gt;0,"بله","خیر")</f>
        <v/>
      </c>
    </row>
    <row r="3225" ht="15" customHeight="1" s="14">
      <c r="A3225" s="24" t="n">
        <v>52831</v>
      </c>
      <c r="B3225" s="24" t="inlineStr">
        <is>
          <t>آملوديپين / بيزوپرولول   قرص خوراکي 10 mg/5 mg - دارو سازي تهران دارو</t>
        </is>
      </c>
      <c r="C3225" s="25">
        <f>IF(COUNTIF('کدهای پیام‌داروساز'!$A$2:$A$2442,A3225)&gt;0,"بله","خیر")</f>
        <v/>
      </c>
    </row>
    <row r="3226" ht="15" customHeight="1" s="14">
      <c r="A3226" s="24" t="n">
        <v>52832</v>
      </c>
      <c r="B3226" s="24" t="inlineStr">
        <is>
          <t>آملوديپين / بيزوپرولول   قرص خوراکي 10 mg/10 mg - داروسازي خوارزمي</t>
        </is>
      </c>
      <c r="C3226" s="25">
        <f>IF(COUNTIF('کدهای پیام‌داروساز'!$A$2:$A$2442,A3226)&gt;0,"بله","خیر")</f>
        <v/>
      </c>
    </row>
    <row r="3227" ht="15" customHeight="1" s="14">
      <c r="A3227" s="24" t="n">
        <v>52833</v>
      </c>
      <c r="B3227" s="24" t="inlineStr">
        <is>
          <t>متادون   محلول خوراکي 25 mg/5 mL 15 mL - داروسازي فاران شيمي</t>
        </is>
      </c>
      <c r="C3227" s="25">
        <f>IF(COUNTIF('کدهای پیام‌داروساز'!$A$2:$A$2442,A3227)&gt;0,"بله","خیر")</f>
        <v/>
      </c>
    </row>
    <row r="3228" ht="15" customHeight="1" s="14">
      <c r="A3228" s="24" t="n">
        <v>52834</v>
      </c>
      <c r="B3228" s="24" t="inlineStr">
        <is>
          <t>متادون   محلول خوراکي 25 mg/5 mL 30 mL - داروسازي فاران شيمي</t>
        </is>
      </c>
      <c r="C3228" s="25">
        <f>IF(COUNTIF('کدهای پیام‌داروساز'!$A$2:$A$2442,A3228)&gt;0,"بله","خیر")</f>
        <v/>
      </c>
    </row>
    <row r="3229" ht="15" customHeight="1" s="14">
      <c r="A3229" s="24" t="n">
        <v>52835</v>
      </c>
      <c r="B3229" s="24" t="inlineStr">
        <is>
          <t>تسنتريک   محلول غليظ تزريقي داخل وريدي 60 mg/1mL 20 mg - آسمان داروي پارس</t>
        </is>
      </c>
      <c r="C3229" s="25">
        <f>IF(COUNTIF('کدهای پیام‌داروساز'!$A$2:$A$2442,A3229)&gt;0,"بله","خیر")</f>
        <v/>
      </c>
    </row>
    <row r="3230" ht="15" customHeight="1" s="14">
      <c r="A3230" s="24" t="n">
        <v>52837</v>
      </c>
      <c r="B3230" s="24" t="inlineStr">
        <is>
          <t>همانوکس   شربت خوراکي 4.28 mg/1mL 120 mL - اوکسين داروي وشت</t>
        </is>
      </c>
      <c r="C3230" s="25">
        <f>IF(COUNTIF('کدهای پیام‌داروساز'!$A$2:$A$2442,A3230)&gt;0,"بله","خیر")</f>
        <v/>
      </c>
    </row>
    <row r="3231" ht="15" customHeight="1" s="14">
      <c r="A3231" s="24" t="n">
        <v>52838</v>
      </c>
      <c r="B3231" s="24" t="inlineStr">
        <is>
          <t>ميتوسين   پودر براي تهيه محلول تزريقي داخل حفره اي 20 mg  mg - داروئي آرام</t>
        </is>
      </c>
      <c r="C3231" s="25">
        <f>IF(COUNTIF('کدهای پیام‌داروساز'!$A$2:$A$2442,A3231)&gt;0,"بله","خیر")</f>
        <v/>
      </c>
    </row>
    <row r="3232" ht="15" customHeight="1" s="14">
      <c r="A3232" s="24" t="n">
        <v>52839</v>
      </c>
      <c r="B3232" s="24" t="inlineStr">
        <is>
          <t>آوانومت   قرص پيوسته رهش خوراکي 5 mg/2.5 mg/1000 mg - زيست اروند فارمد</t>
        </is>
      </c>
      <c r="C3232" s="25">
        <f>IF(COUNTIF('کدهای پیام‌داروساز'!$A$2:$A$2442,A3232)&gt;0,"بله","خیر")</f>
        <v/>
      </c>
    </row>
    <row r="3233" ht="15" customHeight="1" s="14">
      <c r="A3233" s="24" t="n">
        <v>52840</v>
      </c>
      <c r="B3233" s="24" t="inlineStr">
        <is>
          <t>آوانومت   قرص پيوسته رهش خوراکي 10 mg/5 mg/1000 mg - زيست اروند فارمد</t>
        </is>
      </c>
      <c r="C3233" s="25">
        <f>IF(COUNTIF('کدهای پیام‌داروساز'!$A$2:$A$2442,A3233)&gt;0,"بله","خیر")</f>
        <v/>
      </c>
    </row>
    <row r="3234" ht="15" customHeight="1" s="14">
      <c r="A3234" s="24" t="n">
        <v>52841</v>
      </c>
      <c r="B3234" s="24" t="inlineStr">
        <is>
          <t>آوانومت   قرص پيوسته رهش خوراکي 12.5 mg/2.5 mg/1000 mg - زيست اروند فارمد</t>
        </is>
      </c>
      <c r="C3234" s="25">
        <f>IF(COUNTIF('کدهای پیام‌داروساز'!$A$2:$A$2442,A3234)&gt;0,"بله","خیر")</f>
        <v/>
      </c>
    </row>
    <row r="3235" ht="15" customHeight="1" s="14">
      <c r="A3235" s="24" t="n">
        <v>52842</v>
      </c>
      <c r="B3235" s="24" t="inlineStr">
        <is>
          <t>آوانومت   قرص پيوسته رهش خوراکي 25 mg/5 mg/1000 mg - زيست اروند فارمد</t>
        </is>
      </c>
      <c r="C3235" s="25">
        <f>IF(COUNTIF('کدهای پیام‌داروساز'!$A$2:$A$2442,A3235)&gt;0,"بله","خیر")</f>
        <v/>
      </c>
    </row>
    <row r="3236" ht="15" customHeight="1" s="14">
      <c r="A3236" s="24" t="n">
        <v>52843</v>
      </c>
      <c r="B3236" s="24" t="inlineStr">
        <is>
          <t>ترامادول   قرص پيوسته رهش خوراکي 200 mg - بهداشت و درمان پاسارگاد جابر</t>
        </is>
      </c>
      <c r="C3236" s="25">
        <f>IF(COUNTIF('کدهای پیام‌داروساز'!$A$2:$A$2442,A3236)&gt;0,"بله","خیر")</f>
        <v/>
      </c>
    </row>
    <row r="3237" ht="15" customHeight="1" s="14">
      <c r="A3237" s="24" t="n">
        <v>52844</v>
      </c>
      <c r="B3237" s="24" t="inlineStr">
        <is>
          <t>المينار   قرص خوراکي 2 mg - آرنا حيات دانش</t>
        </is>
      </c>
      <c r="C3237" s="25">
        <f>IF(COUNTIF('کدهای پیام‌داروساز'!$A$2:$A$2442,A3237)&gt;0,"بله","خیر")</f>
        <v/>
      </c>
    </row>
    <row r="3238" ht="15" customHeight="1" s="14">
      <c r="A3238" s="24" t="n">
        <v>52845</v>
      </c>
      <c r="B3238" s="24" t="inlineStr">
        <is>
          <t>المينار   قرص خوراکي 4 mg - آرنا حيات دانش</t>
        </is>
      </c>
      <c r="C3238" s="25">
        <f>IF(COUNTIF('کدهای پیام‌داروساز'!$A$2:$A$2442,A3238)&gt;0,"بله","خیر")</f>
        <v/>
      </c>
    </row>
    <row r="3239" ht="15" customHeight="1" s="14">
      <c r="A3239" s="24" t="n">
        <v>52846</v>
      </c>
      <c r="B3239" s="24" t="inlineStr">
        <is>
          <t>سلنيوم سولفايد-شفا   شامپو موضعي 2.5 % 140 mL - لابراتوار داروسازي و بهداشتي شفا</t>
        </is>
      </c>
      <c r="C3239" s="25">
        <f>IF(COUNTIF('کدهای پیام‌داروساز'!$A$2:$A$2442,A3239)&gt;0,"بله","خیر")</f>
        <v/>
      </c>
    </row>
    <row r="3240" ht="15" customHeight="1" s="14">
      <c r="A3240" s="24" t="n">
        <v>52847</v>
      </c>
      <c r="B3240" s="24" t="inlineStr">
        <is>
          <t>زانکر   قرص خوراکي 60 mg - شيميائي و داروئي باران</t>
        </is>
      </c>
      <c r="C3240" s="25">
        <f>IF(COUNTIF('کدهای پیام‌داروساز'!$A$2:$A$2442,A3240)&gt;0,"بله","خیر")</f>
        <v/>
      </c>
    </row>
    <row r="3241" ht="15" customHeight="1" s="14">
      <c r="A3241" s="24" t="n">
        <v>52848</v>
      </c>
      <c r="B3241" s="24" t="inlineStr">
        <is>
          <t>ايمنوويد   کپسول خوراکي 4 mg - اوزان</t>
        </is>
      </c>
      <c r="C3241" s="25">
        <f>IF(COUNTIF('کدهای پیام‌داروساز'!$A$2:$A$2442,A3241)&gt;0,"بله","خیر")</f>
        <v/>
      </c>
    </row>
    <row r="3242" ht="15" customHeight="1" s="14">
      <c r="A3242" s="24" t="n">
        <v>52849</v>
      </c>
      <c r="B3242" s="24" t="inlineStr">
        <is>
          <t>اسپوتنيک-5 کامپوننت 1   تزريقي پرنترال  2 {dose} - هيات امناي صرفه جويي ارزي در معالجه بيماران</t>
        </is>
      </c>
      <c r="C3242" s="25">
        <f>IF(COUNTIF('کدهای پیام‌داروساز'!$A$2:$A$2442,A3242)&gt;0,"بله","خیر")</f>
        <v/>
      </c>
    </row>
    <row r="3243" ht="15" customHeight="1" s="14">
      <c r="A3243" s="24" t="n">
        <v>52850</v>
      </c>
      <c r="B3243" s="24" t="inlineStr">
        <is>
          <t>اسپوتنيک-5 کامپوننت 2   تزريقي پرنترال  2 {dose} - هيات امناي صرفه جويي ارزي در معالجه بيماران</t>
        </is>
      </c>
      <c r="C3243" s="25">
        <f>IF(COUNTIF('کدهای پیام‌داروساز'!$A$2:$A$2442,A3243)&gt;0,"بله","خیر")</f>
        <v/>
      </c>
    </row>
    <row r="3244" ht="15" customHeight="1" s="14">
      <c r="A3244" s="24" t="n">
        <v>52851</v>
      </c>
      <c r="B3244" s="24" t="inlineStr">
        <is>
          <t>ايرلاکس   قرص خوراکي 801 mg - دارو سازي آنوشا</t>
        </is>
      </c>
      <c r="C3244" s="25">
        <f>IF(COUNTIF('کدهای پیام‌داروساز'!$A$2:$A$2442,A3244)&gt;0,"بله","خیر")</f>
        <v/>
      </c>
    </row>
    <row r="3245" ht="15" customHeight="1" s="14">
      <c r="A3245" s="24" t="n">
        <v>52853</v>
      </c>
      <c r="B3245" s="24" t="inlineStr">
        <is>
          <t>استريلا   کپسول استنشاقي 160 ug/4.5 ug - افق توليد دارو پارس</t>
        </is>
      </c>
      <c r="C3245" s="25">
        <f>IF(COUNTIF('کدهای پیام‌داروساز'!$A$2:$A$2442,A3245)&gt;0,"بله","خیر")</f>
        <v/>
      </c>
    </row>
    <row r="3246" ht="15" customHeight="1" s="14">
      <c r="A3246" s="24" t="n">
        <v>52854</v>
      </c>
      <c r="B3246" s="24" t="inlineStr">
        <is>
          <t>استريلا   کپسول استنشاقي 320 ug/9 ug - افق توليد دارو پارس</t>
        </is>
      </c>
      <c r="C3246" s="25">
        <f>IF(COUNTIF('کدهای پیام‌داروساز'!$A$2:$A$2442,A3246)&gt;0,"بله","خیر")</f>
        <v/>
      </c>
    </row>
    <row r="3247" ht="15" customHeight="1" s="14">
      <c r="A3247" s="24" t="n">
        <v>52855</v>
      </c>
      <c r="B3247" s="24" t="inlineStr">
        <is>
          <t>امني ميکس   قرص پيوسته رهش خوراکي 6 mg/0.4 mg - هلث پارسيان</t>
        </is>
      </c>
      <c r="C3247" s="25">
        <f>IF(COUNTIF('کدهای پیام‌داروساز'!$A$2:$A$2442,A3247)&gt;0,"بله","خیر")</f>
        <v/>
      </c>
    </row>
    <row r="3248" ht="15" customHeight="1" s="14">
      <c r="A3248" s="24" t="n">
        <v>52856</v>
      </c>
      <c r="B3248" s="24" t="inlineStr">
        <is>
          <t>رازيکووپارس   امولسيون استنشاقي 10 ug/0.2mL 20 {dose} - موسسه تحقيقات واکسن وسرم سازي رازي</t>
        </is>
      </c>
      <c r="C3248" s="25">
        <f>IF(COUNTIF('کدهای پیام‌داروساز'!$A$2:$A$2442,A3248)&gt;0,"بله","خیر")</f>
        <v/>
      </c>
    </row>
    <row r="3249" ht="15" customHeight="1" s="14">
      <c r="A3249" s="24" t="n">
        <v>52857</v>
      </c>
      <c r="B3249" s="24" t="inlineStr">
        <is>
          <t>رازيکووپارس   امولسيون تزريقي عضلاني 10 ug/0.2mL 20 {dose} - موسسه تحقيقات واکسن وسرم سازي رازي</t>
        </is>
      </c>
      <c r="C3249" s="25">
        <f>IF(COUNTIF('کدهای پیام‌داروساز'!$A$2:$A$2442,A3249)&gt;0,"بله","خیر")</f>
        <v/>
      </c>
    </row>
    <row r="3250" ht="15" customHeight="1" s="14">
      <c r="A3250" s="24" t="n">
        <v>52858</v>
      </c>
      <c r="B3250" s="24" t="inlineStr">
        <is>
          <t>زالترپ   محلول غليظ تزريقي پرنترال 25 mg/1mL 8 mL - اوزان</t>
        </is>
      </c>
      <c r="C3250" s="25">
        <f>IF(COUNTIF('کدهای پیام‌داروساز'!$A$2:$A$2442,A3250)&gt;0,"بله","خیر")</f>
        <v/>
      </c>
    </row>
    <row r="3251" ht="15" customHeight="1" s="14">
      <c r="A3251" s="24" t="n">
        <v>52859</v>
      </c>
      <c r="B3251" s="24" t="inlineStr">
        <is>
          <t>فاموتيدين   محلول تزريقي پرنترال 10 mg/1mL 2 mg - دارو درمان پارميدا</t>
        </is>
      </c>
      <c r="C3251" s="25">
        <f>IF(COUNTIF('کدهای پیام‌داروساز'!$A$2:$A$2442,A3251)&gt;0,"بله","خیر")</f>
        <v/>
      </c>
    </row>
    <row r="3252" ht="15" customHeight="1" s="14">
      <c r="A3252" s="24" t="n">
        <v>52860</v>
      </c>
      <c r="B3252" s="24" t="inlineStr">
        <is>
          <t>کلوتريمازول/هيدروکورتيزون   کرم موضعي 1 %/1 % 15 g - داروسازي توليد دارو</t>
        </is>
      </c>
      <c r="C3252" s="25">
        <f>IF(COUNTIF('کدهای پیام‌داروساز'!$A$2:$A$2442,A3252)&gt;0,"بله","خیر")</f>
        <v/>
      </c>
    </row>
    <row r="3253" ht="15" customHeight="1" s="14">
      <c r="A3253" s="24" t="n">
        <v>52861</v>
      </c>
      <c r="B3253" s="24" t="inlineStr">
        <is>
          <t>فورپک   کپسول استنشاقي 160 ug/9 ug - هيات امناي صرفه جويي ارزي در معالجه بيماران</t>
        </is>
      </c>
      <c r="C3253" s="25">
        <f>IF(COUNTIF('کدهای پیام‌داروساز'!$A$2:$A$2442,A3253)&gt;0,"بله","خیر")</f>
        <v/>
      </c>
    </row>
    <row r="3254" ht="15" customHeight="1" s="14">
      <c r="A3254" s="24" t="n">
        <v>52862</v>
      </c>
      <c r="B3254" s="24" t="inlineStr">
        <is>
          <t>فاکسيبت پلاس   قرص پيوسته رهش خوراکي 2.5 mg/1000 mg - نو آوران دارويي کيميا</t>
        </is>
      </c>
      <c r="C3254" s="25">
        <f>IF(COUNTIF('کدهای پیام‌داروساز'!$A$2:$A$2442,A3254)&gt;0,"بله","خیر")</f>
        <v/>
      </c>
    </row>
    <row r="3255" ht="15" customHeight="1" s="14">
      <c r="A3255" s="24" t="n">
        <v>52863</v>
      </c>
      <c r="B3255" s="24" t="inlineStr">
        <is>
          <t>زيگفورويت-ام   قرص پيوسته رهش خوراکي 5 mg/1000 mg - ويتااريا</t>
        </is>
      </c>
      <c r="C3255" s="25">
        <f>IF(COUNTIF('کدهای پیام‌داروساز'!$A$2:$A$2442,A3255)&gt;0,"بله","خیر")</f>
        <v/>
      </c>
    </row>
    <row r="3256" ht="15" customHeight="1" s="14">
      <c r="A3256" s="24" t="n">
        <v>52864</v>
      </c>
      <c r="B3256" s="24" t="inlineStr">
        <is>
          <t>فاکسيبت پلاس   قرص پيوسته رهش خوراکي 5 mg/500 mg - نو آوران دارويي کيميا</t>
        </is>
      </c>
      <c r="C3256" s="25">
        <f>IF(COUNTIF('کدهای پیام‌داروساز'!$A$2:$A$2442,A3256)&gt;0,"بله","خیر")</f>
        <v/>
      </c>
    </row>
    <row r="3257" ht="15" customHeight="1" s="14">
      <c r="A3257" s="24" t="n">
        <v>52865</v>
      </c>
      <c r="B3257" s="24" t="inlineStr">
        <is>
          <t>فاکسيبت پلاس   قرص پيوسته رهش خوراکي 10 mg/500 mg - نو آوران دارويي کيميا</t>
        </is>
      </c>
      <c r="C3257" s="25">
        <f>IF(COUNTIF('کدهای پیام‌داروساز'!$A$2:$A$2442,A3257)&gt;0,"بله","خیر")</f>
        <v/>
      </c>
    </row>
    <row r="3258" ht="15" customHeight="1" s="14">
      <c r="A3258" s="24" t="n">
        <v>52866</v>
      </c>
      <c r="B3258" s="24" t="inlineStr">
        <is>
          <t>فاکسيبت پلاس   قرص پيوسته رهش خوراکي 10 mg/1000 mg - نو آوران دارويي کيميا</t>
        </is>
      </c>
      <c r="C3258" s="25">
        <f>IF(COUNTIF('کدهای پیام‌داروساز'!$A$2:$A$2442,A3258)&gt;0,"بله","خیر")</f>
        <v/>
      </c>
    </row>
    <row r="3259" ht="15" customHeight="1" s="14">
      <c r="A3259" s="24" t="n">
        <v>52867</v>
      </c>
      <c r="B3259" s="24" t="inlineStr">
        <is>
          <t>ديکلوفناک   ژل موضعي 1 % 60 g - داروسازي ابوريحان</t>
        </is>
      </c>
      <c r="C3259" s="25">
        <f>IF(COUNTIF('کدهای پیام‌داروساز'!$A$2:$A$2442,A3259)&gt;0,"بله","خیر")</f>
        <v/>
      </c>
    </row>
    <row r="3260" ht="15" customHeight="1" s="14">
      <c r="A3260" s="24" t="n">
        <v>52870</v>
      </c>
      <c r="B3260" s="24" t="inlineStr">
        <is>
          <t>آکوازون   تزريقي پرنترال 4 mg/1mL 1 mL - داروسازي ابوريحان</t>
        </is>
      </c>
      <c r="C3260" s="25">
        <f>IF(COUNTIF('کدهای پیام‌داروساز'!$A$2:$A$2442,A3260)&gt;0,"بله","خیر")</f>
        <v/>
      </c>
    </row>
    <row r="3261" ht="15" customHeight="1" s="14">
      <c r="A3261" s="24" t="n">
        <v>52871</v>
      </c>
      <c r="B3261" s="24" t="inlineStr">
        <is>
          <t>آتورواستاتين   قرص خوراکي 80 mg - سبحان دارو</t>
        </is>
      </c>
      <c r="C3261" s="25">
        <f>IF(COUNTIF('کدهای پیام‌داروساز'!$A$2:$A$2442,A3261)&gt;0,"بله","خیر")</f>
        <v/>
      </c>
    </row>
    <row r="3262" ht="15" customHeight="1" s="14">
      <c r="A3262" s="24" t="n">
        <v>52872</v>
      </c>
      <c r="B3262" s="24" t="inlineStr">
        <is>
          <t>کويلو   تزريقي پرنترال  5 {dose} - بازرگاني سها کيش</t>
        </is>
      </c>
      <c r="C3262" s="25">
        <f>IF(COUNTIF('کدهای پیام‌داروساز'!$A$2:$A$2442,A3262)&gt;0,"بله","خیر")</f>
        <v/>
      </c>
    </row>
    <row r="3263" ht="15" customHeight="1" s="14">
      <c r="A3263" s="24" t="n">
        <v>52873</v>
      </c>
      <c r="B3263" s="24" t="inlineStr">
        <is>
          <t>سوبرانا پلاس   تزريقي عضلاني  1 {dose} - انستيتو پاستور ايران</t>
        </is>
      </c>
      <c r="C3263" s="25">
        <f>IF(COUNTIF('کدهای پیام‌داروساز'!$A$2:$A$2442,A3263)&gt;0,"بله","خیر")</f>
        <v/>
      </c>
    </row>
    <row r="3264" ht="15" customHeight="1" s="14">
      <c r="A3264" s="24" t="n">
        <v>52874</v>
      </c>
      <c r="B3264" s="24" t="inlineStr">
        <is>
          <t>پاستوکووک پلاس   تزريقي عضلاني  10 {dose} - انستيتو پاستور ايران</t>
        </is>
      </c>
      <c r="C3264" s="25">
        <f>IF(COUNTIF('کدهای پیام‌داروساز'!$A$2:$A$2442,A3264)&gt;0,"بله","خیر")</f>
        <v/>
      </c>
    </row>
    <row r="3265" ht="15" customHeight="1" s="14">
      <c r="A3265" s="24" t="n">
        <v>52875</v>
      </c>
      <c r="B3265" s="24" t="inlineStr">
        <is>
          <t>داروپرو   قرص خوراکي 800 mg - سينا پيشگام دارو نوين</t>
        </is>
      </c>
      <c r="C3265" s="25">
        <f>IF(COUNTIF('کدهای پیام‌داروساز'!$A$2:$A$2442,A3265)&gt;0,"بله","خیر")</f>
        <v/>
      </c>
    </row>
    <row r="3266" ht="15" customHeight="1" s="14">
      <c r="A3266" s="24" t="n">
        <v>52876</v>
      </c>
      <c r="B3266" s="24" t="inlineStr">
        <is>
          <t>بايلدکس   سوسپانسيون خوراکي 250 mg/5mL 250 mL - داروسازي رها اصفهان</t>
        </is>
      </c>
      <c r="C3266" s="25">
        <f>IF(COUNTIF('کدهای پیام‌داروساز'!$A$2:$A$2442,A3266)&gt;0,"بله","خیر")</f>
        <v/>
      </c>
    </row>
    <row r="3267" ht="15" customHeight="1" s="14">
      <c r="A3267" s="24" t="n">
        <v>52877</v>
      </c>
      <c r="B3267" s="24" t="inlineStr">
        <is>
          <t>ستادکس   شربت خوراکي 10 mg/100 mg/5 mg/5mL 200 mL - داروسازي رها اصفهان</t>
        </is>
      </c>
      <c r="C3267" s="25">
        <f>IF(COUNTIF('کدهای پیام‌داروساز'!$A$2:$A$2442,A3267)&gt;0,"بله","خیر")</f>
        <v/>
      </c>
    </row>
    <row r="3268" ht="15" customHeight="1" s="14">
      <c r="A3268" s="24" t="n">
        <v>52878</v>
      </c>
      <c r="B3268" s="24" t="inlineStr">
        <is>
          <t>زينتا   پودر لئوفيليزه براي تهيه محلول تزريقي پرنترال 250 [iU]  [iU] - بهستان دارو</t>
        </is>
      </c>
      <c r="C3268" s="25">
        <f>IF(COUNTIF('کدهای پیام‌داروساز'!$A$2:$A$2442,A3268)&gt;0,"بله","خیر")</f>
        <v/>
      </c>
    </row>
    <row r="3269" ht="15" customHeight="1" s="14">
      <c r="A3269" s="24" t="n">
        <v>52879</v>
      </c>
      <c r="B3269" s="24" t="inlineStr">
        <is>
          <t>زينتا   پودر لئوفيليزه براي تهيه محلول تزريقي پرنترال 500 [iU]  [iU] - بهستان دارو</t>
        </is>
      </c>
      <c r="C3269" s="25">
        <f>IF(COUNTIF('کدهای پیام‌داروساز'!$A$2:$A$2442,A3269)&gt;0,"بله","خیر")</f>
        <v/>
      </c>
    </row>
    <row r="3270" ht="15" customHeight="1" s="14">
      <c r="A3270" s="24" t="n">
        <v>52880</v>
      </c>
      <c r="B3270" s="24" t="inlineStr">
        <is>
          <t>سافاکتو آ اف   پودر لئوفيليزه براي تهيه محلول تزريقي پرنترال 1000 [iU]  [iU] - سامان داروي هشتم</t>
        </is>
      </c>
      <c r="C3270" s="25">
        <f>IF(COUNTIF('کدهای پیام‌داروساز'!$A$2:$A$2442,A3270)&gt;0,"بله","خیر")</f>
        <v/>
      </c>
    </row>
    <row r="3271" ht="15" customHeight="1" s="14">
      <c r="A3271" s="24" t="n">
        <v>52881</v>
      </c>
      <c r="B3271" s="24" t="inlineStr">
        <is>
          <t>زوويدرم   کرم موضعي 5 % 15 g - سبحان دارو</t>
        </is>
      </c>
      <c r="C3271" s="25">
        <f>IF(COUNTIF('کدهای پیام‌داروساز'!$A$2:$A$2442,A3271)&gt;0,"بله","خیر")</f>
        <v/>
      </c>
    </row>
    <row r="3272" ht="15" customHeight="1" s="14">
      <c r="A3272" s="24" t="n">
        <v>52882</v>
      </c>
      <c r="B3272" s="24" t="inlineStr">
        <is>
          <t>ليتو خوارزمي موکورانت-سي   شربت خوراکي 100 mg/30 mg/10 mg/5 mL 120 mL - داروسازي خوارزمي</t>
        </is>
      </c>
      <c r="C3272" s="25">
        <f>IF(COUNTIF('کدهای پیام‌داروساز'!$A$2:$A$2442,A3272)&gt;0,"بله","خیر")</f>
        <v/>
      </c>
    </row>
    <row r="3273" ht="15" customHeight="1" s="14">
      <c r="A3273" s="24" t="n">
        <v>52883</v>
      </c>
      <c r="B3273" s="24" t="inlineStr">
        <is>
          <t>توريسل   محلول غليظ تزريقي پرنترال 5 mg/1mL 1 mg - بازرگاني سها کيش</t>
        </is>
      </c>
      <c r="C3273" s="25">
        <f>IF(COUNTIF('کدهای پیام‌داروساز'!$A$2:$A$2442,A3273)&gt;0,"بله","خیر")</f>
        <v/>
      </c>
    </row>
    <row r="3274" ht="15" customHeight="1" s="14">
      <c r="A3274" s="24" t="n">
        <v>52884</v>
      </c>
      <c r="B3274" s="24" t="inlineStr">
        <is>
          <t>کوواکسين   تزريقي پرنترال  20 {dose} - هيات امناي صرفه جويي ارزي در معالجه بيماران</t>
        </is>
      </c>
      <c r="C3274" s="25">
        <f>IF(COUNTIF('کدهای پیام‌داروساز'!$A$2:$A$2442,A3274)&gt;0,"بله","خیر")</f>
        <v/>
      </c>
    </row>
    <row r="3275" ht="15" customHeight="1" s="14">
      <c r="A3275" s="24" t="n">
        <v>52885</v>
      </c>
      <c r="B3275" s="24" t="inlineStr">
        <is>
          <t>آساکول   قرص پيوسته رهش خوراکي 1600 mg - راسن درمان</t>
        </is>
      </c>
      <c r="C3275" s="25">
        <f>IF(COUNTIF('کدهای پیام‌داروساز'!$A$2:$A$2442,A3275)&gt;0,"بله","خیر")</f>
        <v/>
      </c>
    </row>
    <row r="3276" ht="15" customHeight="1" s="14">
      <c r="A3276" s="24" t="n">
        <v>52889</v>
      </c>
      <c r="B3276" s="24" t="inlineStr">
        <is>
          <t>تادالافيل   قرص خوراکي 2.5 mg - داروسازي آريا</t>
        </is>
      </c>
      <c r="C3276" s="25">
        <f>IF(COUNTIF('کدهای پیام‌داروساز'!$A$2:$A$2442,A3276)&gt;0,"بله","خیر")</f>
        <v/>
      </c>
    </row>
    <row r="3277" ht="15" customHeight="1" s="14">
      <c r="A3277" s="24" t="n">
        <v>52892</v>
      </c>
      <c r="B3277" s="24" t="inlineStr">
        <is>
          <t>اکسزولام   قرص پيوسته رهش خوراکي 2 mg - دارو سازي آراميس فارمد</t>
        </is>
      </c>
      <c r="C3277" s="25">
        <f>IF(COUNTIF('کدهای پیام‌داروساز'!$A$2:$A$2442,A3277)&gt;0,"بله","خیر")</f>
        <v/>
      </c>
    </row>
    <row r="3278" ht="15" customHeight="1" s="14">
      <c r="A3278" s="24" t="n">
        <v>52893</v>
      </c>
      <c r="B3278" s="24" t="inlineStr">
        <is>
          <t>کيپروليس   پودر براي تهيه محلول تزريقي پرنترال 30 mg  mg - بازرگاني سها کيش</t>
        </is>
      </c>
      <c r="C3278" s="25">
        <f>IF(COUNTIF('کدهای پیام‌داروساز'!$A$2:$A$2442,A3278)&gt;0,"بله","خیر")</f>
        <v/>
      </c>
    </row>
    <row r="3279" ht="15" customHeight="1" s="14">
      <c r="A3279" s="24" t="n">
        <v>52895</v>
      </c>
      <c r="B3279" s="24" t="inlineStr">
        <is>
          <t>اسپايکوژن   امولسيون تزريقي عضلاني 25 ug/0.5mL 16 {dose} - تحقيقاتي وتوليدي سينا ژن</t>
        </is>
      </c>
      <c r="C3279" s="25">
        <f>IF(COUNTIF('کدهای پیام‌داروساز'!$A$2:$A$2442,A3279)&gt;0,"بله","خیر")</f>
        <v/>
      </c>
    </row>
    <row r="3280" ht="15" customHeight="1" s="14">
      <c r="A3280" s="24" t="n">
        <v>52896</v>
      </c>
      <c r="B3280" s="24" t="inlineStr">
        <is>
          <t>نفروتکت 10%   محلول تزريقي داخل وريدي 5.8 mg/12 mg/16.925 mg/2 mg/3.5 mg/8.2 mg/3 mg/8.7 mg/8.2 mg/9.8 mg/6.2 mg/0.4 mg/5.305 mg/3 mg/7.6 mg/0.6 mg/3.155 mg/2.01 mg/1mL 250 mL - درمان ياب دارو</t>
        </is>
      </c>
      <c r="C3280" s="25">
        <f>IF(COUNTIF('کدهای پیام‌داروساز'!$A$2:$A$2442,A3280)&gt;0,"بله","خیر")</f>
        <v/>
      </c>
    </row>
    <row r="3281" ht="15" customHeight="1" s="14">
      <c r="A3281" s="24" t="n">
        <v>52897</v>
      </c>
      <c r="B3281" s="24" t="inlineStr">
        <is>
          <t>نفروتکت 10%   محلول تزريقي داخل وريدي 5.8 mg/12 mg/16.925 mg/2 mg/3.5 mg/8.2 mg/3 mg/8.7 mg/8.2 mg/9.8 mg/6.2 mg/0.4 mg/5.305 mg/3 mg/7.6 mg/0.6 mg/3.155 mg/2.01 mg/1mL 500 mL - درمان ياب دارو</t>
        </is>
      </c>
      <c r="C3281" s="25">
        <f>IF(COUNTIF('کدهای پیام‌داروساز'!$A$2:$A$2442,A3281)&gt;0,"بله","خیر")</f>
        <v/>
      </c>
    </row>
    <row r="3282" ht="15" customHeight="1" s="14">
      <c r="A3282" s="24" t="n">
        <v>52899</v>
      </c>
      <c r="B3282" s="24" t="inlineStr">
        <is>
          <t>پيکوژيل   پودر براي تهيه محلول خوراکي 10 mg/3.5 g/12 g  g - گيلارانکو</t>
        </is>
      </c>
      <c r="C3282" s="25">
        <f>IF(COUNTIF('کدهای پیام‌داروساز'!$A$2:$A$2442,A3282)&gt;0,"بله","خیر")</f>
        <v/>
      </c>
    </row>
    <row r="3283" ht="15" customHeight="1" s="14">
      <c r="A3283" s="24" t="n">
        <v>52900</v>
      </c>
      <c r="B3283" s="24" t="inlineStr">
        <is>
          <t>تراستينيب   قرص خوراکي 0.5 mg - نو آوران دارويي کيميا</t>
        </is>
      </c>
      <c r="C3283" s="25">
        <f>IF(COUNTIF('کدهای پیام‌داروساز'!$A$2:$A$2442,A3283)&gt;0,"بله","خیر")</f>
        <v/>
      </c>
    </row>
    <row r="3284" ht="15" customHeight="1" s="14">
      <c r="A3284" s="24" t="n">
        <v>52901</v>
      </c>
      <c r="B3284" s="24" t="inlineStr">
        <is>
          <t>فخراوک   تزريقي پرنترال  4 {dose} - دارو سازي ميلاد دارو نور</t>
        </is>
      </c>
      <c r="C3284" s="25">
        <f>IF(COUNTIF('کدهای پیام‌داروساز'!$A$2:$A$2442,A3284)&gt;0,"بله","خیر")</f>
        <v/>
      </c>
    </row>
    <row r="3285" ht="15" customHeight="1" s="14">
      <c r="A3285" s="24" t="n">
        <v>52902</v>
      </c>
      <c r="B3285" s="24" t="inlineStr">
        <is>
          <t>ادويکودون   قرص خوراکي 400 mg/5 mg - فارماشيمي</t>
        </is>
      </c>
      <c r="C3285" s="25">
        <f>IF(COUNTIF('کدهای پیام‌داروساز'!$A$2:$A$2442,A3285)&gt;0,"بله","خیر")</f>
        <v/>
      </c>
    </row>
    <row r="3286" ht="15" customHeight="1" s="14">
      <c r="A3286" s="24" t="n">
        <v>52903</v>
      </c>
      <c r="B3286" s="24" t="inlineStr">
        <is>
          <t>بايوکلد   قرص خوراکي 15 mg/2 mg/5 mg/325 mg - باختر بيو شيمي</t>
        </is>
      </c>
      <c r="C3286" s="25">
        <f>IF(COUNTIF('کدهای پیام‌داروساز'!$A$2:$A$2442,A3286)&gt;0,"بله","خیر")</f>
        <v/>
      </c>
    </row>
    <row r="3287" ht="15" customHeight="1" s="14">
      <c r="A3287" s="24" t="n">
        <v>52904</v>
      </c>
      <c r="B3287" s="24" t="inlineStr">
        <is>
          <t>کوريزان روز و شب   قرص خوراکي 15 mg/2 mg/30 mg/325 mg - داروسازي دکتر عبيدي</t>
        </is>
      </c>
      <c r="C3287" s="25">
        <f>IF(COUNTIF('کدهای پیام‌داروساز'!$A$2:$A$2442,A3287)&gt;0,"بله","خیر")</f>
        <v/>
      </c>
    </row>
    <row r="3288" ht="15" customHeight="1" s="14">
      <c r="A3288" s="24" t="n">
        <v>52905</v>
      </c>
      <c r="B3288" s="24" t="inlineStr">
        <is>
          <t>ناتادراپس   محلول، قطره چشمي 5 % 5 % - اطلس ژن</t>
        </is>
      </c>
      <c r="C3288" s="25">
        <f>IF(COUNTIF('کدهای پیام‌داروساز'!$A$2:$A$2442,A3288)&gt;0,"بله","خیر")</f>
        <v/>
      </c>
    </row>
    <row r="3289" ht="15" customHeight="1" s="14">
      <c r="A3289" s="24" t="n">
        <v>52906</v>
      </c>
      <c r="B3289" s="24" t="inlineStr">
        <is>
          <t>پيروي سايد   سوسپانسيون خوراکي 50 mg/5mL 50 mL - کارخانجات دارو پخش</t>
        </is>
      </c>
      <c r="C3289" s="25">
        <f>IF(COUNTIF('کدهای پیام‌داروساز'!$A$2:$A$2442,A3289)&gt;0,"بله","خیر")</f>
        <v/>
      </c>
    </row>
    <row r="3290" ht="15" customHeight="1" s="14">
      <c r="A3290" s="24" t="n">
        <v>52907</v>
      </c>
      <c r="B3290" s="24" t="inlineStr">
        <is>
          <t>پيرکون   سوسپانسيون خوراکي 50 mg/5mL 25 mg - پويش دارو گستر برتر فارس</t>
        </is>
      </c>
      <c r="C3290" s="25">
        <f>IF(COUNTIF('کدهای پیام‌داروساز'!$A$2:$A$2442,A3290)&gt;0,"بله","خیر")</f>
        <v/>
      </c>
    </row>
    <row r="3291" ht="15" customHeight="1" s="14">
      <c r="A3291" s="24" t="n">
        <v>52908</v>
      </c>
      <c r="B3291" s="24" t="inlineStr">
        <is>
          <t>الگراکس   سوسپانسيون خوراکي 30 mg/5mL 100 mL - داروئي اميد بهبود</t>
        </is>
      </c>
      <c r="C3291" s="25">
        <f>IF(COUNTIF('کدهای پیام‌داروساز'!$A$2:$A$2442,A3291)&gt;0,"بله","خیر")</f>
        <v/>
      </c>
    </row>
    <row r="3292" ht="15" customHeight="1" s="14">
      <c r="A3292" s="24" t="n">
        <v>52909</v>
      </c>
      <c r="B3292" s="24" t="inlineStr">
        <is>
          <t>آرتيپيک ادونسد   محلول، قطره چشمي 0.15 % 0.5 mL - فرآورده هاي تزريقي و دارويي ايران</t>
        </is>
      </c>
      <c r="C3292" s="25">
        <f>IF(COUNTIF('کدهای پیام‌داروساز'!$A$2:$A$2442,A3292)&gt;0,"بله","خیر")</f>
        <v/>
      </c>
    </row>
    <row r="3293" ht="15" customHeight="1" s="14">
      <c r="A3293" s="24" t="n">
        <v>52912</v>
      </c>
      <c r="B3293" s="24" t="inlineStr">
        <is>
          <t>ليپوپلاس 20%   امولسيون تزريقي داخل وريدي 80 mg/100 mg/20 mg/1mL 100 mL - نيکان فارمد</t>
        </is>
      </c>
      <c r="C3293" s="25">
        <f>IF(COUNTIF('کدهای پیام‌داروساز'!$A$2:$A$2442,A3293)&gt;0,"بله","خیر")</f>
        <v/>
      </c>
    </row>
    <row r="3294" ht="15" customHeight="1" s="14">
      <c r="A3294" s="24" t="n">
        <v>52913</v>
      </c>
      <c r="B3294" s="24" t="inlineStr">
        <is>
          <t>ليپوپلاس 20%   امولسيون تزريقي داخل وريدي 80 mg/100 mg/20 mg/1mL 250 mL - نيکان فارمد</t>
        </is>
      </c>
      <c r="C3294" s="25">
        <f>IF(COUNTIF('کدهای پیام‌داروساز'!$A$2:$A$2442,A3294)&gt;0,"بله","خیر")</f>
        <v/>
      </c>
    </row>
    <row r="3295" ht="15" customHeight="1" s="14">
      <c r="A3295" s="24" t="n">
        <v>52914</v>
      </c>
      <c r="B3295" s="24" t="inlineStr">
        <is>
          <t>ليپوپلاس 20%   امولسيون تزريقي داخل وريدي 80 mg/100 mg/20 mg/1mL 500 mL - نيکان فارمد</t>
        </is>
      </c>
      <c r="C3295" s="25">
        <f>IF(COUNTIF('کدهای پیام‌داروساز'!$A$2:$A$2442,A3295)&gt;0,"بله","خیر")</f>
        <v/>
      </c>
    </row>
    <row r="3296" ht="15" customHeight="1" s="14">
      <c r="A3296" s="24" t="n">
        <v>52915</v>
      </c>
      <c r="B3296" s="24" t="inlineStr">
        <is>
          <t>رازيکووپارس   امولسيون تزريقي عضلاني 10 ug/0.2mL 5 {dose} - موسسه تحقيقات واکسن وسرم سازي رازي</t>
        </is>
      </c>
      <c r="C3296" s="25">
        <f>IF(COUNTIF('کدهای پیام‌داروساز'!$A$2:$A$2442,A3296)&gt;0,"بله","خیر")</f>
        <v/>
      </c>
    </row>
    <row r="3297" ht="15" customHeight="1" s="14">
      <c r="A3297" s="24" t="n">
        <v>52917</v>
      </c>
      <c r="B3297" s="24" t="inlineStr">
        <is>
          <t>ترسيبا   محلول تزريقي پرنترال 100 [iU]/1mL 3 mL - نوو نور ديسک پارس</t>
        </is>
      </c>
      <c r="C3297" s="25">
        <f>IF(COUNTIF('کدهای پیام‌داروساز'!$A$2:$A$2442,A3297)&gt;0,"بله","خیر")</f>
        <v/>
      </c>
    </row>
    <row r="3298" ht="15" customHeight="1" s="14">
      <c r="A3298" s="24" t="n">
        <v>52918</v>
      </c>
      <c r="B3298" s="24" t="inlineStr">
        <is>
          <t>انسولين دگلودک / انسولين آسپارت   محلول تزريقي پرنترال 70 [iU]/30 [iU]/1mL 3 mL - ويتان فارمد</t>
        </is>
      </c>
      <c r="C3298" s="25">
        <f>IF(COUNTIF('کدهای پیام‌داروساز'!$A$2:$A$2442,A3298)&gt;0,"بله","خیر")</f>
        <v/>
      </c>
    </row>
    <row r="3299" ht="15" customHeight="1" s="14">
      <c r="A3299" s="24" t="n">
        <v>52919</v>
      </c>
      <c r="B3299" s="24" t="inlineStr">
        <is>
          <t>ابماسيکليب   قرص خوراکي 150 mg - داروسازي سبحان انکولوژي</t>
        </is>
      </c>
      <c r="C3299" s="25">
        <f>IF(COUNTIF('کدهای پیام‌داروساز'!$A$2:$A$2442,A3299)&gt;0,"بله","خیر")</f>
        <v/>
      </c>
    </row>
    <row r="3300" ht="15" customHeight="1" s="14">
      <c r="A3300" s="24" t="n">
        <v>52920</v>
      </c>
      <c r="B3300" s="24" t="inlineStr">
        <is>
          <t>اورليژن   پودر براي تهيه محلول خوراکي 0.75 mg/1mL 80 mg - رونا ژن</t>
        </is>
      </c>
      <c r="C3300" s="25">
        <f>IF(COUNTIF('کدهای پیام‌داروساز'!$A$2:$A$2442,A3300)&gt;0,"بله","خیر")</f>
        <v/>
      </c>
    </row>
    <row r="3301" ht="15" customHeight="1" s="14">
      <c r="A3301" s="24" t="n">
        <v>52921</v>
      </c>
      <c r="B3301" s="24" t="inlineStr">
        <is>
          <t>رهامت   محلول خوراکي 500 mg/5mL 250 mL - داروسازي رها اصفهان</t>
        </is>
      </c>
      <c r="C3301" s="25">
        <f>IF(COUNTIF('کدهای پیام‌داروساز'!$A$2:$A$2442,A3301)&gt;0,"بله","خیر")</f>
        <v/>
      </c>
    </row>
    <row r="3302" ht="15" customHeight="1" s="14">
      <c r="A3302" s="24" t="n">
        <v>52922</v>
      </c>
      <c r="B3302" s="24" t="inlineStr">
        <is>
          <t>پاراستامول کدئين   قرص خوراکي 500 mg/8 mg - داروسازي فاران شيمي</t>
        </is>
      </c>
      <c r="C3302" s="25">
        <f>IF(COUNTIF('کدهای پیام‌داروساز'!$A$2:$A$2442,A3302)&gt;0,"بله","خیر")</f>
        <v/>
      </c>
    </row>
    <row r="3303" ht="15" customHeight="1" s="14">
      <c r="A3303" s="24" t="n">
        <v>52923</v>
      </c>
      <c r="B3303" s="24" t="inlineStr">
        <is>
          <t>آلونبريگ   قرص خوراکي 90 mg - بازرگاني سها کيش</t>
        </is>
      </c>
      <c r="C3303" s="25">
        <f>IF(COUNTIF('کدهای پیام‌داروساز'!$A$2:$A$2442,A3303)&gt;0,"بله","خیر")</f>
        <v/>
      </c>
    </row>
    <row r="3304" ht="15" customHeight="1" s="14">
      <c r="A3304" s="24" t="n">
        <v>52924</v>
      </c>
      <c r="B3304" s="24" t="inlineStr">
        <is>
          <t>زايلوترا   کرم موضعي 7 %/7 % 30 g - ايران دارو</t>
        </is>
      </c>
      <c r="C3304" s="25">
        <f>IF(COUNTIF('کدهای پیام‌داروساز'!$A$2:$A$2442,A3304)&gt;0,"بله","خیر")</f>
        <v/>
      </c>
    </row>
    <row r="3305" ht="15" customHeight="1" s="14">
      <c r="A3305" s="24" t="n">
        <v>52925</v>
      </c>
      <c r="B3305" s="24" t="inlineStr">
        <is>
          <t>پلي اتيلن گلايکول+الکتروليت   محلول خوراکي 13.125 g/0.3508 g/0.1786 g/0.0502 g/25mL 200 mL - کيمياگران علم و صنعت رويان</t>
        </is>
      </c>
      <c r="C3305" s="25">
        <f>IF(COUNTIF('کدهای پیام‌داروساز'!$A$2:$A$2442,A3305)&gt;0,"بله","خیر")</f>
        <v/>
      </c>
    </row>
    <row r="3306" ht="15" customHeight="1" s="14">
      <c r="A3306" s="24" t="n">
        <v>52926</v>
      </c>
      <c r="B3306" s="24" t="inlineStr">
        <is>
          <t>اسپايکوژن   امولسيون تزريقي عضلاني 25 ug/0.5mL 1 {dose} - تحقيقاتي وتوليدي سينا ژن</t>
        </is>
      </c>
      <c r="C3306" s="25">
        <f>IF(COUNTIF('کدهای پیام‌داروساز'!$A$2:$A$2442,A3306)&gt;0,"بله","خیر")</f>
        <v/>
      </c>
    </row>
    <row r="3307" ht="15" customHeight="1" s="14">
      <c r="A3307" s="24" t="n">
        <v>52927</v>
      </c>
      <c r="B3307" s="24" t="inlineStr">
        <is>
          <t>اسپايکوژن   امولسيون تزريقي عضلاني 25 ug/0.5mL 4 {dose} - تحقيقاتي وتوليدي سينا ژن</t>
        </is>
      </c>
      <c r="C3307" s="25">
        <f>IF(COUNTIF('کدهای پیام‌داروساز'!$A$2:$A$2442,A3307)&gt;0,"بله","خیر")</f>
        <v/>
      </c>
    </row>
    <row r="3308" ht="15" customHeight="1" s="14">
      <c r="A3308" s="24" t="n">
        <v>52928</v>
      </c>
      <c r="B3308" s="24" t="inlineStr">
        <is>
          <t>لينزوليد   محلول تزريقي پرنترال 2 mg/1mL 100 mg - روناک</t>
        </is>
      </c>
      <c r="C3308" s="25">
        <f>IF(COUNTIF('کدهای پیام‌داروساز'!$A$2:$A$2442,A3308)&gt;0,"بله","خیر")</f>
        <v/>
      </c>
    </row>
    <row r="3309" ht="15" customHeight="1" s="14">
      <c r="A3309" s="24" t="n">
        <v>52929</v>
      </c>
      <c r="B3309" s="24" t="inlineStr">
        <is>
          <t>نورا وکسين   سوسپانسيون تزريقي عضلاني 80 ug/0.5mL 10 mL - پلاسما درمان سرو سپيد</t>
        </is>
      </c>
      <c r="C3309" s="25">
        <f>IF(COUNTIF('کدهای پیام‌داروساز'!$A$2:$A$2442,A3309)&gt;0,"بله","خیر")</f>
        <v/>
      </c>
    </row>
    <row r="3310" ht="15" customHeight="1" s="14">
      <c r="A3310" s="24" t="n">
        <v>52930</v>
      </c>
      <c r="B3310" s="24" t="inlineStr">
        <is>
          <t>آگريپلت   کپسول خوراکي 1 mg - پارس دارو</t>
        </is>
      </c>
      <c r="C3310" s="25">
        <f>IF(COUNTIF('کدهای پیام‌داروساز'!$A$2:$A$2442,A3310)&gt;0,"بله","خیر")</f>
        <v/>
      </c>
    </row>
    <row r="3311" ht="15" customHeight="1" s="14">
      <c r="A3311" s="24" t="n">
        <v>52931</v>
      </c>
      <c r="B3311" s="24" t="inlineStr">
        <is>
          <t>ُکسل يوگو   کپسول خوراکي 25 mg  mg - مرز گستران فناوري آينده</t>
        </is>
      </c>
      <c r="C3311" s="25">
        <f>IF(COUNTIF('کدهای پیام‌داروساز'!$A$2:$A$2442,A3311)&gt;0,"بله","خیر")</f>
        <v/>
      </c>
    </row>
    <row r="3312" ht="15" customHeight="1" s="14">
      <c r="A3312" s="24" t="n">
        <v>52932</v>
      </c>
      <c r="B3312" s="24" t="inlineStr">
        <is>
          <t>تري‌فلونومايد   قرص خوراکي 7 mg - نو آوران دارويي کيميا</t>
        </is>
      </c>
      <c r="C3312" s="25">
        <f>IF(COUNTIF('کدهای پیام‌داروساز'!$A$2:$A$2442,A3312)&gt;0,"بله","خیر")</f>
        <v/>
      </c>
    </row>
    <row r="3313" ht="15" customHeight="1" s="14">
      <c r="A3313" s="24" t="n">
        <v>52933</v>
      </c>
      <c r="B3313" s="24" t="inlineStr">
        <is>
          <t>الوکتا   پودر لئوفيليزه براي تهيه فرآورده تزريقي پرنترال 500 [iU]  [iU] - رايان دارو ايرانيان</t>
        </is>
      </c>
      <c r="C3313" s="25">
        <f>IF(COUNTIF('کدهای پیام‌داروساز'!$A$2:$A$2442,A3313)&gt;0,"بله","خیر")</f>
        <v/>
      </c>
    </row>
    <row r="3314" ht="15" customHeight="1" s="14">
      <c r="A3314" s="24" t="n">
        <v>52936</v>
      </c>
      <c r="B3314" s="24" t="inlineStr">
        <is>
          <t>روفولين   پودر براي تهيه فرآورده تزريقي پرنترال 200 mg  mg - روناک</t>
        </is>
      </c>
      <c r="C3314" s="25">
        <f>IF(COUNTIF('کدهای پیام‌داروساز'!$A$2:$A$2442,A3314)&gt;0,"بله","خیر")</f>
        <v/>
      </c>
    </row>
    <row r="3315" ht="15" customHeight="1" s="14">
      <c r="A3315" s="24" t="n">
        <v>52937</v>
      </c>
      <c r="B3315" s="24" t="inlineStr">
        <is>
          <t>باريسيتينيب   قرص خوراکي 1 mg - داروسازي سبحان انکولوژي</t>
        </is>
      </c>
      <c r="C3315" s="25">
        <f>IF(COUNTIF('کدهای پیام‌داروساز'!$A$2:$A$2442,A3315)&gt;0,"بله","خیر")</f>
        <v/>
      </c>
    </row>
    <row r="3316" ht="15" customHeight="1" s="14">
      <c r="A3316" s="24" t="n">
        <v>52939</v>
      </c>
      <c r="B3316" s="24" t="inlineStr">
        <is>
          <t>دکستران   تزريقي پرنترال 6 %/0.9 % 2 mL - يارا طب خاورميانه</t>
        </is>
      </c>
      <c r="C3316" s="25">
        <f>IF(COUNTIF('کدهای پیام‌داروساز'!$A$2:$A$2442,A3316)&gt;0,"بله","خیر")</f>
        <v/>
      </c>
    </row>
    <row r="3317" ht="15" customHeight="1" s="14">
      <c r="A3317" s="24" t="n">
        <v>52940</v>
      </c>
      <c r="B3317" s="24" t="inlineStr">
        <is>
          <t>آوامت   قرص پيوسته رهش خوراکي 1000 mg/2.5 mg - زيست اروند فارمد</t>
        </is>
      </c>
      <c r="C3317" s="25">
        <f>IF(COUNTIF('کدهای پیام‌داروساز'!$A$2:$A$2442,A3317)&gt;0,"بله","خیر")</f>
        <v/>
      </c>
    </row>
    <row r="3318" ht="15" customHeight="1" s="14">
      <c r="A3318" s="24" t="n">
        <v>52941</v>
      </c>
      <c r="B3318" s="24" t="inlineStr">
        <is>
          <t>آوامت   قرص پيوسته رهش خوراکي 1000 mg/5 mg - زيست اروند فارمد</t>
        </is>
      </c>
      <c r="C3318" s="25">
        <f>IF(COUNTIF('کدهای پیام‌داروساز'!$A$2:$A$2442,A3318)&gt;0,"بله","خیر")</f>
        <v/>
      </c>
    </row>
    <row r="3319" ht="15" customHeight="1" s="14">
      <c r="A3319" s="24" t="n">
        <v>52942</v>
      </c>
      <c r="B3319" s="24" t="inlineStr">
        <is>
          <t>مولنوپيراوير   کپسول خوراکي 200 mg - اکتوورکو</t>
        </is>
      </c>
      <c r="C3319" s="25">
        <f>IF(COUNTIF('کدهای پیام‌داروساز'!$A$2:$A$2442,A3319)&gt;0,"بله","خیر")</f>
        <v/>
      </c>
    </row>
    <row r="3320" ht="15" customHeight="1" s="14">
      <c r="A3320" s="24" t="n">
        <v>52944</v>
      </c>
      <c r="B3320" s="24" t="inlineStr">
        <is>
          <t>ريپتک   محلول، قطره چشمي 0.4 % 5 mL - بازرگاني سها کيش</t>
        </is>
      </c>
      <c r="C3320" s="25">
        <f>IF(COUNTIF('کدهای پیام‌داروساز'!$A$2:$A$2442,A3320)&gt;0,"بله","خیر")</f>
        <v/>
      </c>
    </row>
    <row r="3321" ht="15" customHeight="1" s="14">
      <c r="A3321" s="24" t="n">
        <v>52945</v>
      </c>
      <c r="B3321" s="24" t="inlineStr">
        <is>
          <t>ايربزارتان هگزال   قرص خوراکي 150 mg - بهستان دارو</t>
        </is>
      </c>
      <c r="C3321" s="25">
        <f>IF(COUNTIF('کدهای پیام‌داروساز'!$A$2:$A$2442,A3321)&gt;0,"بله","خیر")</f>
        <v/>
      </c>
    </row>
    <row r="3322" ht="15" customHeight="1" s="14">
      <c r="A3322" s="24" t="n">
        <v>52947</v>
      </c>
      <c r="B3322" s="24" t="inlineStr">
        <is>
          <t>همليبرا   محلول تزريقي پرنترال 30 mg/1mL 1 mg - بهستان دارو</t>
        </is>
      </c>
      <c r="C3322" s="25">
        <f>IF(COUNTIF('کدهای پیام‌داروساز'!$A$2:$A$2442,A3322)&gt;0,"بله","خیر")</f>
        <v/>
      </c>
    </row>
    <row r="3323" ht="15" customHeight="1" s="14">
      <c r="A3323" s="24" t="n">
        <v>52948</v>
      </c>
      <c r="B3323" s="24" t="inlineStr">
        <is>
          <t>همليبرا   محلول تزريقي پرنترال 150 mg/1mL 0.4 mg - بهستان دارو</t>
        </is>
      </c>
      <c r="C3323" s="25">
        <f>IF(COUNTIF('کدهای پیام‌داروساز'!$A$2:$A$2442,A3323)&gt;0,"بله","خیر")</f>
        <v/>
      </c>
    </row>
    <row r="3324" ht="15" customHeight="1" s="14">
      <c r="A3324" s="24" t="n">
        <v>52949</v>
      </c>
      <c r="B3324" s="24" t="inlineStr">
        <is>
          <t>همليبرا   محلول تزريقي پرنترال 150 mg/1mL 0.7 mg - بهستان دارو</t>
        </is>
      </c>
      <c r="C3324" s="25">
        <f>IF(COUNTIF('کدهای پیام‌داروساز'!$A$2:$A$2442,A3324)&gt;0,"بله","خیر")</f>
        <v/>
      </c>
    </row>
    <row r="3325" ht="15" customHeight="1" s="14">
      <c r="A3325" s="24" t="n">
        <v>52950</v>
      </c>
      <c r="B3325" s="24" t="inlineStr">
        <is>
          <t>همليبرا   محلول تزريقي پرنترال 150 mg/1mL 1 mg - بهستان دارو</t>
        </is>
      </c>
      <c r="C3325" s="25">
        <f>IF(COUNTIF('کدهای پیام‌داروساز'!$A$2:$A$2442,A3325)&gt;0,"بله","خیر")</f>
        <v/>
      </c>
    </row>
    <row r="3326" ht="15" customHeight="1" s="14">
      <c r="A3326" s="24" t="n">
        <v>52951</v>
      </c>
      <c r="B3326" s="24" t="inlineStr">
        <is>
          <t>زانکر   قرص خوراکي 20 mg - شيميائي و داروئي باران</t>
        </is>
      </c>
      <c r="C3326" s="25">
        <f>IF(COUNTIF('کدهای پیام‌داروساز'!$A$2:$A$2442,A3326)&gt;0,"بله","خیر")</f>
        <v/>
      </c>
    </row>
    <row r="3327" ht="15" customHeight="1" s="14">
      <c r="A3327" s="24" t="n">
        <v>52952</v>
      </c>
      <c r="B3327" s="24" t="inlineStr">
        <is>
          <t>ايرلاکس   قرص خوراکي 267 mg - دارو سازي آنوشا</t>
        </is>
      </c>
      <c r="C3327" s="25">
        <f>IF(COUNTIF('کدهای پیام‌داروساز'!$A$2:$A$2442,A3327)&gt;0,"بله","خیر")</f>
        <v/>
      </c>
    </row>
    <row r="3328" ht="15" customHeight="1" s="14">
      <c r="A3328" s="24" t="n">
        <v>52953</v>
      </c>
      <c r="B3328" s="24" t="inlineStr">
        <is>
          <t>پيرفنيدون   قرص خوراکي 534 mg - مهبان دارو</t>
        </is>
      </c>
      <c r="C3328" s="25">
        <f>IF(COUNTIF('کدهای پیام‌داروساز'!$A$2:$A$2442,A3328)&gt;0,"بله","خیر")</f>
        <v/>
      </c>
    </row>
    <row r="3329" ht="15" customHeight="1" s="14">
      <c r="A3329" s="24" t="n">
        <v>52954</v>
      </c>
      <c r="B3329" s="24" t="inlineStr">
        <is>
          <t>انتايويو   پودر لئوفيليزه براي تهيه محلول تزريقي پرنترال 300 mg  mg - رايان دارو ايرانيان</t>
        </is>
      </c>
      <c r="C3329" s="25">
        <f>IF(COUNTIF('کدهای پیام‌داروساز'!$A$2:$A$2442,A3329)&gt;0,"بله","خیر")</f>
        <v/>
      </c>
    </row>
    <row r="3330" ht="15" customHeight="1" s="14">
      <c r="A3330" s="24" t="n">
        <v>52955</v>
      </c>
      <c r="B3330" s="24" t="inlineStr">
        <is>
          <t>ليدوکائين   کرم موضعي 4 % 30 g - داروسازي تهران شيمي</t>
        </is>
      </c>
      <c r="C3330" s="25">
        <f>IF(COUNTIF('کدهای پیام‌داروساز'!$A$2:$A$2442,A3330)&gt;0,"بله","خیر")</f>
        <v/>
      </c>
    </row>
    <row r="3331" ht="15" customHeight="1" s="14">
      <c r="A3331" s="24" t="n">
        <v>52956</v>
      </c>
      <c r="B3331" s="24" t="inlineStr">
        <is>
          <t>واکسن دو ظرفيتي خوراکي فلج اطفال نوع 1 و 3   سوسپانسيون خوراکي 20 {dose}  {dose} - دارو درمان آرنگ</t>
        </is>
      </c>
      <c r="C3331" s="25">
        <f>IF(COUNTIF('کدهای پیام‌داروساز'!$A$2:$A$2442,A3331)&gt;0,"بله","خیر")</f>
        <v/>
      </c>
    </row>
    <row r="3332" ht="15" customHeight="1" s="14">
      <c r="A3332" s="24" t="n">
        <v>52957</v>
      </c>
      <c r="B3332" s="24" t="inlineStr">
        <is>
          <t>ابسنز   شربت خوراکي 250 mg/5mL 100 mg - بازرگاني سها کيش</t>
        </is>
      </c>
      <c r="C3332" s="25">
        <f>IF(COUNTIF('کدهای پیام‌داروساز'!$A$2:$A$2442,A3332)&gt;0,"بله","خیر")</f>
        <v/>
      </c>
    </row>
    <row r="3333" ht="15" customHeight="1" s="14">
      <c r="A3333" s="24" t="n">
        <v>52958</v>
      </c>
      <c r="B3333" s="24" t="inlineStr">
        <is>
          <t>ماونيک   قرص خوراکي 10 mg - دارويي البرز زاگرس</t>
        </is>
      </c>
      <c r="C3333" s="25">
        <f>IF(COUNTIF('کدهای پیام‌داروساز'!$A$2:$A$2442,A3333)&gt;0,"بله","خیر")</f>
        <v/>
      </c>
    </row>
    <row r="3334" ht="15" customHeight="1" s="14">
      <c r="A3334" s="24" t="n">
        <v>52962</v>
      </c>
      <c r="B3334" s="24" t="inlineStr">
        <is>
          <t>پلاسماي تازه منجمد شده   تزريقي پرنترال   mL - پلاسما فارمد سرو سپيد</t>
        </is>
      </c>
      <c r="C3334" s="25">
        <f>IF(COUNTIF('کدهای پیام‌داروساز'!$A$2:$A$2442,A3334)&gt;0,"بله","خیر")</f>
        <v/>
      </c>
    </row>
    <row r="3335" ht="15" customHeight="1" s="14">
      <c r="A3335" s="24" t="n">
        <v>52964</v>
      </c>
      <c r="B3335" s="24" t="inlineStr">
        <is>
          <t>پلاکت کنستانتره   تزريقي پرنترال   mL - سازمان انتقال خون ايران</t>
        </is>
      </c>
      <c r="C3335" s="25">
        <f>IF(COUNTIF('کدهای پیام‌داروساز'!$A$2:$A$2442,A3335)&gt;0,"بله","خیر")</f>
        <v/>
      </c>
    </row>
    <row r="3336" ht="15" customHeight="1" s="14">
      <c r="A3336" s="24" t="n">
        <v>52965</v>
      </c>
      <c r="B3336" s="24" t="inlineStr">
        <is>
          <t>پلاکت اشعه ديده   تزريقي پرنترال   mL - سازمان انتقال خون ايران</t>
        </is>
      </c>
      <c r="C3336" s="25">
        <f>IF(COUNTIF('کدهای پیام‌داروساز'!$A$2:$A$2442,A3336)&gt;0,"بله","خیر")</f>
        <v/>
      </c>
    </row>
    <row r="3337" ht="15" customHeight="1" s="14">
      <c r="A3337" s="24" t="n">
        <v>52966</v>
      </c>
      <c r="B3337" s="24" t="inlineStr">
        <is>
          <t>پلاکت فرزيس   تزريقي پرنترال   mL - سازمان انتقال خون ايران</t>
        </is>
      </c>
      <c r="C3337" s="25">
        <f>IF(COUNTIF('کدهای پیام‌داروساز'!$A$2:$A$2442,A3337)&gt;0,"بله","خیر")</f>
        <v/>
      </c>
    </row>
    <row r="3338" ht="15" customHeight="1" s="14">
      <c r="A3338" s="24" t="n">
        <v>52967</v>
      </c>
      <c r="B3338" s="24" t="inlineStr">
        <is>
          <t>پلاکت فرزيس اشعه ديده   تزريقي پرنترال - سازمان انتقال خون ايران</t>
        </is>
      </c>
      <c r="C3338" s="25">
        <f>IF(COUNTIF('کدهای پیام‌داروساز'!$A$2:$A$2442,A3338)&gt;0,"بله","خیر")</f>
        <v/>
      </c>
    </row>
    <row r="3339" ht="15" customHeight="1" s="14">
      <c r="A3339" s="24" t="n">
        <v>52968</v>
      </c>
      <c r="B3339" s="24" t="inlineStr">
        <is>
          <t>بتامتازون- ان   پماد موضعي 0.1 %/0.5 % 30 g - زاگرس بهداشت درمان دارو آفرند</t>
        </is>
      </c>
      <c r="C3339" s="25">
        <f>IF(COUNTIF('کدهای پیام‌داروساز'!$A$2:$A$2442,A3339)&gt;0,"بله","خیر")</f>
        <v/>
      </c>
    </row>
    <row r="3340" ht="15" customHeight="1" s="14">
      <c r="A3340" s="24" t="n">
        <v>52972</v>
      </c>
      <c r="B3340" s="24" t="inlineStr">
        <is>
          <t>گلبول قرمز   تزريقي پرنترال   mL - سازمان انتقال خون ايران</t>
        </is>
      </c>
      <c r="C3340" s="25">
        <f>IF(COUNTIF('کدهای پیام‌داروساز'!$A$2:$A$2442,A3340)&gt;0,"بله","خیر")</f>
        <v/>
      </c>
    </row>
    <row r="3341" ht="15" customHeight="1" s="14">
      <c r="A3341" s="24" t="n">
        <v>52976</v>
      </c>
      <c r="B3341" s="24" t="inlineStr">
        <is>
          <t>گلبول قرمز اشعه ديده   تزريقي پرنترال   mL - سازمان انتقال خون ايران</t>
        </is>
      </c>
      <c r="C3341" s="25">
        <f>IF(COUNTIF('کدهای پیام‌داروساز'!$A$2:$A$2442,A3341)&gt;0,"بله","خیر")</f>
        <v/>
      </c>
    </row>
    <row r="3342" ht="15" customHeight="1" s="14">
      <c r="A3342" s="24" t="n">
        <v>52977</v>
      </c>
      <c r="B3342" s="24" t="inlineStr">
        <is>
          <t>گلبول قرمز شسته شده اشعه ديده   تزريقي پرنترال  270 mL - سازمان انتقال خون ايران</t>
        </is>
      </c>
      <c r="C3342" s="25">
        <f>IF(COUNTIF('کدهای پیام‌داروساز'!$A$2:$A$2442,A3342)&gt;0,"بله","خیر")</f>
        <v/>
      </c>
    </row>
    <row r="3343" ht="15" customHeight="1" s="14">
      <c r="A3343" s="24" t="n">
        <v>52978</v>
      </c>
      <c r="B3343" s="24" t="inlineStr">
        <is>
          <t>کلوبتازول   پماد موضعي 0.05 % 30 g - زاگرس بهداشت درمان دارو آفرند</t>
        </is>
      </c>
      <c r="C3343" s="25">
        <f>IF(COUNTIF('کدهای پیام‌داروساز'!$A$2:$A$2442,A3343)&gt;0,"بله","خیر")</f>
        <v/>
      </c>
    </row>
    <row r="3344" ht="15" customHeight="1" s="14">
      <c r="A3344" s="24" t="n">
        <v>52979</v>
      </c>
      <c r="B3344" s="24" t="inlineStr">
        <is>
          <t>تتراسايکلين   پماد موضعي 3 % 30 g - زاگرس بهداشت درمان دارو آفرند</t>
        </is>
      </c>
      <c r="C3344" s="25">
        <f>IF(COUNTIF('کدهای پیام‌داروساز'!$A$2:$A$2442,A3344)&gt;0,"بله","خیر")</f>
        <v/>
      </c>
    </row>
    <row r="3345" ht="15" customHeight="1" s="14">
      <c r="A3345" s="24" t="n">
        <v>52980</v>
      </c>
      <c r="B3345" s="24" t="inlineStr">
        <is>
          <t>تريامسينولون ان ان   پماد موضعي 1 mg/2.5 mg/100000 [iU]/1g 30 g - زاگرس بهداشت درمان دارو آفرند</t>
        </is>
      </c>
      <c r="C3345" s="25">
        <f>IF(COUNTIF('کدهای پیام‌داروساز'!$A$2:$A$2442,A3345)&gt;0,"بله","خیر")</f>
        <v/>
      </c>
    </row>
    <row r="3346" ht="15" customHeight="1" s="14">
      <c r="A3346" s="24" t="n">
        <v>52981</v>
      </c>
      <c r="B3346" s="24" t="inlineStr">
        <is>
          <t>گلبول قرمز کم لکوسيت   تزريقي پرنترال   mL - سازمان انتقال خون ايران</t>
        </is>
      </c>
      <c r="C3346" s="25">
        <f>IF(COUNTIF('کدهای پیام‌داروساز'!$A$2:$A$2442,A3346)&gt;0,"بله","خیر")</f>
        <v/>
      </c>
    </row>
    <row r="3347" ht="15" customHeight="1" s="14">
      <c r="A3347" s="24" t="n">
        <v>52982</v>
      </c>
      <c r="B3347" s="24" t="inlineStr">
        <is>
          <t>گلبول قرمز کم لکوسيت شسته شده   تزريقي پرنترال  270 mL - سازمان انتقال خون ايران</t>
        </is>
      </c>
      <c r="C3347" s="25">
        <f>IF(COUNTIF('کدهای پیام‌داروساز'!$A$2:$A$2442,A3347)&gt;0,"بله","خیر")</f>
        <v/>
      </c>
    </row>
    <row r="3348" ht="15" customHeight="1" s="14">
      <c r="A3348" s="24" t="n">
        <v>52983</v>
      </c>
      <c r="B3348" s="24" t="inlineStr">
        <is>
          <t>خون کامل   تزريقي پرنترال   mL - سازمان انتقال خون ايران</t>
        </is>
      </c>
      <c r="C3348" s="25">
        <f>IF(COUNTIF('کدهای پیام‌داروساز'!$A$2:$A$2442,A3348)&gt;0,"بله","خیر")</f>
        <v/>
      </c>
    </row>
    <row r="3349" ht="15" customHeight="1" s="14">
      <c r="A3349" s="24" t="n">
        <v>52985</v>
      </c>
      <c r="B3349" s="24" t="inlineStr">
        <is>
          <t>ايبوپروفن   شياف مقعدي 75 mg - داروسازي ابوريحان</t>
        </is>
      </c>
      <c r="C3349" s="25">
        <f>IF(COUNTIF('کدهای پیام‌داروساز'!$A$2:$A$2442,A3349)&gt;0,"بله","خیر")</f>
        <v/>
      </c>
    </row>
    <row r="3350" ht="15" customHeight="1" s="14">
      <c r="A3350" s="24" t="n">
        <v>52986</v>
      </c>
      <c r="B3350" s="24" t="inlineStr">
        <is>
          <t>ايبوپروفن   شياف مقعدي 150 mg - داروسازي ابوريحان</t>
        </is>
      </c>
      <c r="C3350" s="25">
        <f>IF(COUNTIF('کدهای پیام‌داروساز'!$A$2:$A$2442,A3350)&gt;0,"بله","خیر")</f>
        <v/>
      </c>
    </row>
    <row r="3351" ht="15" customHeight="1" s="14">
      <c r="A3351" s="24" t="n">
        <v>52988</v>
      </c>
      <c r="B3351" s="24" t="inlineStr">
        <is>
          <t>بتامتازون-ناژو   کرم موضعي 0.1 % 500 g - ايران ناژو</t>
        </is>
      </c>
      <c r="C3351" s="25">
        <f>IF(COUNTIF('کدهای پیام‌داروساز'!$A$2:$A$2442,A3351)&gt;0,"بله","خیر")</f>
        <v/>
      </c>
    </row>
    <row r="3352" ht="15" customHeight="1" s="14">
      <c r="A3352" s="24" t="n">
        <v>52989</v>
      </c>
      <c r="B3352" s="24" t="inlineStr">
        <is>
          <t>ثاموستامول   محلول تزريقي داخل وريدي 10 mg/1mL 10 mL - داروسازي ثامن</t>
        </is>
      </c>
      <c r="C3352" s="25">
        <f>IF(COUNTIF('کدهای پیام‌داروساز'!$A$2:$A$2442,A3352)&gt;0,"بله","خیر")</f>
        <v/>
      </c>
    </row>
    <row r="3353" ht="15" customHeight="1" s="14">
      <c r="A3353" s="24" t="n">
        <v>52990</v>
      </c>
      <c r="B3353" s="24" t="inlineStr">
        <is>
          <t>دس لوراتادين   شربت خوراکي 2.5 mg/5 mL 60 mL - آسا دارو طوس</t>
        </is>
      </c>
      <c r="C3353" s="25">
        <f>IF(COUNTIF('کدهای پیام‌داروساز'!$A$2:$A$2442,A3353)&gt;0,"بله","خیر")</f>
        <v/>
      </c>
    </row>
    <row r="3354" ht="15" customHeight="1" s="14">
      <c r="A3354" s="24" t="n">
        <v>52991</v>
      </c>
      <c r="B3354" s="24" t="inlineStr">
        <is>
          <t>ايبرونب   قرص خوراکي 280 mg - شيميائي و داروئي باران</t>
        </is>
      </c>
      <c r="C3354" s="25">
        <f>IF(COUNTIF('کدهای پیام‌داروساز'!$A$2:$A$2442,A3354)&gt;0,"بله","خیر")</f>
        <v/>
      </c>
    </row>
    <row r="3355" ht="15" customHeight="1" s="14">
      <c r="A3355" s="24" t="n">
        <v>52992</v>
      </c>
      <c r="B3355" s="24" t="inlineStr">
        <is>
          <t>ايبرونب   قرص خوراکي 420 mg - شيميائي و داروئي باران</t>
        </is>
      </c>
      <c r="C3355" s="25">
        <f>IF(COUNTIF('کدهای پیام‌داروساز'!$A$2:$A$2442,A3355)&gt;0,"بله","خیر")</f>
        <v/>
      </c>
    </row>
    <row r="3356" ht="15" customHeight="1" s="14">
      <c r="A3356" s="24" t="n">
        <v>52993</v>
      </c>
      <c r="B3356" s="24" t="inlineStr">
        <is>
          <t>ايبرونب   قرص خوراکي 560 mg - شيميائي و داروئي باران</t>
        </is>
      </c>
      <c r="C3356" s="25">
        <f>IF(COUNTIF('کدهای پیام‌داروساز'!$A$2:$A$2442,A3356)&gt;0,"بله","خیر")</f>
        <v/>
      </c>
    </row>
    <row r="3357" ht="15" customHeight="1" s="14">
      <c r="A3357" s="24" t="n">
        <v>52996</v>
      </c>
      <c r="B3357" s="24" t="inlineStr">
        <is>
          <t>روتاسيل   پودر براي تهيه سوسپانسيون   خوراکي  2.5 {dose} - کي بي سي</t>
        </is>
      </c>
      <c r="C3357" s="25">
        <f>IF(COUNTIF('کدهای پیام‌داروساز'!$A$2:$A$2442,A3357)&gt;0,"بله","خیر")</f>
        <v/>
      </c>
    </row>
    <row r="3358" ht="15" customHeight="1" s="14">
      <c r="A3358" s="24" t="n">
        <v>52997</v>
      </c>
      <c r="B3358" s="24" t="inlineStr">
        <is>
          <t>روتاسيل   پودر براي تهيه سوسپانسيون   خوراکي  5 {dose} - کي بي سي</t>
        </is>
      </c>
      <c r="C3358" s="25">
        <f>IF(COUNTIF('کدهای پیام‌داروساز'!$A$2:$A$2442,A3358)&gt;0,"بله","خیر")</f>
        <v/>
      </c>
    </row>
    <row r="3359" ht="15" customHeight="1" s="14">
      <c r="A3359" s="24" t="n">
        <v>52998</v>
      </c>
      <c r="B3359" s="24" t="inlineStr">
        <is>
          <t>اسپينرازا   محلول تزريقي پرنترال 2.4 mg/1mL 5 mg - بازرگاني سها کيش</t>
        </is>
      </c>
      <c r="C3359" s="25">
        <f>IF(COUNTIF('کدهای پیام‌داروساز'!$A$2:$A$2442,A3359)&gt;0,"بله","خیر")</f>
        <v/>
      </c>
    </row>
    <row r="3360" ht="15" customHeight="1" s="14">
      <c r="A3360" s="24" t="n">
        <v>53000</v>
      </c>
      <c r="B3360" s="24" t="inlineStr">
        <is>
          <t>پپسوميد   پودر براي تهيه سوسپانسيون   خوراکي 40 mg/5mL 50 mL - داروئي اميد بهبود</t>
        </is>
      </c>
      <c r="C3360" s="25">
        <f>IF(COUNTIF('کدهای پیام‌داروساز'!$A$2:$A$2442,A3360)&gt;0,"بله","خیر")</f>
        <v/>
      </c>
    </row>
    <row r="3361" ht="15" customHeight="1" s="14">
      <c r="A3361" s="24" t="n">
        <v>53002</v>
      </c>
      <c r="B3361" s="24" t="inlineStr">
        <is>
          <t>پماويد   کپسول خوراکي 3 mg - نانو فناوران داروئي الوند</t>
        </is>
      </c>
      <c r="C3361" s="25">
        <f>IF(COUNTIF('کدهای پیام‌داروساز'!$A$2:$A$2442,A3361)&gt;0,"بله","خیر")</f>
        <v/>
      </c>
    </row>
    <row r="3362" ht="15" customHeight="1" s="14">
      <c r="A3362" s="24" t="n">
        <v>53003</v>
      </c>
      <c r="B3362" s="24" t="inlineStr">
        <is>
          <t>پماويد   کپسول خوراکي 2 mg - نانو فناوران داروئي الوند</t>
        </is>
      </c>
      <c r="C3362" s="25">
        <f>IF(COUNTIF('کدهای پیام‌داروساز'!$A$2:$A$2442,A3362)&gt;0,"بله","خیر")</f>
        <v/>
      </c>
    </row>
    <row r="3363" ht="15" customHeight="1" s="14">
      <c r="A3363" s="24" t="n">
        <v>53004</v>
      </c>
      <c r="B3363" s="24" t="inlineStr">
        <is>
          <t>پماويد   کپسول خوراکي 1 mg - نانو فناوران داروئي الوند</t>
        </is>
      </c>
      <c r="C3363" s="25">
        <f>IF(COUNTIF('کدهای پیام‌داروساز'!$A$2:$A$2442,A3363)&gt;0,"بله","خیر")</f>
        <v/>
      </c>
    </row>
    <row r="3364" ht="15" customHeight="1" s="14">
      <c r="A3364" s="24" t="n">
        <v>53006</v>
      </c>
      <c r="B3364" s="24" t="inlineStr">
        <is>
          <t>آربيکور   قرص خوراکي 20 mg - کوبل دارو</t>
        </is>
      </c>
      <c r="C3364" s="25">
        <f>IF(COUNTIF('کدهای پیام‌داروساز'!$A$2:$A$2442,A3364)&gt;0,"بله","خیر")</f>
        <v/>
      </c>
    </row>
    <row r="3365" ht="15" customHeight="1" s="14">
      <c r="A3365" s="24" t="n">
        <v>53007</v>
      </c>
      <c r="B3365" s="24" t="inlineStr">
        <is>
          <t>آربيکور   قرص خوراکي 40 mg - کوبل دارو</t>
        </is>
      </c>
      <c r="C3365" s="25">
        <f>IF(COUNTIF('کدهای پیام‌داروساز'!$A$2:$A$2442,A3365)&gt;0,"بله","خیر")</f>
        <v/>
      </c>
    </row>
    <row r="3366" ht="15" customHeight="1" s="14">
      <c r="A3366" s="24" t="n">
        <v>53008</v>
      </c>
      <c r="B3366" s="24" t="inlineStr">
        <is>
          <t>آربيکور   قرص خوراکي 80 mg - کوبل دارو</t>
        </is>
      </c>
      <c r="C3366" s="25">
        <f>IF(COUNTIF('کدهای پیام‌داروساز'!$A$2:$A$2442,A3366)&gt;0,"بله","خیر")</f>
        <v/>
      </c>
    </row>
    <row r="3367" ht="15" customHeight="1" s="14">
      <c r="A3367" s="24" t="n">
        <v>53010</v>
      </c>
      <c r="B3367" s="24" t="inlineStr">
        <is>
          <t>بوپيواکائين   تزريقي پرنترال 0.5 % 4 mg - ان بي اس کيش</t>
        </is>
      </c>
      <c r="C3367" s="25">
        <f>IF(COUNTIF('کدهای پیام‌داروساز'!$A$2:$A$2442,A3367)&gt;0,"بله","خیر")</f>
        <v/>
      </c>
    </row>
    <row r="3368" ht="15" customHeight="1" s="14">
      <c r="A3368" s="24" t="n">
        <v>53011</v>
      </c>
      <c r="B3368" s="24" t="inlineStr">
        <is>
          <t>لوسيدامين   پودر براي تهيه سوسپانسيون   خوراکي 40 mg/5mL 120 g - داروسازي امين</t>
        </is>
      </c>
      <c r="C3368" s="25">
        <f>IF(COUNTIF('کدهای پیام‌داروساز'!$A$2:$A$2442,A3368)&gt;0,"بله","خیر")</f>
        <v/>
      </c>
    </row>
    <row r="3369" ht="15" customHeight="1" s="14">
      <c r="A3369" s="24" t="n">
        <v>53012</v>
      </c>
      <c r="B3369" s="24" t="inlineStr">
        <is>
          <t>داپافار-ام   قرص خوراکي 5 mg/850 mg - الحاوي</t>
        </is>
      </c>
      <c r="C3369" s="25">
        <f>IF(COUNTIF('کدهای پیام‌داروساز'!$A$2:$A$2442,A3369)&gt;0,"بله","خیر")</f>
        <v/>
      </c>
    </row>
    <row r="3370" ht="15" customHeight="1" s="14">
      <c r="A3370" s="24" t="n">
        <v>53013</v>
      </c>
      <c r="B3370" s="24" t="inlineStr">
        <is>
          <t>داپافار-ام   قرص خوراکي 5 mg/1000 mg - الحاوي</t>
        </is>
      </c>
      <c r="C3370" s="25">
        <f>IF(COUNTIF('کدهای پیام‌داروساز'!$A$2:$A$2442,A3370)&gt;0,"بله","خیر")</f>
        <v/>
      </c>
    </row>
    <row r="3371" ht="15" customHeight="1" s="14">
      <c r="A3371" s="24" t="n">
        <v>53016</v>
      </c>
      <c r="B3371" s="24" t="inlineStr">
        <is>
          <t>آنژي هالت   قرص پيوسته رهش خوراکي 1000 mg - کارخانجات دارو پخش</t>
        </is>
      </c>
      <c r="C3371" s="25">
        <f>IF(COUNTIF('کدهای پیام‌داروساز'!$A$2:$A$2442,A3371)&gt;0,"بله","خیر")</f>
        <v/>
      </c>
    </row>
    <row r="3372" ht="15" customHeight="1" s="14">
      <c r="A3372" s="24" t="n">
        <v>53017</v>
      </c>
      <c r="B3372" s="24" t="inlineStr">
        <is>
          <t>اينونزا   پودر لئوفيليزه براي تهيه محلول تزريقي پرنترال 1 mg  mg - يارا طب خاورميانه</t>
        </is>
      </c>
      <c r="C3372" s="25">
        <f>IF(COUNTIF('کدهای پیام‌داروساز'!$A$2:$A$2442,A3372)&gt;0,"بله","خیر")</f>
        <v/>
      </c>
    </row>
    <row r="3373" ht="15" customHeight="1" s="14">
      <c r="A3373" s="24" t="n">
        <v>53018</v>
      </c>
      <c r="B3373" s="24" t="inlineStr">
        <is>
          <t>آکنوسيکلين   کپسول خوراکي 100 mg - داروسازي مداوا</t>
        </is>
      </c>
      <c r="C3373" s="25">
        <f>IF(COUNTIF('کدهای پیام‌داروساز'!$A$2:$A$2442,A3373)&gt;0,"بله","خیر")</f>
        <v/>
      </c>
    </row>
    <row r="3374" ht="15" customHeight="1" s="14">
      <c r="A3374" s="24" t="n">
        <v>53019</v>
      </c>
      <c r="B3374" s="24" t="inlineStr">
        <is>
          <t>وايوپيک   محلول، قطره چشمي 1.25 % 2.5 mL - فرآورده هاي تزريقي و دارويي ايران</t>
        </is>
      </c>
      <c r="C3374" s="25">
        <f>IF(COUNTIF('کدهای پیام‌داروساز'!$A$2:$A$2442,A3374)&gt;0,"بله","خیر")</f>
        <v/>
      </c>
    </row>
    <row r="3375" ht="15" customHeight="1" s="14">
      <c r="A3375" s="24" t="n">
        <v>53020</v>
      </c>
      <c r="B3375" s="24" t="inlineStr">
        <is>
          <t>فلوگارد   تزريقي پرنترال 1 {dose} 0.5 mL - آريوژن فارمد</t>
        </is>
      </c>
      <c r="C3375" s="25">
        <f>IF(COUNTIF('کدهای پیام‌داروساز'!$A$2:$A$2442,A3375)&gt;0,"بله","خیر")</f>
        <v/>
      </c>
    </row>
    <row r="3376" ht="15" customHeight="1" s="14">
      <c r="A3376" s="24" t="n">
        <v>53021</v>
      </c>
      <c r="B3376" s="24" t="inlineStr">
        <is>
          <t>آرسين   سوسپانسيون خوراکي 20 mg/1mL 200 mg - بازرگاني سها کيش</t>
        </is>
      </c>
      <c r="C3376" s="25">
        <f>IF(COUNTIF('کدهای پیام‌داروساز'!$A$2:$A$2442,A3376)&gt;0,"بله","خیر")</f>
        <v/>
      </c>
    </row>
    <row r="3377" ht="15" customHeight="1" s="14">
      <c r="A3377" s="24" t="n">
        <v>53022</v>
      </c>
      <c r="B3377" s="24" t="inlineStr">
        <is>
          <t>اسموف کابيون پريفرال   امولسيون تزريقي داخل وريدي 5 mg/7.4 mg/9.3 mg/4.3 mg/4.4 mg/6.2 mg/12 mg/3 mg/14 mg/11 mg/11.2 mg/6.5 mg/5.1 mg/2 mg/0.4 mg/1 mg/143 mg/0.74 mg/2.47 mg/4.48 mg/5.62 mg/4.18 mg/2</t>
        </is>
      </c>
      <c r="C3377" s="25">
        <f>IF(COUNTIF('کدهای پیام‌داروساز'!$A$2:$A$2442,A3377)&gt;0,"بله","خیر")</f>
        <v/>
      </c>
    </row>
    <row r="3378" ht="15" customHeight="1" s="14">
      <c r="A3378" s="24" t="n">
        <v>53023</v>
      </c>
      <c r="B3378" s="24" t="inlineStr">
        <is>
          <t>اسموف کابيون پريفرال   امولسيون تزريقي داخل وريدي 5 mg/7.4 mg/9.3 mg/4.3 mg/4.4 mg/6.2 mg/12 mg/3 mg/14 mg/11 mg/11.2 mg/6.5 mg/5.1 mg/2 mg/0.4 mg/1 mg/143 mg/0.74 mg/2.47 mg/4.48 mg/5.62 mg/4.18 mg/2</t>
        </is>
      </c>
      <c r="C3378" s="25">
        <f>IF(COUNTIF('کدهای پیام‌داروساز'!$A$2:$A$2442,A3378)&gt;0,"بله","خیر")</f>
        <v/>
      </c>
    </row>
    <row r="3379" ht="15" customHeight="1" s="14">
      <c r="A3379" s="24" t="n">
        <v>53024</v>
      </c>
      <c r="B3379" s="24" t="inlineStr">
        <is>
          <t>اسموف کابيون پريفرال   امولسيون تزريقي داخل وريدي 5 mg/7.4 mg/9.3 mg/4.3 mg/4.4 mg/6.2 mg/12 mg/3 mg/14 mg/11 mg/11.2 mg/6.5 mg/5.1 mg/2 mg/0.4 mg/1 mg/143 mg/0.74 mg/2.47 mg/4.48 mg/5.62 mg/4.18 mg/2</t>
        </is>
      </c>
      <c r="C3379" s="25">
        <f>IF(COUNTIF('کدهای پیام‌داروساز'!$A$2:$A$2442,A3379)&gt;0,"بله","خیر")</f>
        <v/>
      </c>
    </row>
    <row r="3380" ht="15" customHeight="1" s="14">
      <c r="A3380" s="24" t="n">
        <v>53025</v>
      </c>
      <c r="B3380" s="24" t="inlineStr">
        <is>
          <t>استامينوفن /کافئين / ايبوپروفن   قرص خوراکي 325 mg/40 mg/200 mg - رويان دارو</t>
        </is>
      </c>
      <c r="C3380" s="25">
        <f>IF(COUNTIF('کدهای پیام‌داروساز'!$A$2:$A$2442,A3380)&gt;0,"بله","خیر")</f>
        <v/>
      </c>
    </row>
    <row r="3381" ht="15" customHeight="1" s="14">
      <c r="A3381" s="24" t="n">
        <v>53026</v>
      </c>
      <c r="B3381" s="24" t="inlineStr">
        <is>
          <t>پاپاورين هيدروکلرايد استروپ   تزريقي پرنترال 20 mg/1mL 2 mg - بازرگاني سها کيش</t>
        </is>
      </c>
      <c r="C3381" s="25">
        <f>IF(COUNTIF('کدهای پیام‌داروساز'!$A$2:$A$2442,A3381)&gt;0,"بله","خیر")</f>
        <v/>
      </c>
    </row>
    <row r="3382" ht="15" customHeight="1" s="14">
      <c r="A3382" s="24" t="n">
        <v>53028</v>
      </c>
      <c r="B3382" s="24" t="inlineStr">
        <is>
          <t>لارياگو   سوسپانسيون خوراکي 50 mg/5mL 60 mL - اريکه تجارت ويستا</t>
        </is>
      </c>
      <c r="C3382" s="25">
        <f>IF(COUNTIF('کدهای پیام‌داروساز'!$A$2:$A$2442,A3382)&gt;0,"بله","خیر")</f>
        <v/>
      </c>
    </row>
    <row r="3383" ht="15" customHeight="1" s="14">
      <c r="A3383" s="24" t="n">
        <v>53029</v>
      </c>
      <c r="B3383" s="24" t="inlineStr">
        <is>
          <t>دياکوميت   پودر براي تهيه سوسپانسيون   خوراکي 250 mg  mg - بازرگاني سها کيش</t>
        </is>
      </c>
      <c r="C3383" s="25">
        <f>IF(COUNTIF('کدهای پیام‌داروساز'!$A$2:$A$2442,A3383)&gt;0,"بله","خیر")</f>
        <v/>
      </c>
    </row>
    <row r="3384" ht="15" customHeight="1" s="14">
      <c r="A3384" s="24" t="n">
        <v>53030</v>
      </c>
      <c r="B3384" s="24" t="inlineStr">
        <is>
          <t>تافينلار   کپسول خوراکي 75 mg - آسمان داروي پارس</t>
        </is>
      </c>
      <c r="C3384" s="25">
        <f>IF(COUNTIF('کدهای پیام‌داروساز'!$A$2:$A$2442,A3384)&gt;0,"بله","خیر")</f>
        <v/>
      </c>
    </row>
    <row r="3385" ht="15" customHeight="1" s="14">
      <c r="A3385" s="24" t="n">
        <v>53031</v>
      </c>
      <c r="B3385" s="24" t="inlineStr">
        <is>
          <t>نورم اسکين   کپسول حاوي مايع خوراکي 10 mg - دارو سازي آنوشا</t>
        </is>
      </c>
      <c r="C3385" s="25">
        <f>IF(COUNTIF('کدهای پیام‌داروساز'!$A$2:$A$2442,A3385)&gt;0,"بله","خیر")</f>
        <v/>
      </c>
    </row>
    <row r="3386" ht="15" customHeight="1" s="14">
      <c r="A3386" s="24" t="n">
        <v>53036</v>
      </c>
      <c r="B3386" s="24" t="inlineStr">
        <is>
          <t>کربوليک   سوسپانسيون خوراکي 200 mg/1mL 125 mL - سينا پيشگام دارو نوين</t>
        </is>
      </c>
      <c r="C3386" s="25">
        <f>IF(COUNTIF('کدهای پیام‌داروساز'!$A$2:$A$2442,A3386)&gt;0,"بله","خیر")</f>
        <v/>
      </c>
    </row>
    <row r="3387" ht="15" customHeight="1" s="14">
      <c r="A3387" s="24" t="n">
        <v>53037</v>
      </c>
      <c r="B3387" s="24" t="inlineStr">
        <is>
          <t>اووسنيب   قرص خوراکي 250 mg - مرز گستران فناوري آينده</t>
        </is>
      </c>
      <c r="C3387" s="25">
        <f>IF(COUNTIF('کدهای پیام‌داروساز'!$A$2:$A$2442,A3387)&gt;0,"بله","خیر")</f>
        <v/>
      </c>
    </row>
    <row r="3388" ht="15" customHeight="1" s="14">
      <c r="A3388" s="24" t="n">
        <v>53038</v>
      </c>
      <c r="B3388" s="24" t="inlineStr">
        <is>
          <t>اديو پرايم   قرص خوراکي 200 mg/500 mg - افق توليد دارو پارس</t>
        </is>
      </c>
      <c r="C3388" s="25">
        <f>IF(COUNTIF('کدهای پیام‌داروساز'!$A$2:$A$2442,A3388)&gt;0,"بله","خیر")</f>
        <v/>
      </c>
    </row>
    <row r="3389" ht="15" customHeight="1" s="14">
      <c r="A3389" s="24" t="n">
        <v>53039</v>
      </c>
      <c r="B3389" s="24" t="inlineStr">
        <is>
          <t>موتيفلاکس   سوسپانسيون خوراکي 1 mg/1 mL 250 mL - کارخانجات دارو پخش</t>
        </is>
      </c>
      <c r="C3389" s="25">
        <f>IF(COUNTIF('کدهای پیام‌داروساز'!$A$2:$A$2442,A3389)&gt;0,"بله","خیر")</f>
        <v/>
      </c>
    </row>
    <row r="3390" ht="15" customHeight="1" s="14">
      <c r="A3390" s="24" t="n">
        <v>53040</v>
      </c>
      <c r="B3390" s="24" t="inlineStr">
        <is>
          <t>تراستينيب   قرص خوراکي 2 mg - نو آوران دارويي کيميا</t>
        </is>
      </c>
      <c r="C3390" s="25">
        <f>IF(COUNTIF('کدهای پیام‌داروساز'!$A$2:$A$2442,A3390)&gt;0,"بله","خیر")</f>
        <v/>
      </c>
    </row>
    <row r="3391" ht="15" customHeight="1" s="14">
      <c r="A3391" s="24" t="n">
        <v>53041</v>
      </c>
      <c r="B3391" s="24" t="inlineStr">
        <is>
          <t>سيروزمايد   محلول خوراکي 40 mg/5mL 60 mL - داروسازي امين</t>
        </is>
      </c>
      <c r="C3391" s="25">
        <f>IF(COUNTIF('کدهای پیام‌داروساز'!$A$2:$A$2442,A3391)&gt;0,"بله","خیر")</f>
        <v/>
      </c>
    </row>
    <row r="3392" ht="15" customHeight="1" s="14">
      <c r="A3392" s="24" t="n">
        <v>53042</v>
      </c>
      <c r="B3392" s="24" t="inlineStr">
        <is>
          <t>ژرمانيوم68/گاليوم68   محلول داخل وريدي 30 mCi 3 mCi - پارس ايزوتوپ</t>
        </is>
      </c>
      <c r="C3392" s="25">
        <f>IF(COUNTIF('کدهای پیام‌داروساز'!$A$2:$A$2442,A3392)&gt;0,"بله","خیر")</f>
        <v/>
      </c>
    </row>
    <row r="3393" ht="15" customHeight="1" s="14">
      <c r="A3393" s="24" t="n">
        <v>53043</v>
      </c>
      <c r="B3393" s="24" t="inlineStr">
        <is>
          <t>ژرمانيوم68/گاليوم68   محلول داخل وريدي 50 mCi 3 mCi - پارس ايزوتوپ</t>
        </is>
      </c>
      <c r="C3393" s="25">
        <f>IF(COUNTIF('کدهای پیام‌داروساز'!$A$2:$A$2442,A3393)&gt;0,"بله","خیر")</f>
        <v/>
      </c>
    </row>
    <row r="3394" ht="15" customHeight="1" s="14">
      <c r="A3394" s="24" t="n">
        <v>53044</v>
      </c>
      <c r="B3394" s="24" t="inlineStr">
        <is>
          <t>ژرمانيوم68/گاليوم68   محلول داخل وريدي 100 mCi 3 mCi - پارس ايزوتوپ</t>
        </is>
      </c>
      <c r="C3394" s="25">
        <f>IF(COUNTIF('کدهای پیام‌داروساز'!$A$2:$A$2442,A3394)&gt;0,"بله","خیر")</f>
        <v/>
      </c>
    </row>
    <row r="3395" ht="15" customHeight="1" s="14">
      <c r="A3395" s="24" t="n">
        <v>53045</v>
      </c>
      <c r="B3395" s="24" t="inlineStr">
        <is>
          <t>ريکالرسل   سوسپانسيون تزريقي داخل اپيدرم 4 mL  mL - سل تک فارمد</t>
        </is>
      </c>
      <c r="C3395" s="25">
        <f>IF(COUNTIF('کدهای پیام‌داروساز'!$A$2:$A$2442,A3395)&gt;0,"بله","خیر")</f>
        <v/>
      </c>
    </row>
    <row r="3396" ht="15" customHeight="1" s="14">
      <c r="A3396" s="24" t="n">
        <v>53046</v>
      </c>
      <c r="B3396" s="24" t="inlineStr">
        <is>
          <t>پوليتوس   شربت خوراکي 8 mg/200 mg/5 mL 60 mL - داروسازي توليد دارو</t>
        </is>
      </c>
      <c r="C3396" s="25">
        <f>IF(COUNTIF('کدهای پیام‌داروساز'!$A$2:$A$2442,A3396)&gt;0,"بله","خیر")</f>
        <v/>
      </c>
    </row>
    <row r="3397" ht="15" customHeight="1" s="14">
      <c r="A3397" s="24" t="n">
        <v>53047</v>
      </c>
      <c r="B3397" s="24" t="inlineStr">
        <is>
          <t>کديفنزين   شربت خوراکي 7.5 mg/225 mg/5 mL 60 mL - کارخانجات دارو پخش</t>
        </is>
      </c>
      <c r="C3397" s="25">
        <f>IF(COUNTIF('کدهای پیام‌داروساز'!$A$2:$A$2442,A3397)&gt;0,"بله","خیر")</f>
        <v/>
      </c>
    </row>
    <row r="3398" ht="15" customHeight="1" s="14">
      <c r="A3398" s="24" t="n">
        <v>53048</v>
      </c>
      <c r="B3398" s="24" t="inlineStr">
        <is>
          <t>ايزوفلوران   اينهالر استنشاقي 100 % 250 mL - اکسين دارو پارس</t>
        </is>
      </c>
      <c r="C3398" s="25">
        <f>IF(COUNTIF('کدهای پیام‌داروساز'!$A$2:$A$2442,A3398)&gt;0,"بله","خیر")</f>
        <v/>
      </c>
    </row>
    <row r="3399" ht="15" customHeight="1" s="14">
      <c r="A3399" s="24" t="n">
        <v>53049</v>
      </c>
      <c r="B3399" s="24" t="inlineStr">
        <is>
          <t>فارسانته   قرص خوراکي 500 mg - فارماشيمي</t>
        </is>
      </c>
      <c r="C3399" s="25">
        <f>IF(COUNTIF('کدهای پیام‌داروساز'!$A$2:$A$2442,A3399)&gt;0,"بله","خیر")</f>
        <v/>
      </c>
    </row>
    <row r="3400" ht="15" customHeight="1" s="14">
      <c r="A3400" s="24" t="n">
        <v>53050</v>
      </c>
      <c r="B3400" s="24" t="inlineStr">
        <is>
          <t>ديکلوژين   قرص پيوسته رهش خوراکي 150 mg - داروسازي ابوريحان</t>
        </is>
      </c>
      <c r="C3400" s="25">
        <f>IF(COUNTIF('کدهای پیام‌داروساز'!$A$2:$A$2442,A3400)&gt;0,"بله","خیر")</f>
        <v/>
      </c>
    </row>
    <row r="3401" ht="15" customHeight="1" s="14">
      <c r="A3401" s="24" t="n">
        <v>53051</v>
      </c>
      <c r="B3401" s="24" t="inlineStr">
        <is>
          <t>آلدوپام   محلول تزريقي پرنترال 25 mg/1 mL 20 mg - دارويي پرسون بام بين الملل</t>
        </is>
      </c>
      <c r="C3401" s="25">
        <f>IF(COUNTIF('کدهای پیام‌داروساز'!$A$2:$A$2442,A3401)&gt;0,"بله","خیر")</f>
        <v/>
      </c>
    </row>
    <row r="3402" ht="15" customHeight="1" s="14">
      <c r="A3402" s="24" t="n">
        <v>53052</v>
      </c>
      <c r="B3402" s="24" t="inlineStr">
        <is>
          <t>آيفو-سل   محلول تزريقي پرنترال 40 mg/1mL 50 mg - بازرگاني سها کيش</t>
        </is>
      </c>
      <c r="C3402" s="25">
        <f>IF(COUNTIF('کدهای پیام‌داروساز'!$A$2:$A$2442,A3402)&gt;0,"بله","خیر")</f>
        <v/>
      </c>
    </row>
    <row r="3403" ht="15" customHeight="1" s="14">
      <c r="A3403" s="24" t="n">
        <v>53053</v>
      </c>
      <c r="B3403" s="24" t="inlineStr">
        <is>
          <t>رونمکس   پودر براي تهيه سوسپانسيون   خوراکي 125 mg/5mL 30 mg - بازرگاني سها کيش</t>
        </is>
      </c>
      <c r="C3403" s="25">
        <f>IF(COUNTIF('کدهای پیام‌داروساز'!$A$2:$A$2442,A3403)&gt;0,"بله","خیر")</f>
        <v/>
      </c>
    </row>
    <row r="3404" ht="15" customHeight="1" s="14">
      <c r="A3404" s="24" t="n">
        <v>53055</v>
      </c>
      <c r="B3404" s="24" t="inlineStr">
        <is>
          <t>رفکس   پودر براي تهيه سوسپانسيون   خوراکي 125 mg/5mL 30 mg - بازرگاني سها کيش</t>
        </is>
      </c>
      <c r="C3404" s="25">
        <f>IF(COUNTIF('کدهای پیام‌داروساز'!$A$2:$A$2442,A3404)&gt;0,"بله","خیر")</f>
        <v/>
      </c>
    </row>
    <row r="3405" ht="15" customHeight="1" s="14">
      <c r="A3405" s="24" t="n">
        <v>53056</v>
      </c>
      <c r="B3405" s="24" t="inlineStr">
        <is>
          <t>اکسترا کلاو فورت   پودر براي تهيه سوسپانسيون   خوراکي 400 mg/57 mg/5 mL 30 mL - بازرگاني سها کيش</t>
        </is>
      </c>
      <c r="C3405" s="25">
        <f>IF(COUNTIF('کدهای پیام‌داروساز'!$A$2:$A$2442,A3405)&gt;0,"بله","خیر")</f>
        <v/>
      </c>
    </row>
    <row r="3406" ht="15" customHeight="1" s="14">
      <c r="A3406" s="24" t="n">
        <v>53057</v>
      </c>
      <c r="B3406" s="24" t="inlineStr">
        <is>
          <t>آلموکس سي وي   پودر براي تهيه سوسپانسيون   خوراکي 200 mg/28.5 mg/5 mL 30 mL - بازرگاني سها کيش</t>
        </is>
      </c>
      <c r="C3406" s="25">
        <f>IF(COUNTIF('کدهای پیام‌داروساز'!$A$2:$A$2442,A3406)&gt;0,"بله","خیر")</f>
        <v/>
      </c>
    </row>
    <row r="3407" ht="15" customHeight="1" s="14">
      <c r="A3407" s="24" t="n">
        <v>53058</v>
      </c>
      <c r="B3407" s="24" t="inlineStr">
        <is>
          <t>کلوبتازول   لوسيون موضعي 0.05 % 30 mL - کيمياکالاي رازي</t>
        </is>
      </c>
      <c r="C3407" s="25">
        <f>IF(COUNTIF('کدهای پیام‌داروساز'!$A$2:$A$2442,A3407)&gt;0,"بله","خیر")</f>
        <v/>
      </c>
    </row>
    <row r="3408" ht="15" customHeight="1" s="14">
      <c r="A3408" s="24" t="n">
        <v>53059</v>
      </c>
      <c r="B3408" s="24" t="inlineStr">
        <is>
          <t>بلس   سوسپانسيون تزريقي از راه تراشه 27 mg/1mL 4 mL - تدبير کالاي جم</t>
        </is>
      </c>
      <c r="C3408" s="25">
        <f>IF(COUNTIF('کدهای پیام‌داروساز'!$A$2:$A$2442,A3408)&gt;0,"بله","خیر")</f>
        <v/>
      </c>
    </row>
    <row r="3409" ht="15" customHeight="1" s="14">
      <c r="A3409" s="24" t="n">
        <v>53060</v>
      </c>
      <c r="B3409" s="24" t="inlineStr">
        <is>
          <t>بلس   سوسپانسيون تزريقي از راه تراشه 27 mg/1mL 3 mL - تدبير کالاي جم</t>
        </is>
      </c>
      <c r="C3409" s="25">
        <f>IF(COUNTIF('کدهای پیام‌داروساز'!$A$2:$A$2442,A3409)&gt;0,"بله","خیر")</f>
        <v/>
      </c>
    </row>
    <row r="3410" ht="15" customHeight="1" s="14">
      <c r="A3410" s="24" t="n">
        <v>53061</v>
      </c>
      <c r="B3410" s="24" t="inlineStr">
        <is>
          <t>بودلا   کپسول استنشاقي 200 ug - افق توليد دارو پارس</t>
        </is>
      </c>
      <c r="C3410" s="25">
        <f>IF(COUNTIF('کدهای پیام‌داروساز'!$A$2:$A$2442,A3410)&gt;0,"بله","خیر")</f>
        <v/>
      </c>
    </row>
    <row r="3411" ht="15" customHeight="1" s="14">
      <c r="A3411" s="24" t="n">
        <v>53062</v>
      </c>
      <c r="B3411" s="24" t="inlineStr">
        <is>
          <t>بودلا   کپسول استنشاقي 400 ug - افق توليد دارو پارس</t>
        </is>
      </c>
      <c r="C3411" s="25">
        <f>IF(COUNTIF('کدهای پیام‌داروساز'!$A$2:$A$2442,A3411)&gt;0,"بله","خیر")</f>
        <v/>
      </c>
    </row>
    <row r="3412" ht="15" customHeight="1" s="14">
      <c r="A3412" s="24" t="n">
        <v>53063</v>
      </c>
      <c r="B3412" s="24" t="inlineStr">
        <is>
          <t>فلوکستين   قرص خوراکي 10 mg - به سازان پژوهان اميد آريا</t>
        </is>
      </c>
      <c r="C3412" s="25">
        <f>IF(COUNTIF('کدهای پیام‌داروساز'!$A$2:$A$2442,A3412)&gt;0,"بله","خیر")</f>
        <v/>
      </c>
    </row>
    <row r="3413" ht="15" customHeight="1" s="14">
      <c r="A3413" s="24" t="n">
        <v>53064</v>
      </c>
      <c r="B3413" s="24" t="inlineStr">
        <is>
          <t>فلوکزيست   قرص خوراکي 20 mg - زيست تخمير</t>
        </is>
      </c>
      <c r="C3413" s="25">
        <f>IF(COUNTIF('کدهای پیام‌داروساز'!$A$2:$A$2442,A3413)&gt;0,"بله","خیر")</f>
        <v/>
      </c>
    </row>
    <row r="3414" ht="15" customHeight="1" s="14">
      <c r="A3414" s="24" t="n">
        <v>53065</v>
      </c>
      <c r="B3414" s="24" t="inlineStr">
        <is>
          <t>آلزيکسا اي آر   کپسول پيوسته رهش خوراکي 7 mg - دارو سازي آنوشا</t>
        </is>
      </c>
      <c r="C3414" s="25">
        <f>IF(COUNTIF('کدهای پیام‌داروساز'!$A$2:$A$2442,A3414)&gt;0,"بله","خیر")</f>
        <v/>
      </c>
    </row>
    <row r="3415" ht="15" customHeight="1" s="14">
      <c r="A3415" s="24" t="n">
        <v>53066</v>
      </c>
      <c r="B3415" s="24" t="inlineStr">
        <is>
          <t>آلزيکسا اي آر   کپسول پيوسته رهش خوراکي 28 mg - دارو سازي آنوشا</t>
        </is>
      </c>
      <c r="C3415" s="25">
        <f>IF(COUNTIF('کدهای پیام‌داروساز'!$A$2:$A$2442,A3415)&gt;0,"بله","خیر")</f>
        <v/>
      </c>
    </row>
    <row r="3416" ht="15" customHeight="1" s="14">
      <c r="A3416" s="24" t="n">
        <v>53067</v>
      </c>
      <c r="B3416" s="24" t="inlineStr">
        <is>
          <t>اينتراليپيد   محلول تزريقي داخل وريدي 100 mg/22 mg/12 mg/1mL 500 mL - درمان ياب دارو</t>
        </is>
      </c>
      <c r="C3416" s="25">
        <f>IF(COUNTIF('کدهای پیام‌داروساز'!$A$2:$A$2442,A3416)&gt;0,"بله","خیر")</f>
        <v/>
      </c>
    </row>
    <row r="3417" ht="15" customHeight="1" s="14">
      <c r="A3417" s="24" t="n">
        <v>53069</v>
      </c>
      <c r="B3417" s="24" t="inlineStr">
        <is>
          <t>آزيکم   سوسپانسيون خوراکي 100 mg/5mL 15 mg - بازرگاني سها کيش</t>
        </is>
      </c>
      <c r="C3417" s="25">
        <f>IF(COUNTIF('کدهای پیام‌داروساز'!$A$2:$A$2442,A3417)&gt;0,"بله","خیر")</f>
        <v/>
      </c>
    </row>
    <row r="3418" ht="15" customHeight="1" s="14">
      <c r="A3418" s="24" t="n">
        <v>53070</v>
      </c>
      <c r="B3418" s="24" t="inlineStr">
        <is>
          <t>بي دي اي - زين   سوسپانسيون خوراکي 100 mg/5mL 30 mL - سلامت سازان آراد دارو</t>
        </is>
      </c>
      <c r="C3418" s="25">
        <f>IF(COUNTIF('کدهای پیام‌داروساز'!$A$2:$A$2442,A3418)&gt;0,"بله","خیر")</f>
        <v/>
      </c>
    </row>
    <row r="3419" ht="15" customHeight="1" s="14">
      <c r="A3419" s="24" t="n">
        <v>53071</v>
      </c>
      <c r="B3419" s="24" t="inlineStr">
        <is>
          <t>آزيتاف   سوسپانسيون خوراکي 200 mg/5mL 15 mg - بازرگاني سها کيش</t>
        </is>
      </c>
      <c r="C3419" s="25">
        <f>IF(COUNTIF('کدهای پیام‌داروساز'!$A$2:$A$2442,A3419)&gt;0,"بله","خیر")</f>
        <v/>
      </c>
    </row>
    <row r="3420" ht="15" customHeight="1" s="14">
      <c r="A3420" s="24" t="n">
        <v>53072</v>
      </c>
      <c r="B3420" s="24" t="inlineStr">
        <is>
          <t>بي دي اي - زين   سوسپانسيون خوراکي 200 mg/5mL 30 mL - سلامت سازان آراد دارو</t>
        </is>
      </c>
      <c r="C3420" s="25">
        <f>IF(COUNTIF('کدهای پیام‌داروساز'!$A$2:$A$2442,A3420)&gt;0,"بله","خیر")</f>
        <v/>
      </c>
    </row>
    <row r="3421" ht="15" customHeight="1" s="14">
      <c r="A3421" s="24" t="n">
        <v>53073</v>
      </c>
      <c r="B3421" s="24" t="inlineStr">
        <is>
          <t>لارگوپن   پودر براي تهيه سوسپانسيون   خوراکي 250 mg/5mL 80 mL - سلامت سازان آراد دارو</t>
        </is>
      </c>
      <c r="C3421" s="25">
        <f>IF(COUNTIF('کدهای پیام‌داروساز'!$A$2:$A$2442,A3421)&gt;0,"بله","خیر")</f>
        <v/>
      </c>
    </row>
    <row r="3422" ht="15" customHeight="1" s="14">
      <c r="A3422" s="24" t="n">
        <v>53074</v>
      </c>
      <c r="B3422" s="24" t="inlineStr">
        <is>
          <t>آلموکس دي اس   پودر براي تهيه سوسپانسيون   خوراکي 250 mg/5mL 60 mg - بازرگاني سها کيش</t>
        </is>
      </c>
      <c r="C3422" s="25">
        <f>IF(COUNTIF('کدهای پیام‌داروساز'!$A$2:$A$2442,A3422)&gt;0,"بله","خیر")</f>
        <v/>
      </c>
    </row>
    <row r="3423" ht="15" customHeight="1" s="14">
      <c r="A3423" s="24" t="n">
        <v>53076</v>
      </c>
      <c r="B3423" s="24" t="inlineStr">
        <is>
          <t>ترامادول   تزريقي پرنترال 50 mg/1mL 2 mL - البرز دارو</t>
        </is>
      </c>
      <c r="C3423" s="25">
        <f>IF(COUNTIF('کدهای پیام‌داروساز'!$A$2:$A$2442,A3423)&gt;0,"بله","خیر")</f>
        <v/>
      </c>
    </row>
    <row r="3424" ht="15" customHeight="1" s="14">
      <c r="A3424" s="24" t="n">
        <v>53077</v>
      </c>
      <c r="B3424" s="24" t="inlineStr">
        <is>
          <t>اوروريکس   قرص خوراکي 300 mg - بازرگاني سها کيش</t>
        </is>
      </c>
      <c r="C3424" s="25">
        <f>IF(COUNTIF('کدهای پیام‌داروساز'!$A$2:$A$2442,A3424)&gt;0,"بله","خیر")</f>
        <v/>
      </c>
    </row>
    <row r="3425" ht="15" customHeight="1" s="14">
      <c r="A3425" s="24" t="n">
        <v>53079</v>
      </c>
      <c r="B3425" s="24" t="inlineStr">
        <is>
          <t>اينليتا   قرص خوراکي 5 mg - آسمان داروي پارس</t>
        </is>
      </c>
      <c r="C3425" s="25">
        <f>IF(COUNTIF('کدهای پیام‌داروساز'!$A$2:$A$2442,A3425)&gt;0,"بله","خیر")</f>
        <v/>
      </c>
    </row>
    <row r="3426" ht="15" customHeight="1" s="14">
      <c r="A3426" s="24" t="n">
        <v>53080</v>
      </c>
      <c r="B3426" s="24" t="inlineStr">
        <is>
          <t>ريفن   کپسول خوراکي 250 mg/50 mg/200 mg - داروسازي ريحانه اصفهان</t>
        </is>
      </c>
      <c r="C3426" s="25">
        <f>IF(COUNTIF('کدهای پیام‌داروساز'!$A$2:$A$2442,A3426)&gt;0,"بله","خیر")</f>
        <v/>
      </c>
    </row>
    <row r="3427" ht="15" customHeight="1" s="14">
      <c r="A3427" s="24" t="n">
        <v>53081</v>
      </c>
      <c r="B3427" s="24" t="inlineStr">
        <is>
          <t>گارداسيل 9 ظرفيتي   تزريقي پرنترال 0.5 mL  mL - بهستان دارو</t>
        </is>
      </c>
      <c r="C3427" s="25">
        <f>IF(COUNTIF('کدهای پیام‌داروساز'!$A$2:$A$2442,A3427)&gt;0,"بله","خیر")</f>
        <v/>
      </c>
    </row>
    <row r="3428" ht="15" customHeight="1" s="14">
      <c r="A3428" s="24" t="n">
        <v>53082</v>
      </c>
      <c r="B3428" s="24" t="inlineStr">
        <is>
          <t>پاپيلوگارد   تزريقي پرنترال 0.5 mL  mL - نويان پژوهان زيست دارو</t>
        </is>
      </c>
      <c r="C3428" s="25">
        <f>IF(COUNTIF('کدهای پیام‌داروساز'!$A$2:$A$2442,A3428)&gt;0,"بله","خیر")</f>
        <v/>
      </c>
    </row>
    <row r="3429" ht="15" customHeight="1" s="14">
      <c r="A3429" s="24" t="n">
        <v>53083</v>
      </c>
      <c r="B3429" s="24" t="inlineStr">
        <is>
          <t>تريسوا   تزريقي پرنترال 1 mg/1mL 10 mg - بهستان دارو</t>
        </is>
      </c>
      <c r="C3429" s="25">
        <f>IF(COUNTIF('کدهای پیام‌داروساز'!$A$2:$A$2442,A3429)&gt;0,"بله","خیر")</f>
        <v/>
      </c>
    </row>
    <row r="3430" ht="15" customHeight="1" s="14">
      <c r="A3430" s="24" t="n">
        <v>53084</v>
      </c>
      <c r="B3430" s="24" t="inlineStr">
        <is>
          <t>تريسوا   تزريقي پرنترال 2.5 mg/1mL 10 mg - بهستان دارو</t>
        </is>
      </c>
      <c r="C3430" s="25">
        <f>IF(COUNTIF('کدهای پیام‌داروساز'!$A$2:$A$2442,A3430)&gt;0,"بله","خیر")</f>
        <v/>
      </c>
    </row>
    <row r="3431" ht="15" customHeight="1" s="14">
      <c r="A3431" s="24" t="n">
        <v>53085</v>
      </c>
      <c r="B3431" s="24" t="inlineStr">
        <is>
          <t>تريسوا   تزريقي پرنترال 5 mg/1mL 10 mg - بهستان دارو</t>
        </is>
      </c>
      <c r="C3431" s="25">
        <f>IF(COUNTIF('کدهای پیام‌داروساز'!$A$2:$A$2442,A3431)&gt;0,"بله","خیر")</f>
        <v/>
      </c>
    </row>
    <row r="3432" ht="15" customHeight="1" s="14">
      <c r="A3432" s="24" t="n">
        <v>53087</v>
      </c>
      <c r="B3432" s="24" t="inlineStr">
        <is>
          <t>پروپرانول (پروپرانول اچ سي ال)4.28 ميلي گرم / 1 ميلي ليتر 60 ميلي ليتر</t>
        </is>
      </c>
      <c r="C3432" s="25">
        <f>IF(COUNTIF('کدهای پیام‌داروساز'!$A$2:$A$2442,A3432)&gt;0,"بله","خیر")</f>
        <v/>
      </c>
    </row>
    <row r="3433" ht="15" customHeight="1" s="14">
      <c r="A3433" s="24" t="n">
        <v>53088</v>
      </c>
      <c r="B3433" s="24" t="inlineStr">
        <is>
          <t>فنوباربيتال 15 ميلي گرم / 5 ميلي ليتر 60 ميلي ليتر الگزير</t>
        </is>
      </c>
      <c r="C3433" s="25">
        <f>IF(COUNTIF('کدهای پیام‌داروساز'!$A$2:$A$2442,A3433)&gt;0,"بله","خیر")</f>
        <v/>
      </c>
    </row>
    <row r="3434" ht="15" customHeight="1" s="14">
      <c r="A3434" s="24" t="n">
        <v>53089</v>
      </c>
      <c r="B3434" s="24" t="inlineStr">
        <is>
          <t>نوراستور   قرص بازشونده در دهان خوراکي 100 mg/25 mg - پارس گيتا دارو</t>
        </is>
      </c>
      <c r="C3434" s="25">
        <f>IF(COUNTIF('کدهای پیام‌داروساز'!$A$2:$A$2442,A3434)&gt;0,"بله","خیر")</f>
        <v/>
      </c>
    </row>
    <row r="3435" ht="15" customHeight="1" s="14">
      <c r="A3435" s="24" t="n">
        <v>53090</v>
      </c>
      <c r="B3435" s="24" t="inlineStr">
        <is>
          <t>انهرتو   پودر براي تهيه محلول تزريقي پرنترال 100 mg  mg - بازرگاني سها کيش</t>
        </is>
      </c>
      <c r="C3435" s="25">
        <f>IF(COUNTIF('کدهای پیام‌داروساز'!$A$2:$A$2442,A3435)&gt;0,"بله","خیر")</f>
        <v/>
      </c>
    </row>
    <row r="3436" ht="15" customHeight="1" s="14">
      <c r="A3436" s="24" t="n">
        <v>53092</v>
      </c>
      <c r="B3436" s="24" t="inlineStr">
        <is>
          <t>فومپيزول   تزريقي پرنترال 5 mg/1mL 20 mL - سينا پيشگام دارو نوين</t>
        </is>
      </c>
      <c r="C3436" s="25">
        <f>IF(COUNTIF('کدهای پیام‌داروساز'!$A$2:$A$2442,A3436)&gt;0,"بله","خیر")</f>
        <v/>
      </c>
    </row>
    <row r="3437" ht="15" customHeight="1" s="14">
      <c r="A3437" s="24" t="n">
        <v>53093</v>
      </c>
      <c r="B3437" s="24" t="inlineStr">
        <is>
          <t>کلوبتازول بهسا   لوسيون موضعي 0.05 % 20 mL - دارو سازي بهسا</t>
        </is>
      </c>
      <c r="C3437" s="25">
        <f>IF(COUNTIF('کدهای پیام‌داروساز'!$A$2:$A$2442,A3437)&gt;0,"بله","خیر")</f>
        <v/>
      </c>
    </row>
    <row r="3438" ht="15" customHeight="1" s="14">
      <c r="A3438" s="24" t="n">
        <v>53094</v>
      </c>
      <c r="B3438" s="24" t="inlineStr">
        <is>
          <t>دنپزيل   قرص بازشونده در دهان خوراکي 5 mg - ناوک دارو</t>
        </is>
      </c>
      <c r="C3438" s="25">
        <f>IF(COUNTIF('کدهای پیام‌داروساز'!$A$2:$A$2442,A3438)&gt;0,"بله","خیر")</f>
        <v/>
      </c>
    </row>
    <row r="3439" ht="15" customHeight="1" s="14">
      <c r="A3439" s="24" t="n">
        <v>53095</v>
      </c>
      <c r="B3439" s="24" t="inlineStr">
        <is>
          <t>دونپزيل   قرص بازشونده در دهان خوراکي 10 mg - ناوک دارو</t>
        </is>
      </c>
      <c r="C3439" s="25">
        <f>IF(COUNTIF('کدهای پیام‌داروساز'!$A$2:$A$2442,A3439)&gt;0,"بله","خیر")</f>
        <v/>
      </c>
    </row>
    <row r="3440" ht="15" customHeight="1" s="14">
      <c r="A3440" s="24" t="n">
        <v>53096</v>
      </c>
      <c r="B3440" s="24" t="inlineStr">
        <is>
          <t>زرافيل   محلول تزريقي پرنترال 150 mg/1mL 1 mg - تحقيقاتي وتوليدي سينا ژن</t>
        </is>
      </c>
      <c r="C3440" s="25">
        <f>IF(COUNTIF('کدهای پیام‌داروساز'!$A$2:$A$2442,A3440)&gt;0,"بله","خیر")</f>
        <v/>
      </c>
    </row>
    <row r="3441" ht="15" customHeight="1" s="14">
      <c r="A3441" s="24" t="n">
        <v>53097</v>
      </c>
      <c r="B3441" s="24" t="inlineStr">
        <is>
          <t>افاويرنز   سوسپانسيون خوراکي 30 mg/1mL 180 mg - بازرگاني سها کيش</t>
        </is>
      </c>
      <c r="C3441" s="25">
        <f>IF(COUNTIF('کدهای پیام‌داروساز'!$A$2:$A$2442,A3441)&gt;0,"بله","خیر")</f>
        <v/>
      </c>
    </row>
    <row r="3442" ht="15" customHeight="1" s="14">
      <c r="A3442" s="24" t="n">
        <v>53098</v>
      </c>
      <c r="B3442" s="24" t="inlineStr">
        <is>
          <t>شربت آسيکلووير 200</t>
        </is>
      </c>
      <c r="C3442" s="25">
        <f>IF(COUNTIF('کدهای پیام‌داروساز'!$A$2:$A$2442,A3442)&gt;0,"بله","خیر")</f>
        <v/>
      </c>
    </row>
    <row r="3443" ht="15" customHeight="1" s="14">
      <c r="A3443" s="24" t="n">
        <v>53100</v>
      </c>
      <c r="B3443" s="24" t="inlineStr">
        <is>
          <t>ملوستات   قرص بازشونده در دهان خوراکي 7.5 mg - اوکسين داروي وشت</t>
        </is>
      </c>
      <c r="C3443" s="25">
        <f>IF(COUNTIF('کدهای پیام‌داروساز'!$A$2:$A$2442,A3443)&gt;0,"بله","خیر")</f>
        <v/>
      </c>
    </row>
    <row r="3444" ht="15" customHeight="1" s="14">
      <c r="A3444" s="24" t="n">
        <v>53101</v>
      </c>
      <c r="B3444" s="24" t="inlineStr">
        <is>
          <t>ملوستات   قرص بازشونده در دهان خوراکي 15 mg - اوکسين داروي وشت</t>
        </is>
      </c>
      <c r="C3444" s="25">
        <f>IF(COUNTIF('کدهای پیام‌داروساز'!$A$2:$A$2442,A3444)&gt;0,"بله","خیر")</f>
        <v/>
      </c>
    </row>
    <row r="3445" ht="15" customHeight="1" s="14">
      <c r="A3445" s="24" t="n">
        <v>53102</v>
      </c>
      <c r="B3445" s="24" t="inlineStr">
        <is>
          <t>آتازاناوير   قرص خوراکي 200 mg - ماه داروي حکيم</t>
        </is>
      </c>
      <c r="C3445" s="25">
        <f>IF(COUNTIF('کدهای پیام‌داروساز'!$A$2:$A$2442,A3445)&gt;0,"بله","خیر")</f>
        <v/>
      </c>
    </row>
    <row r="3446" ht="15" customHeight="1" s="14">
      <c r="A3446" s="24" t="n">
        <v>53107</v>
      </c>
      <c r="B3446" s="24" t="inlineStr">
        <is>
          <t>گليسيرين آيداين   محلول موضعي 2 % 10 mL - کيميا دارو سپهر</t>
        </is>
      </c>
      <c r="C3446" s="25">
        <f>IF(COUNTIF('کدهای پیام‌داروساز'!$A$2:$A$2442,A3446)&gt;0,"بله","خیر")</f>
        <v/>
      </c>
    </row>
    <row r="3447" ht="15" customHeight="1" s="14">
      <c r="A3447" s="24" t="n">
        <v>53108</v>
      </c>
      <c r="B3447" s="24" t="inlineStr">
        <is>
          <t>بوريک اسيد الکل   محلول موضعي 3 % 10 mL - کيميا دارو سپهر</t>
        </is>
      </c>
      <c r="C3447" s="25">
        <f>IF(COUNTIF('کدهای پیام‌داروساز'!$A$2:$A$2442,A3447)&gt;0,"بله","خیر")</f>
        <v/>
      </c>
    </row>
    <row r="3448" ht="15" customHeight="1" s="14">
      <c r="A3448" s="24" t="n">
        <v>53109</v>
      </c>
      <c r="B3448" s="24" t="inlineStr">
        <is>
          <t>فرتيژست   تزريقي پرنترال 25 mg/1mL 2 mL - داروسازي ابوريحان</t>
        </is>
      </c>
      <c r="C3448" s="25">
        <f>IF(COUNTIF('کدهای پیام‌داروساز'!$A$2:$A$2442,A3448)&gt;0,"بله","خیر")</f>
        <v/>
      </c>
    </row>
    <row r="3449" ht="15" customHeight="1" s="14">
      <c r="A3449" s="24" t="n">
        <v>53111</v>
      </c>
      <c r="B3449" s="24" t="inlineStr">
        <is>
          <t>کرم کيموسايت 5%  (ايمي کيمود) 7.5 گرم پمپ کيميا کالا رازي</t>
        </is>
      </c>
      <c r="C3449" s="25">
        <f>IF(COUNTIF('کدهای پیام‌داروساز'!$A$2:$A$2442,A3449)&gt;0,"بله","خیر")</f>
        <v/>
      </c>
    </row>
    <row r="3450" ht="15" customHeight="1" s="14">
      <c r="A3450" s="24" t="n">
        <v>53112</v>
      </c>
      <c r="B3450" s="24" t="inlineStr">
        <is>
          <t>پارس-تکتو پي. اس. ام .آ   پودر لئوفيليزه براي تهيه محلول تزريقي پرنترال 20 ug  g - پارس ايزوتوپ</t>
        </is>
      </c>
      <c r="C3450" s="25">
        <f>IF(COUNTIF('کدهای پیام‌داروساز'!$A$2:$A$2442,A3450)&gt;0,"بله","خیر")</f>
        <v/>
      </c>
    </row>
    <row r="3451" ht="15" customHeight="1" s="14">
      <c r="A3451" s="24" t="n">
        <v>53113</v>
      </c>
      <c r="B3451" s="24" t="inlineStr">
        <is>
          <t>تتراکلد   قرص خوراکي 325 mg/10 mg/100 mg/5 mg - سبحان دارو</t>
        </is>
      </c>
      <c r="C3451" s="25">
        <f>IF(COUNTIF('کدهای پیام‌داروساز'!$A$2:$A$2442,A3451)&gt;0,"بله","خیر")</f>
        <v/>
      </c>
    </row>
    <row r="3452" ht="15" customHeight="1" s="14">
      <c r="A3452" s="24" t="n">
        <v>53114</v>
      </c>
      <c r="B3452" s="24" t="inlineStr">
        <is>
          <t>ودآريو   محلول تزريقي پرنترال 108 mg/0.68mL  mg - آريوژن فارمد</t>
        </is>
      </c>
      <c r="C3452" s="25">
        <f>IF(COUNTIF('کدهای پیام‌داروساز'!$A$2:$A$2442,A3452)&gt;0,"بله","خیر")</f>
        <v/>
      </c>
    </row>
    <row r="3453" ht="15" customHeight="1" s="14">
      <c r="A3453" s="24" t="n">
        <v>53115</v>
      </c>
      <c r="B3453" s="24" t="inlineStr">
        <is>
          <t>اکسترامب   محلول غليظ تزريقي پرنترال 10 mg/1mL 24 mg - تحقيقاتي وتوليدي سينا ژن</t>
        </is>
      </c>
      <c r="C3453" s="25">
        <f>IF(COUNTIF('کدهای پیام‌داروساز'!$A$2:$A$2442,A3453)&gt;0,"بله","خیر")</f>
        <v/>
      </c>
    </row>
    <row r="3454" ht="15" customHeight="1" s="14">
      <c r="A3454" s="24" t="n">
        <v>53117</v>
      </c>
      <c r="B3454" s="24" t="inlineStr">
        <is>
          <t>انزالوتاميد   قرص خوراکي 40 mg - داروسازي سبحان انکولوژي</t>
        </is>
      </c>
      <c r="C3454" s="25">
        <f>IF(COUNTIF('کدهای پیام‌داروساز'!$A$2:$A$2442,A3454)&gt;0,"بله","خیر")</f>
        <v/>
      </c>
    </row>
    <row r="3455" ht="15" customHeight="1" s="14">
      <c r="A3455" s="24" t="n">
        <v>53118</v>
      </c>
      <c r="B3455" s="24" t="inlineStr">
        <is>
          <t>انزالوتاميد   قرص خوراکي 80 mg - داروسازي سبحان انکولوژي</t>
        </is>
      </c>
      <c r="C3455" s="25">
        <f>IF(COUNTIF('کدهای پیام‌داروساز'!$A$2:$A$2442,A3455)&gt;0,"بله","خیر")</f>
        <v/>
      </c>
    </row>
    <row r="3456" ht="15" customHeight="1" s="14">
      <c r="A3456" s="24" t="n">
        <v>53120</v>
      </c>
      <c r="B3456" s="24" t="inlineStr">
        <is>
          <t>امپراپلاس   پودر براي تهيه سوسپانسيون   خوراکي 20 mg/1680 mg  g - دارو افشان شايگان</t>
        </is>
      </c>
      <c r="C3456" s="25">
        <f>IF(COUNTIF('کدهای پیام‌داروساز'!$A$2:$A$2442,A3456)&gt;0,"بله","خیر")</f>
        <v/>
      </c>
    </row>
    <row r="3457" ht="15" customHeight="1" s="14">
      <c r="A3457" s="24" t="n">
        <v>53121</v>
      </c>
      <c r="B3457" s="24" t="inlineStr">
        <is>
          <t>امپراپلاس   پودر براي تهيه سوسپانسيون   خوراکي 40 mg/1680 mg  g - دارو افشان شايگان</t>
        </is>
      </c>
      <c r="C3457" s="25">
        <f>IF(COUNTIF('کدهای پیام‌داروساز'!$A$2:$A$2442,A3457)&gt;0,"بله","خیر")</f>
        <v/>
      </c>
    </row>
    <row r="3458" ht="15" customHeight="1" s="14">
      <c r="A3458" s="24" t="n">
        <v>53122</v>
      </c>
      <c r="B3458" s="24" t="inlineStr">
        <is>
          <t>زيافلکس   پودر لئوفيليزه براي تهيه فرآورده تزريقي پرنترال 0.9 mg  mg - بازرگاني سها کيش</t>
        </is>
      </c>
      <c r="C3458" s="25">
        <f>IF(COUNTIF('کدهای پیام‌داروساز'!$A$2:$A$2442,A3458)&gt;0,"بله","خیر")</f>
        <v/>
      </c>
    </row>
    <row r="3459" ht="15" customHeight="1" s="14">
      <c r="A3459" s="24" t="n">
        <v>53123</v>
      </c>
      <c r="B3459" s="24" t="inlineStr">
        <is>
          <t>فزگو   تزريقي پرنترال 60 mg/60 mg/1mL 10 mL - بهستان دارو</t>
        </is>
      </c>
      <c r="C3459" s="25">
        <f>IF(COUNTIF('کدهای پیام‌داروساز'!$A$2:$A$2442,A3459)&gt;0,"بله","خیر")</f>
        <v/>
      </c>
    </row>
    <row r="3460" ht="15" customHeight="1" s="14">
      <c r="A3460" s="24" t="n">
        <v>53124</v>
      </c>
      <c r="B3460" s="24" t="inlineStr">
        <is>
          <t>فزگو   تزريقي پرنترال 80 mg/40 mg/1mL 15 mL - بهستان دارو</t>
        </is>
      </c>
      <c r="C3460" s="25">
        <f>IF(COUNTIF('کدهای پیام‌داروساز'!$A$2:$A$2442,A3460)&gt;0,"بله","خیر")</f>
        <v/>
      </c>
    </row>
    <row r="3461" ht="15" customHeight="1" s="14">
      <c r="A3461" s="24" t="n">
        <v>53125</v>
      </c>
      <c r="B3461" s="24" t="inlineStr">
        <is>
          <t>ومترکس   تزريقي پرنترال 5 mg/1mL 3 mg - بانژ طب</t>
        </is>
      </c>
      <c r="C3461" s="25">
        <f>IF(COUNTIF('کدهای پیام‌داروساز'!$A$2:$A$2442,A3461)&gt;0,"بله","خیر")</f>
        <v/>
      </c>
    </row>
    <row r="3462" ht="15" customHeight="1" s="14">
      <c r="A3462" s="24" t="n">
        <v>53126</v>
      </c>
      <c r="B3462" s="24" t="inlineStr">
        <is>
          <t>لورلاتينيب   قرص خوراکي 100 mg - شفا گستر آرنگ</t>
        </is>
      </c>
      <c r="C3462" s="25">
        <f>IF(COUNTIF('کدهای پیام‌داروساز'!$A$2:$A$2442,A3462)&gt;0,"بله","خیر")</f>
        <v/>
      </c>
    </row>
    <row r="3463" ht="15" customHeight="1" s="14">
      <c r="A3463" s="24" t="n">
        <v>53127</v>
      </c>
      <c r="B3463" s="24" t="inlineStr">
        <is>
          <t>آدمپاس   قرص خوراکي 2 mg - بازرگاني سها کيش</t>
        </is>
      </c>
      <c r="C3463" s="25">
        <f>IF(COUNTIF('کدهای پیام‌داروساز'!$A$2:$A$2442,A3463)&gt;0,"بله","خیر")</f>
        <v/>
      </c>
    </row>
    <row r="3464" ht="15" customHeight="1" s="14">
      <c r="A3464" s="24" t="n">
        <v>53128</v>
      </c>
      <c r="B3464" s="24" t="inlineStr">
        <is>
          <t>بکسگراتين   کپسول خوراکي 75 mg - بازرگاني سها کيش</t>
        </is>
      </c>
      <c r="C3464" s="25">
        <f>IF(COUNTIF('کدهای پیام‌داروساز'!$A$2:$A$2442,A3464)&gt;0,"بله","خیر")</f>
        <v/>
      </c>
    </row>
    <row r="3465" ht="15" customHeight="1" s="14">
      <c r="A3465" s="24" t="n">
        <v>53129</v>
      </c>
      <c r="B3465" s="24" t="inlineStr">
        <is>
          <t>نوراستور   کپسول پيوسته رهش خوراکي 100 mg/25 mg - پارس گيتا دارو</t>
        </is>
      </c>
      <c r="C3465" s="25">
        <f>IF(COUNTIF('کدهای پیام‌داروساز'!$A$2:$A$2442,A3465)&gt;0,"بله","خیر")</f>
        <v/>
      </c>
    </row>
    <row r="3466" ht="15" customHeight="1" s="14">
      <c r="A3466" s="24" t="n">
        <v>53130</v>
      </c>
      <c r="B3466" s="24" t="inlineStr">
        <is>
          <t>زولپيدورال   قرص پيوسته رهش خوراکي 6.25 mg - دارو سازي آراميس فارمد</t>
        </is>
      </c>
      <c r="C3466" s="25">
        <f>IF(COUNTIF('کدهای پیام‌داروساز'!$A$2:$A$2442,A3466)&gt;0,"بله","خیر")</f>
        <v/>
      </c>
    </row>
    <row r="3467" ht="15" customHeight="1" s="14">
      <c r="A3467" s="24" t="n">
        <v>53132</v>
      </c>
      <c r="B3467" s="24" t="inlineStr">
        <is>
          <t>سوليکوآ   تزريقي پرنترال 100 [iU]/50 ug/1mL 3 mL - کوبل دارو</t>
        </is>
      </c>
      <c r="C3467" s="25">
        <f>IF(COUNTIF('کدهای پیام‌داروساز'!$A$2:$A$2442,A3467)&gt;0,"بله","خیر")</f>
        <v/>
      </c>
    </row>
    <row r="3468" ht="15" customHeight="1" s="14">
      <c r="A3468" s="24" t="n">
        <v>53133</v>
      </c>
      <c r="B3468" s="24" t="inlineStr">
        <is>
          <t>سوليکوآ   تزريقي پرنترال 100 [iU]/33 ug/1mL 3 mL - کوبل دارو</t>
        </is>
      </c>
      <c r="C3468" s="25">
        <f>IF(COUNTIF('کدهای پیام‌داروساز'!$A$2:$A$2442,A3468)&gt;0,"بله","خیر")</f>
        <v/>
      </c>
    </row>
    <row r="3469" ht="15" customHeight="1" s="14">
      <c r="A3469" s="24" t="n">
        <v>53134</v>
      </c>
      <c r="B3469" s="24" t="inlineStr">
        <is>
          <t>ايمفنزي   تزريقي پرنترال 50 mg/1mL 10 mg - آسمان داروي پارس</t>
        </is>
      </c>
      <c r="C3469" s="25">
        <f>IF(COUNTIF('کدهای پیام‌داروساز'!$A$2:$A$2442,A3469)&gt;0,"بله","خیر")</f>
        <v/>
      </c>
    </row>
    <row r="3470" ht="15" customHeight="1" s="14">
      <c r="A3470" s="24" t="n">
        <v>53135</v>
      </c>
      <c r="B3470" s="24" t="inlineStr">
        <is>
          <t>نئوپريدون   محلول خوراکي 1 mg/1mL 120 mL - سينا پيشگام دارو نوين</t>
        </is>
      </c>
      <c r="C3470" s="25">
        <f>IF(COUNTIF('کدهای پیام‌داروساز'!$A$2:$A$2442,A3470)&gt;0,"بله","خیر")</f>
        <v/>
      </c>
    </row>
    <row r="3471" ht="15" customHeight="1" s="14">
      <c r="A3471" s="24" t="n">
        <v>53136</v>
      </c>
      <c r="B3471" s="24" t="inlineStr">
        <is>
          <t>استلارا   محلول تزريقي پرنترال 90 mg/1mL 0.5 mg - بهستان دارو</t>
        </is>
      </c>
      <c r="C3471" s="25">
        <f>IF(COUNTIF('کدهای پیام‌داروساز'!$A$2:$A$2442,A3471)&gt;0,"بله","خیر")</f>
        <v/>
      </c>
    </row>
    <row r="3472" ht="15" customHeight="1" s="14">
      <c r="A3472" s="24" t="n">
        <v>53137</v>
      </c>
      <c r="B3472" s="24" t="inlineStr">
        <is>
          <t>استلارا   محلول غليظ تزريقي پرنترال 5 mg/1mL 26 mg - بهستان دارو</t>
        </is>
      </c>
      <c r="C3472" s="25">
        <f>IF(COUNTIF('کدهای پیام‌داروساز'!$A$2:$A$2442,A3472)&gt;0,"بله","خیر")</f>
        <v/>
      </c>
    </row>
    <row r="3473" ht="15" customHeight="1" s="14">
      <c r="A3473" s="24" t="n">
        <v>53138</v>
      </c>
      <c r="B3473" s="24" t="inlineStr">
        <is>
          <t>استلارا   محلول تزريقي پرنترال 90 mg/1mL 1 mg - بهستان دارو</t>
        </is>
      </c>
      <c r="C3473" s="25">
        <f>IF(COUNTIF('کدهای پیام‌داروساز'!$A$2:$A$2442,A3473)&gt;0,"بله","خیر")</f>
        <v/>
      </c>
    </row>
    <row r="3474" ht="15" customHeight="1" s="14">
      <c r="A3474" s="24" t="n">
        <v>53139</v>
      </c>
      <c r="B3474" s="24" t="inlineStr">
        <is>
          <t>ادويتيدين   قرص خوراکي 800 mg/26.6 mg - فارماشيمي</t>
        </is>
      </c>
      <c r="C3474" s="25">
        <f>IF(COUNTIF('کدهای پیام‌داروساز'!$A$2:$A$2442,A3474)&gt;0,"بله","خیر")</f>
        <v/>
      </c>
    </row>
    <row r="3475" ht="15" customHeight="1" s="14">
      <c r="A3475" s="24" t="n">
        <v>53140</v>
      </c>
      <c r="B3475" s="24" t="inlineStr">
        <is>
          <t>الديکسيا   محلول تزريقي پرنترال 100 mg/1mL 1 mg - تحقيقاتي وتوليدي سينا ژن</t>
        </is>
      </c>
      <c r="C3475" s="25">
        <f>IF(COUNTIF('کدهای پیام‌داروساز'!$A$2:$A$2442,A3475)&gt;0,"بله","خیر")</f>
        <v/>
      </c>
    </row>
    <row r="3476" ht="15" customHeight="1" s="14">
      <c r="A3476" s="24" t="n">
        <v>53141</v>
      </c>
      <c r="B3476" s="24" t="inlineStr">
        <is>
          <t>دگزاليب   محلول تزريقي پرنترال 4 mg/60 mg/50 mg/250 ug/2mL  mL - اوکسين داروي وشت</t>
        </is>
      </c>
      <c r="C3476" s="25">
        <f>IF(COUNTIF('کدهای پیام‌داروساز'!$A$2:$A$2442,A3476)&gt;0,"بله","خیر")</f>
        <v/>
      </c>
    </row>
    <row r="3477" ht="15" customHeight="1" s="14">
      <c r="A3477" s="24" t="n">
        <v>53142</v>
      </c>
      <c r="B3477" s="24" t="inlineStr">
        <is>
          <t>کوآگيت   پودر لئوفيليزه براي تهيه محلول تزريقي پرنترال 2000 [iU]  [iU] - آريوژن فارمد</t>
        </is>
      </c>
      <c r="C3477" s="25">
        <f>IF(COUNTIF('کدهای پیام‌داروساز'!$A$2:$A$2442,A3477)&gt;0,"بله","خیر")</f>
        <v/>
      </c>
    </row>
    <row r="3478" ht="15" customHeight="1" s="14">
      <c r="A3478" s="24" t="n">
        <v>53143</v>
      </c>
      <c r="B3478" s="24" t="inlineStr">
        <is>
          <t>توکاکسن   قرص خوراکي 150 mg - بازرگاني سها کيش</t>
        </is>
      </c>
      <c r="C3478" s="25">
        <f>IF(COUNTIF('کدهای پیام‌داروساز'!$A$2:$A$2442,A3478)&gt;0,"بله","خیر")</f>
        <v/>
      </c>
    </row>
    <row r="3479" ht="15" customHeight="1" s="14">
      <c r="A3479" s="24" t="n">
        <v>53144</v>
      </c>
      <c r="B3479" s="24" t="inlineStr">
        <is>
          <t>کامترين   کرم موضعي 5 % 60 g - گيلارانکو</t>
        </is>
      </c>
      <c r="C3479" s="25">
        <f>IF(COUNTIF('کدهای پیام‌داروساز'!$A$2:$A$2442,A3479)&gt;0,"بله","خیر")</f>
        <v/>
      </c>
    </row>
    <row r="3480" ht="15" customHeight="1" s="14">
      <c r="A3480" s="24" t="n">
        <v>53145</v>
      </c>
      <c r="B3480" s="24" t="inlineStr">
        <is>
          <t>واکسن توکسوئيد ديفتري/ توکسوئيد کزاز- جذب سطحي شده- نوزادان و کودکان   تزريقي پرنترال 10 {dose} 5 {dose} - دارو درمان آرنگ</t>
        </is>
      </c>
      <c r="C3480" s="25">
        <f>IF(COUNTIF('کدهای پیام‌داروساز'!$A$2:$A$2442,A3480)&gt;0,"بله","خیر")</f>
        <v/>
      </c>
    </row>
    <row r="3481" ht="15" customHeight="1" s="14">
      <c r="A3481" s="24" t="n">
        <v>53146</v>
      </c>
      <c r="B3481" s="24" t="inlineStr">
        <is>
          <t>ريزولانگ   کپسول خوراکي 200 mg - نو آوران دارويي کيميا</t>
        </is>
      </c>
      <c r="C3481" s="25">
        <f>IF(COUNTIF('کدهای پیام‌داروساز'!$A$2:$A$2442,A3481)&gt;0,"بله","خیر")</f>
        <v/>
      </c>
    </row>
    <row r="3482" ht="15" customHeight="1" s="14">
      <c r="A3482" s="24" t="n">
        <v>53152</v>
      </c>
      <c r="B3482" s="24" t="inlineStr">
        <is>
          <t>ليدوکائين (ليدوکائين اچ سي ال) 4ميلي ليتر تزريقى شهيد قاضي 5 %</t>
        </is>
      </c>
      <c r="C3482" s="25">
        <f>IF(COUNTIF('کدهای پیام‌داروساز'!$A$2:$A$2442,A3482)&gt;0,"بله","خیر")</f>
        <v/>
      </c>
    </row>
    <row r="3483" ht="15" customHeight="1" s="14">
      <c r="A3483" s="24" t="n">
        <v>53153</v>
      </c>
      <c r="B3483" s="24" t="inlineStr">
        <is>
          <t>سديم بي کربنات   تزريقي پرنترال 4.2 % 50 mL - داروسازي شهيد قاضي</t>
        </is>
      </c>
      <c r="C3483" s="25">
        <f>IF(COUNTIF('کدهای پیام‌داروساز'!$A$2:$A$2442,A3483)&gt;0,"بله","خیر")</f>
        <v/>
      </c>
    </row>
    <row r="3484" ht="15" customHeight="1" s="14">
      <c r="A3484" s="24" t="n">
        <v>53154</v>
      </c>
      <c r="B3484" s="24" t="inlineStr">
        <is>
          <t>اوکي- 432 پيسيبانيل   پودر براي تهيه سوسپانسيون تزريقي پرنترال 0.1 mg  mg - بازرگاني سها کيش</t>
        </is>
      </c>
      <c r="C3484" s="25">
        <f>IF(COUNTIF('کدهای پیام‌داروساز'!$A$2:$A$2442,A3484)&gt;0,"بله","خیر")</f>
        <v/>
      </c>
    </row>
    <row r="3485" ht="15" customHeight="1" s="14">
      <c r="A3485" s="24" t="n">
        <v>53155</v>
      </c>
      <c r="B3485" s="24" t="inlineStr">
        <is>
          <t>تولوات   قرص خوراکي 15 mg - آسمان داروي پارس</t>
        </is>
      </c>
      <c r="C3485" s="25">
        <f>IF(COUNTIF('کدهای پیام‌داروساز'!$A$2:$A$2442,A3485)&gt;0,"بله","خیر")</f>
        <v/>
      </c>
    </row>
    <row r="3486" ht="15" customHeight="1" s="14">
      <c r="A3486" s="24" t="n">
        <v>53156</v>
      </c>
      <c r="B3486" s="24" t="inlineStr">
        <is>
          <t>زانکر   قرص خوراکي 40 mg - شيميائي و داروئي باران</t>
        </is>
      </c>
      <c r="C3486" s="25">
        <f>IF(COUNTIF('کدهای پیام‌داروساز'!$A$2:$A$2442,A3486)&gt;0,"بله","خیر")</f>
        <v/>
      </c>
    </row>
    <row r="3487" ht="15" customHeight="1" s="14">
      <c r="A3487" s="24" t="n">
        <v>53157</v>
      </c>
      <c r="B3487" s="24" t="inlineStr">
        <is>
          <t>ريلاپزنت   قرص خوراکي 0.25 mg - زيست دارو دانش</t>
        </is>
      </c>
      <c r="C3487" s="25">
        <f>IF(COUNTIF('کدهای پیام‌داروساز'!$A$2:$A$2442,A3487)&gt;0,"بله","خیر")</f>
        <v/>
      </c>
    </row>
    <row r="3488" ht="15" customHeight="1" s="14">
      <c r="A3488" s="24" t="n">
        <v>53158</v>
      </c>
      <c r="B3488" s="24" t="inlineStr">
        <is>
          <t>ريلاپزنت   قرص خوراکي 1 mg - زيست دارو دانش</t>
        </is>
      </c>
      <c r="C3488" s="25">
        <f>IF(COUNTIF('کدهای پیام‌داروساز'!$A$2:$A$2442,A3488)&gt;0,"بله","خیر")</f>
        <v/>
      </c>
    </row>
    <row r="3489" ht="15" customHeight="1" s="14">
      <c r="A3489" s="24" t="n">
        <v>53159</v>
      </c>
      <c r="B3489" s="24" t="inlineStr">
        <is>
          <t>ريلاپزنت   قرص خوراکي 2 mg - زيست دارو دانش</t>
        </is>
      </c>
      <c r="C3489" s="25">
        <f>IF(COUNTIF('کدهای پیام‌داروساز'!$A$2:$A$2442,A3489)&gt;0,"بله","خیر")</f>
        <v/>
      </c>
    </row>
    <row r="3490" ht="15" customHeight="1" s="14">
      <c r="A3490" s="24" t="n">
        <v>53160</v>
      </c>
      <c r="B3490" s="24" t="inlineStr">
        <is>
          <t>اکسپو کاف سي   شربت خوراکي 7.9 mg/100 mg/5 mg/5mL 60 mL - کارخانجات دارو پخش</t>
        </is>
      </c>
      <c r="C3490" s="25">
        <f>IF(COUNTIF('کدهای پیام‌داروساز'!$A$2:$A$2442,A3490)&gt;0,"بله","خیر")</f>
        <v/>
      </c>
    </row>
    <row r="3491" ht="15" customHeight="1" s="14">
      <c r="A3491" s="24" t="n">
        <v>53161</v>
      </c>
      <c r="B3491" s="24" t="inlineStr">
        <is>
          <t>کوريزان سرفه و سينوس   شربت خوراکي 15 mg/200 mg/30 mg/5mL 120 mL - داروسازي دکتر عبيدي</t>
        </is>
      </c>
      <c r="C3491" s="25">
        <f>IF(COUNTIF('کدهای پیام‌داروساز'!$A$2:$A$2442,A3491)&gt;0,"بله","خیر")</f>
        <v/>
      </c>
    </row>
    <row r="3492" ht="15" customHeight="1" s="14">
      <c r="A3492" s="24" t="n">
        <v>53163</v>
      </c>
      <c r="B3492" s="24" t="inlineStr">
        <is>
          <t>بتزگا   قرص پيوسته رهش خوراکي 25 mg - دارو سازي آنوشا</t>
        </is>
      </c>
      <c r="C3492" s="25">
        <f>IF(COUNTIF('کدهای پیام‌داروساز'!$A$2:$A$2442,A3492)&gt;0,"بله","خیر")</f>
        <v/>
      </c>
    </row>
    <row r="3493" ht="15" customHeight="1" s="14">
      <c r="A3493" s="24" t="n">
        <v>53164</v>
      </c>
      <c r="B3493" s="24" t="inlineStr">
        <is>
          <t>بوسوتريس   قرص روکشدار خوراکي 400 mg - بازرگاني سها کيش</t>
        </is>
      </c>
      <c r="C3493" s="25">
        <f>IF(COUNTIF('کدهای پیام‌داروساز'!$A$2:$A$2442,A3493)&gt;0,"بله","خیر")</f>
        <v/>
      </c>
    </row>
    <row r="3494" ht="15" customHeight="1" s="14">
      <c r="A3494" s="24" t="n">
        <v>53165</v>
      </c>
      <c r="B3494" s="24" t="inlineStr">
        <is>
          <t>بوسانتينيب   قرص روکشدار خوراکي 100 mg - مرز گستران فناوري آينده</t>
        </is>
      </c>
      <c r="C3494" s="25">
        <f>IF(COUNTIF('کدهای پیام‌داروساز'!$A$2:$A$2442,A3494)&gt;0,"بله","خیر")</f>
        <v/>
      </c>
    </row>
    <row r="3495" ht="15" customHeight="1" s="14">
      <c r="A3495" s="24" t="n">
        <v>53166</v>
      </c>
      <c r="B3495" s="24" t="inlineStr">
        <is>
          <t>سوليبا   قرص روکشدار خوراکي 500 mg - نانو فناوران داروئي الوند</t>
        </is>
      </c>
      <c r="C3495" s="25">
        <f>IF(COUNTIF('کدهای پیام‌داروساز'!$A$2:$A$2442,A3495)&gt;0,"بله","خیر")</f>
        <v/>
      </c>
    </row>
    <row r="3496" ht="15" customHeight="1" s="14">
      <c r="A3496" s="24" t="n">
        <v>53167</v>
      </c>
      <c r="B3496" s="24" t="inlineStr">
        <is>
          <t>آکنوسيکلين   قرص خوراکي 50 mg - داروسازي مداوا</t>
        </is>
      </c>
      <c r="C3496" s="25">
        <f>IF(COUNTIF('کدهای پیام‌داروساز'!$A$2:$A$2442,A3496)&gt;0,"بله","خیر")</f>
        <v/>
      </c>
    </row>
    <row r="3497" ht="15" customHeight="1" s="14">
      <c r="A3497" s="24" t="n">
        <v>53168</v>
      </c>
      <c r="B3497" s="24" t="inlineStr">
        <is>
          <t>آکنوسيکلين   قرص خوراکي 100 mg - داروسازي مداوا</t>
        </is>
      </c>
      <c r="C3497" s="25">
        <f>IF(COUNTIF('کدهای پیام‌داروساز'!$A$2:$A$2442,A3497)&gt;0,"بله","خیر")</f>
        <v/>
      </c>
    </row>
    <row r="3498" ht="15" customHeight="1" s="14">
      <c r="A3498" s="24" t="n">
        <v>53171</v>
      </c>
      <c r="B3498" s="24" t="inlineStr">
        <is>
          <t>توفاکسل   قرص پيوسته رهش خوراکي 11 mg - نو آوران دارويي کيميا</t>
        </is>
      </c>
      <c r="C3498" s="25">
        <f>IF(COUNTIF('کدهای پیام‌داروساز'!$A$2:$A$2442,A3498)&gt;0,"بله","خیر")</f>
        <v/>
      </c>
    </row>
    <row r="3499" ht="15" customHeight="1" s="14">
      <c r="A3499" s="24" t="n">
        <v>53173</v>
      </c>
      <c r="B3499" s="24" t="inlineStr">
        <is>
          <t>آربيکور-پلاس   قرص خوراکي 40 mg/12.5 mg - کوبل دارو</t>
        </is>
      </c>
      <c r="C3499" s="25">
        <f>IF(COUNTIF('کدهای پیام‌داروساز'!$A$2:$A$2442,A3499)&gt;0,"بله","خیر")</f>
        <v/>
      </c>
    </row>
    <row r="3500" ht="15" customHeight="1" s="14">
      <c r="A3500" s="24" t="n">
        <v>53174</v>
      </c>
      <c r="B3500" s="24" t="inlineStr">
        <is>
          <t>آربيکور-پلاس   قرص خوراکي 80 mg/12.5 mg - کوبل دارو</t>
        </is>
      </c>
      <c r="C3500" s="25">
        <f>IF(COUNTIF('کدهای پیام‌داروساز'!$A$2:$A$2442,A3500)&gt;0,"بله","خیر")</f>
        <v/>
      </c>
    </row>
    <row r="3501" ht="15" customHeight="1" s="14">
      <c r="A3501" s="24" t="n">
        <v>53175</v>
      </c>
      <c r="B3501" s="24" t="inlineStr">
        <is>
          <t>آربيکور-پلاس   قرص خوراکي 80 mg/25 mg - کوبل دارو</t>
        </is>
      </c>
      <c r="C3501" s="25">
        <f>IF(COUNTIF('کدهای پیام‌داروساز'!$A$2:$A$2442,A3501)&gt;0,"بله","خیر")</f>
        <v/>
      </c>
    </row>
    <row r="3502" ht="15" customHeight="1" s="14">
      <c r="A3502" s="24" t="n">
        <v>53176</v>
      </c>
      <c r="B3502" s="24" t="inlineStr">
        <is>
          <t>اولاپارکس   قرص خوراکي 100 mg - آرنا حيات دانش</t>
        </is>
      </c>
      <c r="C3502" s="25">
        <f>IF(COUNTIF('کدهای پیام‌داروساز'!$A$2:$A$2442,A3502)&gt;0,"بله","خیر")</f>
        <v/>
      </c>
    </row>
    <row r="3503" ht="15" customHeight="1" s="14">
      <c r="A3503" s="24" t="n">
        <v>53177</v>
      </c>
      <c r="B3503" s="24" t="inlineStr">
        <is>
          <t>برزتري   اينهالر استنشاقي 160 ug/5 ug/9 ug/1{dose} 120 {dose} - کوبل دارو</t>
        </is>
      </c>
      <c r="C3503" s="25">
        <f>IF(COUNTIF('کدهای پیام‌داروساز'!$A$2:$A$2442,A3503)&gt;0,"بله","خیر")</f>
        <v/>
      </c>
    </row>
    <row r="3504" ht="15" customHeight="1" s="14">
      <c r="A3504" s="24" t="n">
        <v>53179</v>
      </c>
      <c r="B3504" s="24" t="inlineStr">
        <is>
          <t>آني ليپ-اس   قرص خوراکي 145 mg/40 mg - داروسازي آني درمان</t>
        </is>
      </c>
      <c r="C3504" s="25">
        <f>IF(COUNTIF('کدهای پیام‌داروساز'!$A$2:$A$2442,A3504)&gt;0,"بله","خیر")</f>
        <v/>
      </c>
    </row>
    <row r="3505" ht="15" customHeight="1" s="14">
      <c r="A3505" s="24" t="n">
        <v>53181</v>
      </c>
      <c r="B3505" s="24" t="inlineStr">
        <is>
          <t>والامور   قرص روکشدار خوراکي 200 mg - بازرگاني سها کيش</t>
        </is>
      </c>
      <c r="C3505" s="25">
        <f>IF(COUNTIF('کدهای پیام‌داروساز'!$A$2:$A$2442,A3505)&gt;0,"بله","خیر")</f>
        <v/>
      </c>
    </row>
    <row r="3506" ht="15" customHeight="1" s="14">
      <c r="A3506" s="24" t="n">
        <v>53187</v>
      </c>
      <c r="B3506" s="24" t="inlineStr">
        <is>
          <t>گلبول قرمز کم لکوسيت شسته شده اشعه ديده   تزريقي پرنترال  270 mL - سازمان انتقال خون ايران</t>
        </is>
      </c>
      <c r="C3506" s="25">
        <f>IF(COUNTIF('کدهای پیام‌داروساز'!$A$2:$A$2442,A3506)&gt;0,"بله","خیر")</f>
        <v/>
      </c>
    </row>
    <row r="3507" ht="15" customHeight="1" s="14">
      <c r="A3507" s="24" t="n">
        <v>53189</v>
      </c>
      <c r="B3507" s="24" t="inlineStr">
        <is>
          <t>گلبول قرمز شسته شده   تزريقي پرنترال  270 mL - سازمان انتقال خون ايران</t>
        </is>
      </c>
      <c r="C3507" s="25">
        <f>IF(COUNTIF('کدهای پیام‌داروساز'!$A$2:$A$2442,A3507)&gt;0,"بله","خیر")</f>
        <v/>
      </c>
    </row>
    <row r="3508" ht="15" customHeight="1" s="14">
      <c r="A3508" s="24" t="n">
        <v>53192</v>
      </c>
      <c r="B3508" s="24" t="inlineStr">
        <is>
          <t>آلدنس   قرص جوشان خوراکي 70 mg - دانش پژوهان آريا دارو</t>
        </is>
      </c>
      <c r="C3508" s="25">
        <f>IF(COUNTIF('کدهای پیام‌داروساز'!$A$2:$A$2442,A3508)&gt;0,"بله","خیر")</f>
        <v/>
      </c>
    </row>
    <row r="3509" ht="15" customHeight="1" s="14">
      <c r="A3509" s="24" t="n">
        <v>53193</v>
      </c>
      <c r="B3509" s="24" t="inlineStr">
        <is>
          <t>مايلوتارگ   پودر براي تهيه محلول تزريقي پرنترال 4.5 mg  mg - بهستان دارو</t>
        </is>
      </c>
      <c r="C3509" s="25">
        <f>IF(COUNTIF('کدهای پیام‌داروساز'!$A$2:$A$2442,A3509)&gt;0,"بله","خیر")</f>
        <v/>
      </c>
    </row>
    <row r="3510" ht="15" customHeight="1" s="14">
      <c r="A3510" s="24" t="n">
        <v>53194</v>
      </c>
      <c r="B3510" s="24" t="inlineStr">
        <is>
          <t>افالاتن   قرص خوراکي 400 mg/300 mg/300 mg - فرفيون دارو</t>
        </is>
      </c>
      <c r="C3510" s="25">
        <f>IF(COUNTIF('کدهای پیام‌داروساز'!$A$2:$A$2442,A3510)&gt;0,"بله","خیر")</f>
        <v/>
      </c>
    </row>
    <row r="3511" ht="15" customHeight="1" s="14">
      <c r="A3511" s="24" t="n">
        <v>53197</v>
      </c>
      <c r="B3511" s="24" t="inlineStr">
        <is>
          <t>زولپيدم   قرص بازشونده در دهان خوراکي 5 mg - داروسازي آوه سينا</t>
        </is>
      </c>
      <c r="C3511" s="25">
        <f>IF(COUNTIF('کدهای پیام‌داروساز'!$A$2:$A$2442,A3511)&gt;0,"بله","خیر")</f>
        <v/>
      </c>
    </row>
    <row r="3512" ht="15" customHeight="1" s="14">
      <c r="A3512" s="24" t="n">
        <v>53198</v>
      </c>
      <c r="B3512" s="24" t="inlineStr">
        <is>
          <t>زولپيدم   قرص بازشونده در دهان خوراکي 10 mg - داروسازي آوه سينا</t>
        </is>
      </c>
      <c r="C3512" s="25">
        <f>IF(COUNTIF('کدهای پیام‌داروساز'!$A$2:$A$2442,A3512)&gt;0,"بله","خیر")</f>
        <v/>
      </c>
    </row>
    <row r="3513" ht="15" customHeight="1" s="14">
      <c r="A3513" s="24" t="n">
        <v>53199</v>
      </c>
      <c r="B3513" s="24" t="inlineStr">
        <is>
          <t>کلوبتازول-عماد   پماد موضعي 0.05 % 2000 kg - عماد درمان پارس</t>
        </is>
      </c>
      <c r="C3513" s="25">
        <f>IF(COUNTIF('کدهای پیام‌داروساز'!$A$2:$A$2442,A3513)&gt;0,"بله","خیر")</f>
        <v/>
      </c>
    </row>
    <row r="3514" ht="15" customHeight="1" s="14">
      <c r="A3514" s="24" t="n">
        <v>53200</v>
      </c>
      <c r="B3514" s="24" t="inlineStr">
        <is>
          <t>زوويرامين   پودر براي تهيه سوسپانسيون   خوراکي 200 mg/5mL 120 g - داروسازي امين</t>
        </is>
      </c>
      <c r="C3514" s="25">
        <f>IF(COUNTIF('کدهای پیام‌داروساز'!$A$2:$A$2442,A3514)&gt;0,"بله","خیر")</f>
        <v/>
      </c>
    </row>
    <row r="3515" ht="15" customHeight="1" s="14">
      <c r="A3515" s="24" t="n">
        <v>53201</v>
      </c>
      <c r="B3515" s="24" t="inlineStr">
        <is>
          <t>ليتو خوارزمي دکس پي   شربت خوراکي 15 mg/30 mg/5mL 120 mL - داروسازي خوارزمي</t>
        </is>
      </c>
      <c r="C3515" s="25">
        <f>IF(COUNTIF('کدهای پیام‌داروساز'!$A$2:$A$2442,A3515)&gt;0,"بله","خیر")</f>
        <v/>
      </c>
    </row>
    <row r="3516" ht="15" customHeight="1" s="14">
      <c r="A3516" s="24" t="n">
        <v>53202</v>
      </c>
      <c r="B3516" s="24" t="inlineStr">
        <is>
          <t>ايربزارتان کامپ هگزال   قرص خوراکي 150 mg/12.5 mg - بهستان دارو</t>
        </is>
      </c>
      <c r="C3516" s="25">
        <f>IF(COUNTIF('کدهای پیام‌داروساز'!$A$2:$A$2442,A3516)&gt;0,"بله","خیر")</f>
        <v/>
      </c>
    </row>
    <row r="3517" ht="15" customHeight="1" s="14">
      <c r="A3517" s="24" t="n">
        <v>53203</v>
      </c>
      <c r="B3517" s="24" t="inlineStr">
        <is>
          <t>ايربزارتان کامپ هگزال   قرص خوراکي 300 mg/12.5 mg - بهستان دارو</t>
        </is>
      </c>
      <c r="C3517" s="25">
        <f>IF(COUNTIF('کدهای پیام‌داروساز'!$A$2:$A$2442,A3517)&gt;0,"بله","خیر")</f>
        <v/>
      </c>
    </row>
    <row r="3518" ht="15" customHeight="1" s="14">
      <c r="A3518" s="24" t="n">
        <v>53204</v>
      </c>
      <c r="B3518" s="24" t="inlineStr">
        <is>
          <t>ايربزارتان کامپ هگزال   قرص خوراکي 300 mg/25 mg - بهستان دارو</t>
        </is>
      </c>
      <c r="C3518" s="25">
        <f>IF(COUNTIF('کدهای پیام‌داروساز'!$A$2:$A$2442,A3518)&gt;0,"بله","خیر")</f>
        <v/>
      </c>
    </row>
    <row r="3519" ht="15" customHeight="1" s="14">
      <c r="A3519" s="24" t="n">
        <v>53205</v>
      </c>
      <c r="B3519" s="24" t="inlineStr">
        <is>
          <t>راميپريل جي پي   کپسول خوراکي 5 mg - سينا پيشگام دارو نوين</t>
        </is>
      </c>
      <c r="C3519" s="25">
        <f>IF(COUNTIF('کدهای پیام‌داروساز'!$A$2:$A$2442,A3519)&gt;0,"بله","خیر")</f>
        <v/>
      </c>
    </row>
    <row r="3520" ht="15" customHeight="1" s="14">
      <c r="A3520" s="24" t="n">
        <v>53206</v>
      </c>
      <c r="B3520" s="24" t="inlineStr">
        <is>
          <t>راميپريل جي پي   کپسول خوراکي 2.5 mg - سينا پيشگام دارو نوين</t>
        </is>
      </c>
      <c r="C3520" s="25">
        <f>IF(COUNTIF('کدهای پیام‌داروساز'!$A$2:$A$2442,A3520)&gt;0,"بله","خیر")</f>
        <v/>
      </c>
    </row>
    <row r="3521" ht="15" customHeight="1" s="14">
      <c r="A3521" s="24" t="n">
        <v>53207</v>
      </c>
      <c r="B3521" s="24" t="inlineStr">
        <is>
          <t>راميپريل ساندوز   قرص خوراکي 2.5 mg - بهستان دارو</t>
        </is>
      </c>
      <c r="C3521" s="25">
        <f>IF(COUNTIF('کدهای پیام‌داروساز'!$A$2:$A$2442,A3521)&gt;0,"بله","خیر")</f>
        <v/>
      </c>
    </row>
    <row r="3522" ht="15" customHeight="1" s="14">
      <c r="A3522" s="24" t="n">
        <v>53209</v>
      </c>
      <c r="B3522" s="24" t="inlineStr">
        <is>
          <t>راميپريل ساندوز   قرص خوراکي 5 mg - بهستان دارو</t>
        </is>
      </c>
      <c r="C3522" s="25">
        <f>IF(COUNTIF('کدهای پیام‌داروساز'!$A$2:$A$2442,A3522)&gt;0,"بله","خیر")</f>
        <v/>
      </c>
    </row>
    <row r="3523" ht="15" customHeight="1" s="14">
      <c r="A3523" s="24" t="n">
        <v>53210</v>
      </c>
      <c r="B3523" s="24" t="inlineStr">
        <is>
          <t>راميپريل ساندوز   قرص خوراکي 10 mg - بهستان دارو</t>
        </is>
      </c>
      <c r="C3523" s="25">
        <f>IF(COUNTIF('کدهای پیام‌داروساز'!$A$2:$A$2442,A3523)&gt;0,"بله","خیر")</f>
        <v/>
      </c>
    </row>
    <row r="3524" ht="15" customHeight="1" s="14">
      <c r="A3524" s="24" t="n">
        <v>53212</v>
      </c>
      <c r="B3524" s="24" t="inlineStr">
        <is>
          <t>نورآدرنالين باسي   محلول غليظ تزريقي پرنترال 0.5 mg/1mL 4 mL - سامان دارو سلامت</t>
        </is>
      </c>
      <c r="C3524" s="25">
        <f>IF(COUNTIF('کدهای پیام‌داروساز'!$A$2:$A$2442,A3524)&gt;0,"بله","خیر")</f>
        <v/>
      </c>
    </row>
    <row r="3525" ht="15" customHeight="1" s="14">
      <c r="A3525" s="24" t="n">
        <v>53213</v>
      </c>
      <c r="B3525" s="24" t="inlineStr">
        <is>
          <t>نورآدرنالين نورمون   محلول غليظ تزريقي پرنترال 0.5 mg/1mL 10 mL - تچرا دارو</t>
        </is>
      </c>
      <c r="C3525" s="25">
        <f>IF(COUNTIF('کدهای پیام‌داروساز'!$A$2:$A$2442,A3525)&gt;0,"بله","خیر")</f>
        <v/>
      </c>
    </row>
    <row r="3526" ht="15" customHeight="1" s="14">
      <c r="A3526" s="24" t="n">
        <v>53214</v>
      </c>
      <c r="B3526" s="24" t="inlineStr">
        <is>
          <t>اسموف ليپيد 20%   محلول تزريقي داخل وريدي 5 %/6 %/6 %/3 % 100 mL - روژين دارو</t>
        </is>
      </c>
      <c r="C3526" s="25">
        <f>IF(COUNTIF('کدهای پیام‌داروساز'!$A$2:$A$2442,A3526)&gt;0,"بله","خیر")</f>
        <v/>
      </c>
    </row>
    <row r="3527" ht="15" customHeight="1" s="14">
      <c r="A3527" s="24" t="n">
        <v>53216</v>
      </c>
      <c r="B3527" s="24" t="inlineStr">
        <is>
          <t>پيروکسيکام   ژل موضعي 0.5 g/100g 30 g - سبحان دارو</t>
        </is>
      </c>
      <c r="C3527" s="25">
        <f>IF(COUNTIF('کدهای پیام‌داروساز'!$A$2:$A$2442,A3527)&gt;0,"بله","خیر")</f>
        <v/>
      </c>
    </row>
    <row r="3528" ht="15" customHeight="1" s="14">
      <c r="A3528" s="24" t="n">
        <v>53217</v>
      </c>
      <c r="B3528" s="24" t="inlineStr">
        <is>
          <t>(ام اُ پي-8) متوکسي پسولارن   تزريقي پرنترال 20 ug/1mL 5 ug - بازرگاني سها کيش</t>
        </is>
      </c>
      <c r="C3528" s="25">
        <f>IF(COUNTIF('کدهای پیام‌داروساز'!$A$2:$A$2442,A3528)&gt;0,"بله","خیر")</f>
        <v/>
      </c>
    </row>
    <row r="3529" ht="15" customHeight="1" s="14">
      <c r="A3529" s="24" t="n">
        <v>53218</v>
      </c>
      <c r="B3529" s="24" t="inlineStr">
        <is>
          <t>ابماسيکليب   قرص خوراکي 50 mg - داروسازي سبحان انکولوژي</t>
        </is>
      </c>
      <c r="C3529" s="25">
        <f>IF(COUNTIF('کدهای پیام‌داروساز'!$A$2:$A$2442,A3529)&gt;0,"بله","خیر")</f>
        <v/>
      </c>
    </row>
    <row r="3530" ht="15" customHeight="1" s="14">
      <c r="A3530" s="24" t="n">
        <v>53219</v>
      </c>
      <c r="B3530" s="24" t="inlineStr">
        <is>
          <t>ابماسيکليب   قرص خوراکي 100 mg - داروسازي سبحان انکولوژي</t>
        </is>
      </c>
      <c r="C3530" s="25">
        <f>IF(COUNTIF('کدهای پیام‌داروساز'!$A$2:$A$2442,A3530)&gt;0,"بله","خیر")</f>
        <v/>
      </c>
    </row>
    <row r="3531" ht="15" customHeight="1" s="14">
      <c r="A3531" s="24" t="n">
        <v>53220</v>
      </c>
      <c r="B3531" s="24" t="inlineStr">
        <is>
          <t>ابماسيکليب   قرص خوراکي 200 mg - داروسازي سبحان انکولوژي</t>
        </is>
      </c>
      <c r="C3531" s="25">
        <f>IF(COUNTIF('کدهای پیام‌داروساز'!$A$2:$A$2442,A3531)&gt;0,"بله","خیر")</f>
        <v/>
      </c>
    </row>
    <row r="3532" ht="15" customHeight="1" s="14">
      <c r="A3532" s="24" t="n">
        <v>53221</v>
      </c>
      <c r="B3532" s="24" t="inlineStr">
        <is>
          <t>ترليپرسين استات اورفارما   محلول تزريقي پرنترال 200 ug/1mL 5 mg - اهران تجارت</t>
        </is>
      </c>
      <c r="C3532" s="25">
        <f>IF(COUNTIF('کدهای پیام‌داروساز'!$A$2:$A$2442,A3532)&gt;0,"بله","خیر")</f>
        <v/>
      </c>
    </row>
    <row r="3533" ht="15" customHeight="1" s="14">
      <c r="A3533" s="24" t="n">
        <v>53223</v>
      </c>
      <c r="B3533" s="24" t="inlineStr">
        <is>
          <t>اسپينف   تزريقي پرنترال 30 mg/1mL 1 mg - سامان دارو سلامت</t>
        </is>
      </c>
      <c r="C3533" s="25">
        <f>IF(COUNTIF('کدهای پیام‌داروساز'!$A$2:$A$2442,A3533)&gt;0,"بله","خیر")</f>
        <v/>
      </c>
    </row>
    <row r="3534" ht="15" customHeight="1" s="14">
      <c r="A3534" s="24" t="n">
        <v>53224</v>
      </c>
      <c r="B3534" s="24" t="inlineStr">
        <is>
          <t>سوماتريپتان   اسپري از راه بيني 20 mg 6 mL - بهستان دارو</t>
        </is>
      </c>
      <c r="C3534" s="25">
        <f>IF(COUNTIF('کدهای پیام‌داروساز'!$A$2:$A$2442,A3534)&gt;0,"بله","خیر")</f>
        <v/>
      </c>
    </row>
    <row r="3535" ht="15" customHeight="1" s="14">
      <c r="A3535" s="24" t="n">
        <v>53227</v>
      </c>
      <c r="B3535" s="24" t="inlineStr">
        <is>
          <t>دورزومول- پي بي اي   محلول، قطره چشمي 2 %/0.5 % 10 mL - سلامت سازان پارس بوعلي</t>
        </is>
      </c>
      <c r="C3535" s="25">
        <f>IF(COUNTIF('کدهای پیام‌داروساز'!$A$2:$A$2442,A3535)&gt;0,"بله","خیر")</f>
        <v/>
      </c>
    </row>
    <row r="3536" ht="15" customHeight="1" s="14">
      <c r="A3536" s="24" t="n">
        <v>53228</v>
      </c>
      <c r="B3536" s="24" t="inlineStr">
        <is>
          <t>سل سپت   پودر براي تهيه محلول تزريقي پرنترال 500 mg  mg - رش پارس</t>
        </is>
      </c>
      <c r="C3536" s="25">
        <f>IF(COUNTIF('کدهای پیام‌داروساز'!$A$2:$A$2442,A3536)&gt;0,"بله","خیر")</f>
        <v/>
      </c>
    </row>
    <row r="3537" ht="15" customHeight="1" s="14">
      <c r="A3537" s="24" t="n">
        <v>53229</v>
      </c>
      <c r="B3537" s="24" t="inlineStr">
        <is>
          <t>سديم کلرايد   اسپري از راه بيني 0.65 % 15 mL - داروسازي ابوريحان</t>
        </is>
      </c>
      <c r="C3537" s="25">
        <f>IF(COUNTIF('کدهای پیام‌داروساز'!$A$2:$A$2442,A3537)&gt;0,"بله","خیر")</f>
        <v/>
      </c>
    </row>
    <row r="3538" ht="15" customHeight="1" s="14">
      <c r="A3538" s="24" t="n">
        <v>53230</v>
      </c>
      <c r="B3538" s="24" t="inlineStr">
        <is>
          <t>ريداپت   کپسول حاوي مايع خوراکي 25 mg - بازرگاني سها کيش</t>
        </is>
      </c>
      <c r="C3538" s="25">
        <f>IF(COUNTIF('کدهای پیام‌داروساز'!$A$2:$A$2442,A3538)&gt;0,"بله","خیر")</f>
        <v/>
      </c>
    </row>
    <row r="3539" ht="15" customHeight="1" s="14">
      <c r="A3539" s="24" t="n">
        <v>53231</v>
      </c>
      <c r="B3539" s="24" t="inlineStr">
        <is>
          <t>ايمونوگلوبولين ضدديفتري   تزريقي پرنترال 2000 [iU]/1mL 5 mL - موسسه تحقيقات واکسن وسرم سازي رازي</t>
        </is>
      </c>
      <c r="C3539" s="25">
        <f>IF(COUNTIF('کدهای پیام‌داروساز'!$A$2:$A$2442,A3539)&gt;0,"بله","خیر")</f>
        <v/>
      </c>
    </row>
    <row r="3540" ht="15" customHeight="1" s="14">
      <c r="A3540" s="24" t="n">
        <v>53232</v>
      </c>
      <c r="B3540" s="24" t="inlineStr">
        <is>
          <t>قرص فاراموکس 875 (آموکسي سيلين)ميلي گرم</t>
        </is>
      </c>
      <c r="C3540" s="25">
        <f>IF(COUNTIF('کدهای پیام‌داروساز'!$A$2:$A$2442,A3540)&gt;0,"بله","خیر")</f>
        <v/>
      </c>
    </row>
    <row r="3541" ht="15" customHeight="1" s="14">
      <c r="A3541" s="24" t="n">
        <v>53235</v>
      </c>
      <c r="B3541" s="24" t="inlineStr">
        <is>
          <t>آمالتا   قرص خوراکي 10 mg - کوبل دارو</t>
        </is>
      </c>
      <c r="C3541" s="25">
        <f>IF(COUNTIF('کدهای پیام‌داروساز'!$A$2:$A$2442,A3541)&gt;0,"بله","خیر")</f>
        <v/>
      </c>
    </row>
    <row r="3542" ht="15" customHeight="1" s="14">
      <c r="A3542" s="24" t="n">
        <v>53236</v>
      </c>
      <c r="B3542" s="24" t="inlineStr">
        <is>
          <t>آبتيمون 10/20/30   قرص خوراکي 0 mg - دارويي البرز زاگرس</t>
        </is>
      </c>
      <c r="C3542" s="25">
        <f>IF(COUNTIF('کدهای پیام‌داروساز'!$A$2:$A$2442,A3542)&gt;0,"بله","خیر")</f>
        <v/>
      </c>
    </row>
    <row r="3543" ht="15" customHeight="1" s="14">
      <c r="A3543" s="24" t="n">
        <v>53238</v>
      </c>
      <c r="B3543" s="24" t="inlineStr">
        <is>
          <t>تايلکسوميد   قرص پيوسته رهش خوراکي 650 mg - داروئي اميد بهبود</t>
        </is>
      </c>
      <c r="C3543" s="25">
        <f>IF(COUNTIF('کدهای پیام‌داروساز'!$A$2:$A$2442,A3543)&gt;0,"بله","خیر")</f>
        <v/>
      </c>
    </row>
    <row r="3544" ht="15" customHeight="1" s="14">
      <c r="A3544" s="24" t="n">
        <v>53240</v>
      </c>
      <c r="B3544" s="24" t="inlineStr">
        <is>
          <t>آبتيمون   قرص خوراکي 30 mg - دارويي البرز زاگرس</t>
        </is>
      </c>
      <c r="C3544" s="25">
        <f>IF(COUNTIF('کدهای پیام‌داروساز'!$A$2:$A$2442,A3544)&gt;0,"بله","خیر")</f>
        <v/>
      </c>
    </row>
    <row r="3545" ht="15" customHeight="1" s="14">
      <c r="A3545" s="24" t="n">
        <v>53244</v>
      </c>
      <c r="B3545" s="24" t="inlineStr">
        <is>
          <t>برافتووي   کپسول خوراکي 75 mg - ياسين داروي فارس</t>
        </is>
      </c>
      <c r="C3545" s="25">
        <f>IF(COUNTIF('کدهای پیام‌داروساز'!$A$2:$A$2442,A3545)&gt;0,"بله","خیر")</f>
        <v/>
      </c>
    </row>
    <row r="3546" ht="15" customHeight="1" s="14">
      <c r="A3546" s="24" t="n">
        <v>53245</v>
      </c>
      <c r="B3546" s="24" t="inlineStr">
        <is>
          <t>آزافلونکس   اسپري با دوز اندازه گيري شده از راه بيني 137 ug/50 ug/1 {Puff} 70 {dose} - درمان پژوهان تريتا</t>
        </is>
      </c>
      <c r="C3546" s="25">
        <f>IF(COUNTIF('کدهای پیام‌داروساز'!$A$2:$A$2442,A3546)&gt;0,"بله","خیر")</f>
        <v/>
      </c>
    </row>
    <row r="3547" ht="15" customHeight="1" s="14">
      <c r="A3547" s="24" t="n">
        <v>53246</v>
      </c>
      <c r="B3547" s="24" t="inlineStr">
        <is>
          <t>سديم کلرايد   محلول، قطره از راه بيني 0.65 % 18 mL - داروسازي امين</t>
        </is>
      </c>
      <c r="C3547" s="25">
        <f>IF(COUNTIF('کدهای پیام‌داروساز'!$A$2:$A$2442,A3547)&gt;0,"بله","خیر")</f>
        <v/>
      </c>
    </row>
    <row r="3548" ht="15" customHeight="1" s="14">
      <c r="A3548" s="24" t="n">
        <v>53247</v>
      </c>
      <c r="B3548" s="24" t="inlineStr">
        <is>
          <t>ويلکا   کپسول استنشاقي 0.1 mg/0.025 mg - تدبير کالاي جم</t>
        </is>
      </c>
      <c r="C3548" s="25">
        <f>IF(COUNTIF('کدهای پیام‌داروساز'!$A$2:$A$2442,A3548)&gt;0,"بله","خیر")</f>
        <v/>
      </c>
    </row>
    <row r="3549" ht="15" customHeight="1" s="14">
      <c r="A3549" s="24" t="n">
        <v>53248</v>
      </c>
      <c r="B3549" s="24" t="inlineStr">
        <is>
          <t>ويلکا   کپسول استنشاقي 0.2 mg/0.025 mg - تدبير کالاي جم</t>
        </is>
      </c>
      <c r="C3549" s="25">
        <f>IF(COUNTIF('کدهای پیام‌داروساز'!$A$2:$A$2442,A3549)&gt;0,"بله","خیر")</f>
        <v/>
      </c>
    </row>
    <row r="3550" ht="15" customHeight="1" s="14">
      <c r="A3550" s="24" t="n">
        <v>53249</v>
      </c>
      <c r="B3550" s="24" t="inlineStr">
        <is>
          <t>تريکوفيد   قرص خوراکي 2.5 mg - نکسوس</t>
        </is>
      </c>
      <c r="C3550" s="25">
        <f>IF(COUNTIF('کدهای پیام‌داروساز'!$A$2:$A$2442,A3550)&gt;0,"بله","خیر")</f>
        <v/>
      </c>
    </row>
    <row r="3551" ht="15" customHeight="1" s="14">
      <c r="A3551" s="24" t="n">
        <v>53254</v>
      </c>
      <c r="B3551" s="24" t="inlineStr">
        <is>
          <t>فلوئوسينولون-عماد   پماد موضعي 0.025 % 2000 kg - عماد درمان پارس</t>
        </is>
      </c>
      <c r="C3551" s="25">
        <f>IF(COUNTIF('کدهای پیام‌داروساز'!$A$2:$A$2442,A3551)&gt;0,"بله","خیر")</f>
        <v/>
      </c>
    </row>
    <row r="3552" ht="15" customHeight="1" s="14">
      <c r="A3552" s="24" t="n">
        <v>53256</v>
      </c>
      <c r="B3552" s="24" t="inlineStr">
        <is>
          <t>تورنزو   کپسول خوراکي 0.46 mg - داروسازي دکتر عبيدي</t>
        </is>
      </c>
      <c r="C3552" s="25">
        <f>IF(COUNTIF('کدهای پیام‌داروساز'!$A$2:$A$2442,A3552)&gt;0,"بله","خیر")</f>
        <v/>
      </c>
    </row>
    <row r="3553" ht="15" customHeight="1" s="14">
      <c r="A3553" s="24" t="n">
        <v>53257</v>
      </c>
      <c r="B3553" s="24" t="inlineStr">
        <is>
          <t>اوزانيمود   کپسول خوراکي 0.92 mg - داروسازي سبحان انکولوژي</t>
        </is>
      </c>
      <c r="C3553" s="25">
        <f>IF(COUNTIF('کدهای پیام‌داروساز'!$A$2:$A$2442,A3553)&gt;0,"بله","خیر")</f>
        <v/>
      </c>
    </row>
    <row r="3554" ht="15" customHeight="1" s="14">
      <c r="A3554" s="24" t="n">
        <v>53258</v>
      </c>
      <c r="B3554" s="24" t="inlineStr">
        <is>
          <t>سيناجيس   محلول تزريقي پرنترال 50 mg/0.5mL  mg - کوبل دارو</t>
        </is>
      </c>
      <c r="C3554" s="25">
        <f>IF(COUNTIF('کدهای پیام‌داروساز'!$A$2:$A$2442,A3554)&gt;0,"بله","خیر")</f>
        <v/>
      </c>
    </row>
    <row r="3555" ht="15" customHeight="1" s="14">
      <c r="A3555" s="24" t="n">
        <v>53259</v>
      </c>
      <c r="B3555" s="24" t="inlineStr">
        <is>
          <t>سيناجيس   محلول تزريقي پرنترال 100 mg/1mL  mg - کوبل دارو</t>
        </is>
      </c>
      <c r="C3555" s="25">
        <f>IF(COUNTIF('کدهای پیام‌داروساز'!$A$2:$A$2442,A3555)&gt;0,"بله","خیر")</f>
        <v/>
      </c>
    </row>
    <row r="3556" ht="15" customHeight="1" s="14">
      <c r="A3556" s="24" t="n">
        <v>53260</v>
      </c>
      <c r="B3556" s="24" t="inlineStr">
        <is>
          <t>فاندکس   قرص پيوسته رهش خوراکي 90 mg/8 mg - پور سينا</t>
        </is>
      </c>
      <c r="C3556" s="25">
        <f>IF(COUNTIF('کدهای پیام‌داروساز'!$A$2:$A$2442,A3556)&gt;0,"بله","خیر")</f>
        <v/>
      </c>
    </row>
    <row r="3557" ht="15" customHeight="1" s="14">
      <c r="A3557" s="24" t="n">
        <v>53263</v>
      </c>
      <c r="B3557" s="24" t="inlineStr">
        <is>
          <t>ليناکلايد   کپسول خوراکي 72 ug - اکتوورکو</t>
        </is>
      </c>
      <c r="C3557" s="25">
        <f>IF(COUNTIF('کدهای پیام‌داروساز'!$A$2:$A$2442,A3557)&gt;0,"بله","خیر")</f>
        <v/>
      </c>
    </row>
    <row r="3558" ht="15" customHeight="1" s="14">
      <c r="A3558" s="24" t="n">
        <v>53266</v>
      </c>
      <c r="B3558" s="24" t="inlineStr">
        <is>
          <t>تولوات   قرص خوراکي 30 mg - آسمان داروي پارس</t>
        </is>
      </c>
      <c r="C3558" s="25">
        <f>IF(COUNTIF('کدهای پیام‌داروساز'!$A$2:$A$2442,A3558)&gt;0,"بله","خیر")</f>
        <v/>
      </c>
    </row>
    <row r="3559" ht="15" customHeight="1" s="14">
      <c r="A3559" s="24" t="n">
        <v>53267</v>
      </c>
      <c r="B3559" s="24" t="inlineStr">
        <is>
          <t>وکسنوونس   تزريقي پرنترال  0.5 mL - بهستان دارو</t>
        </is>
      </c>
      <c r="C3559" s="25">
        <f>IF(COUNTIF('کدهای پیام‌داروساز'!$A$2:$A$2442,A3559)&gt;0,"بله","خیر")</f>
        <v/>
      </c>
    </row>
    <row r="3560" ht="15" customHeight="1" s="14">
      <c r="A3560" s="24" t="n">
        <v>53269</v>
      </c>
      <c r="B3560" s="24" t="inlineStr">
        <is>
          <t>تروليسيتي   محلول تزريقي پرنترال 1.5 mg/0.5mL  mg - شفا ياب گستر</t>
        </is>
      </c>
      <c r="C3560" s="25">
        <f>IF(COUNTIF('کدهای پیام‌داروساز'!$A$2:$A$2442,A3560)&gt;0,"بله","خیر")</f>
        <v/>
      </c>
    </row>
    <row r="3561" ht="15" customHeight="1" s="14">
      <c r="A3561" s="24" t="n">
        <v>53270</v>
      </c>
      <c r="B3561" s="24" t="inlineStr">
        <is>
          <t>تروليسيتي   محلول تزريقي پرنترال 0.75 mg/0.5mL  mg - شفا ياب گستر</t>
        </is>
      </c>
      <c r="C3561" s="25">
        <f>IF(COUNTIF('کدهای پیام‌داروساز'!$A$2:$A$2442,A3561)&gt;0,"بله","خیر")</f>
        <v/>
      </c>
    </row>
    <row r="3562" ht="15" customHeight="1" s="14">
      <c r="A3562" s="24" t="n">
        <v>53271</v>
      </c>
      <c r="B3562" s="24" t="inlineStr">
        <is>
          <t>کلوبيتان   پماد موضعي 0.05 % 25 g - سبحان دارو</t>
        </is>
      </c>
      <c r="C3562" s="25">
        <f>IF(COUNTIF('کدهای پیام‌داروساز'!$A$2:$A$2442,A3562)&gt;0,"بله","خیر")</f>
        <v/>
      </c>
    </row>
    <row r="3563" ht="15" customHeight="1" s="14">
      <c r="A3563" s="24" t="n">
        <v>53272</v>
      </c>
      <c r="B3563" s="24" t="inlineStr">
        <is>
          <t>پتاسيم کلرايد   محلول خوراکي 20 meq/15mL  mL - داروسازي امين</t>
        </is>
      </c>
      <c r="C3563" s="25">
        <f>IF(COUNTIF('کدهای پیام‌داروساز'!$A$2:$A$2442,A3563)&gt;0,"بله","خیر")</f>
        <v/>
      </c>
    </row>
    <row r="3564" ht="15" customHeight="1" s="14">
      <c r="A3564" s="24" t="n">
        <v>53273</v>
      </c>
      <c r="B3564" s="24" t="inlineStr">
        <is>
          <t>پتاسيم کلرايد   محلول خوراکي 40 meq/15mL  mL - داروسازي امين</t>
        </is>
      </c>
      <c r="C3564" s="25">
        <f>IF(COUNTIF('کدهای پیام‌داروساز'!$A$2:$A$2442,A3564)&gt;0,"بله","خیر")</f>
        <v/>
      </c>
    </row>
    <row r="3565" ht="15" customHeight="1" s="14">
      <c r="A3565" s="24" t="n">
        <v>53274</v>
      </c>
      <c r="B3565" s="24" t="inlineStr">
        <is>
          <t>ترودلوي   پودر براي تهيه محلول تزريقي پرنترال 200 mg  mg - آسمان داروي پارس</t>
        </is>
      </c>
      <c r="C3565" s="25">
        <f>IF(COUNTIF('کدهای پیام‌داروساز'!$A$2:$A$2442,A3565)&gt;0,"بله","خیر")</f>
        <v/>
      </c>
    </row>
    <row r="3566" ht="15" customHeight="1" s="14">
      <c r="A3566" s="24" t="n">
        <v>53275</v>
      </c>
      <c r="B3566" s="24" t="inlineStr">
        <is>
          <t>لوپراميدهيدروکلرايد/سايمتيکون   قرص جويدني خوراکي 2 mg/125 mg - دارو سازي تهران دارو</t>
        </is>
      </c>
      <c r="C3566" s="25">
        <f>IF(COUNTIF('کدهای پیام‌داروساز'!$A$2:$A$2442,A3566)&gt;0,"بله","خیر")</f>
        <v/>
      </c>
    </row>
    <row r="3567" ht="15" customHeight="1" s="14">
      <c r="A3567" s="24" t="n">
        <v>53276</v>
      </c>
      <c r="B3567" s="24" t="inlineStr">
        <is>
          <t>تافينلار   کپسول خوراکي 50 mg - بازرگاني سها کيش</t>
        </is>
      </c>
      <c r="C3567" s="25">
        <f>IF(COUNTIF('کدهای پیام‌داروساز'!$A$2:$A$2442,A3567)&gt;0,"بله","خیر")</f>
        <v/>
      </c>
    </row>
    <row r="3568" ht="15" customHeight="1" s="14">
      <c r="A3568" s="24" t="n">
        <v>53277</v>
      </c>
      <c r="B3568" s="24" t="inlineStr">
        <is>
          <t>لپسيدون   سوسپانسيون خوراکي 125 mg/5mL 100 mL - داروسازي تهران شيمي</t>
        </is>
      </c>
      <c r="C3568" s="25">
        <f>IF(COUNTIF('کدهای پیام‌داروساز'!$A$2:$A$2442,A3568)&gt;0,"بله","خیر")</f>
        <v/>
      </c>
    </row>
    <row r="3569" ht="15" customHeight="1" s="14">
      <c r="A3569" s="24" t="n">
        <v>53278</v>
      </c>
      <c r="B3569" s="24" t="inlineStr">
        <is>
          <t>اورنسيا   پودر براي تهيه محلول تزريقي پرنترال 250 mg  mg - بازرگاني سها کيش</t>
        </is>
      </c>
      <c r="C3569" s="25">
        <f>IF(COUNTIF('کدهای پیام‌داروساز'!$A$2:$A$2442,A3569)&gt;0,"بله","خیر")</f>
        <v/>
      </c>
    </row>
    <row r="3570" ht="15" customHeight="1" s="14">
      <c r="A3570" s="24" t="n">
        <v>53280</v>
      </c>
      <c r="B3570" s="24" t="inlineStr">
        <is>
          <t>تيليدين   قرص پيوسته رهش خوراکي 100 mg/8 mg - بازرگاني سها کيش</t>
        </is>
      </c>
      <c r="C3570" s="25">
        <f>IF(COUNTIF('کدهای پیام‌داروساز'!$A$2:$A$2442,A3570)&gt;0,"بله","خیر")</f>
        <v/>
      </c>
    </row>
    <row r="3571" ht="15" customHeight="1" s="14">
      <c r="A3571" s="24" t="n">
        <v>53281</v>
      </c>
      <c r="B3571" s="24" t="inlineStr">
        <is>
          <t>ميدودار   قرص خوراکي 10 mg - آرنا حيات دانش</t>
        </is>
      </c>
      <c r="C3571" s="25">
        <f>IF(COUNTIF('کدهای پیام‌داروساز'!$A$2:$A$2442,A3571)&gt;0,"بله","خیر")</f>
        <v/>
      </c>
    </row>
    <row r="3572" ht="15" customHeight="1" s="14">
      <c r="A3572" s="24" t="n">
        <v>53286</v>
      </c>
      <c r="B3572" s="24" t="inlineStr">
        <is>
          <t>آني ژزيک-ريليف   قرص جوشان خوراکي 500 mg/65 mg - داروسازي آني درمان</t>
        </is>
      </c>
      <c r="C3572" s="25">
        <f>IF(COUNTIF('کدهای پیام‌داروساز'!$A$2:$A$2442,A3572)&gt;0,"بله","خیر")</f>
        <v/>
      </c>
    </row>
    <row r="3573" ht="15" customHeight="1" s="14">
      <c r="A3573" s="24" t="n">
        <v>53287</v>
      </c>
      <c r="B3573" s="24" t="inlineStr">
        <is>
          <t>سيبليوم   قرص خوراکي 5 mg - بازرگاني سها کيش</t>
        </is>
      </c>
      <c r="C3573" s="25">
        <f>IF(COUNTIF('کدهای پیام‌داروساز'!$A$2:$A$2442,A3573)&gt;0,"بله","خیر")</f>
        <v/>
      </c>
    </row>
    <row r="3574" ht="15" customHeight="1" s="14">
      <c r="A3574" s="24" t="n">
        <v>53288</v>
      </c>
      <c r="B3574" s="24" t="inlineStr">
        <is>
          <t>پدسو   پودر براي تهيه محلول تزريقي پرنترال 20 mg  mg - بازرگاني سها کيش</t>
        </is>
      </c>
      <c r="C3574" s="25">
        <f>IF(COUNTIF('کدهای پیام‌داروساز'!$A$2:$A$2442,A3574)&gt;0,"بله","خیر")</f>
        <v/>
      </c>
    </row>
    <row r="3575" ht="15" customHeight="1" s="14">
      <c r="A3575" s="24" t="n">
        <v>53289</v>
      </c>
      <c r="B3575" s="24" t="inlineStr">
        <is>
          <t>روزليترک   کپسول خوراکي 100 mg - بازرگاني سها کيش</t>
        </is>
      </c>
      <c r="C3575" s="25">
        <f>IF(COUNTIF('کدهای پیام‌داروساز'!$A$2:$A$2442,A3575)&gt;0,"بله","خیر")</f>
        <v/>
      </c>
    </row>
    <row r="3576" ht="15" customHeight="1" s="14">
      <c r="A3576" s="24" t="n">
        <v>53290</v>
      </c>
      <c r="B3576" s="24" t="inlineStr">
        <is>
          <t>آربيتويين   قرص خوراکي 5 mg/40 mg - کوبل دارو</t>
        </is>
      </c>
      <c r="C3576" s="25">
        <f>IF(COUNTIF('کدهای پیام‌داروساز'!$A$2:$A$2442,A3576)&gt;0,"بله","خیر")</f>
        <v/>
      </c>
    </row>
    <row r="3577" ht="15" customHeight="1" s="14">
      <c r="A3577" s="24" t="n">
        <v>53291</v>
      </c>
      <c r="B3577" s="24" t="inlineStr">
        <is>
          <t>آربيتويين   قرص خوراکي 10 mg/40 mg - کوبل دارو</t>
        </is>
      </c>
      <c r="C3577" s="25">
        <f>IF(COUNTIF('کدهای پیام‌داروساز'!$A$2:$A$2442,A3577)&gt;0,"بله","خیر")</f>
        <v/>
      </c>
    </row>
    <row r="3578" ht="15" customHeight="1" s="14">
      <c r="A3578" s="24" t="n">
        <v>53292</v>
      </c>
      <c r="B3578" s="24" t="inlineStr">
        <is>
          <t>آسادوگرل   قرص خوراکي 75 mg/75 mg - مهبان دارو</t>
        </is>
      </c>
      <c r="C3578" s="25">
        <f>IF(COUNTIF('کدهای پیام‌داروساز'!$A$2:$A$2442,A3578)&gt;0,"بله","خیر")</f>
        <v/>
      </c>
    </row>
    <row r="3579" ht="15" customHeight="1" s="14">
      <c r="A3579" s="24" t="n">
        <v>53293</v>
      </c>
      <c r="B3579" s="24" t="inlineStr">
        <is>
          <t>آسادوگرل   قرص خوراکي 100 mg/75 mg - مهبان دارو</t>
        </is>
      </c>
      <c r="C3579" s="25">
        <f>IF(COUNTIF('کدهای پیام‌داروساز'!$A$2:$A$2442,A3579)&gt;0,"بله","خیر")</f>
        <v/>
      </c>
    </row>
    <row r="3580" ht="15" customHeight="1" s="14">
      <c r="A3580" s="24" t="n">
        <v>53294</v>
      </c>
      <c r="B3580" s="24" t="inlineStr">
        <is>
          <t>ناپرکو   قرص انتريک کوتد خوراکي 20 mg/375 mg - اکتوورکو</t>
        </is>
      </c>
      <c r="C3580" s="25">
        <f>IF(COUNTIF('کدهای پیام‌داروساز'!$A$2:$A$2442,A3580)&gt;0,"بله","خیر")</f>
        <v/>
      </c>
    </row>
    <row r="3581" ht="15" customHeight="1" s="14">
      <c r="A3581" s="24" t="n">
        <v>53295</v>
      </c>
      <c r="B3581" s="24" t="inlineStr">
        <is>
          <t>ناپروپرازول   قرص انتريک کوتد خوراکي 20 mg/500 mg - داروئي اميد بهبود</t>
        </is>
      </c>
      <c r="C3581" s="25">
        <f>IF(COUNTIF('کدهای پیام‌داروساز'!$A$2:$A$2442,A3581)&gt;0,"بله","خیر")</f>
        <v/>
      </c>
    </row>
    <row r="3582" ht="15" customHeight="1" s="14">
      <c r="A3582" s="24" t="n">
        <v>53297</v>
      </c>
      <c r="B3582" s="24" t="inlineStr">
        <is>
          <t>ازستاتين   قرص خوراکي 10 mg/5 mg - آرنا حيات دانش</t>
        </is>
      </c>
      <c r="C3582" s="25">
        <f>IF(COUNTIF('کدهای پیام‌داروساز'!$A$2:$A$2442,A3582)&gt;0,"بله","خیر")</f>
        <v/>
      </c>
    </row>
    <row r="3583" ht="15" customHeight="1" s="14">
      <c r="A3583" s="24" t="n">
        <v>53298</v>
      </c>
      <c r="B3583" s="24" t="inlineStr">
        <is>
          <t>ازستاتين   قرص خوراکي 10 mg/10 mg - آرنا حيات دانش</t>
        </is>
      </c>
      <c r="C3583" s="25">
        <f>IF(COUNTIF('کدهای پیام‌داروساز'!$A$2:$A$2442,A3583)&gt;0,"بله","خیر")</f>
        <v/>
      </c>
    </row>
    <row r="3584" ht="15" customHeight="1" s="14">
      <c r="A3584" s="24" t="n">
        <v>53299</v>
      </c>
      <c r="B3584" s="24" t="inlineStr">
        <is>
          <t>ازستاتين   قرص خوراکي 10 mg/20 mg - آرنا حيات دانش</t>
        </is>
      </c>
      <c r="C3584" s="25">
        <f>IF(COUNTIF('کدهای پیام‌داروساز'!$A$2:$A$2442,A3584)&gt;0,"بله","خیر")</f>
        <v/>
      </c>
    </row>
    <row r="3585" ht="15" customHeight="1" s="14">
      <c r="A3585" s="24" t="n">
        <v>53300</v>
      </c>
      <c r="B3585" s="24" t="inlineStr">
        <is>
          <t>ازستاتين   قرص خوراکي 10 mg/40 mg - آرنا حيات دانش</t>
        </is>
      </c>
      <c r="C3585" s="25">
        <f>IF(COUNTIF('کدهای پیام‌داروساز'!$A$2:$A$2442,A3585)&gt;0,"بله","خیر")</f>
        <v/>
      </c>
    </row>
    <row r="3586" ht="15" customHeight="1" s="14">
      <c r="A3586" s="24" t="n">
        <v>53301</v>
      </c>
      <c r="B3586" s="24" t="inlineStr">
        <is>
          <t>آربيتويين   قرص خوراکي 10 mg/80 mg - کوبل دارو</t>
        </is>
      </c>
      <c r="C3586" s="25">
        <f>IF(COUNTIF('کدهای پیام‌داروساز'!$A$2:$A$2442,A3586)&gt;0,"بله","خیر")</f>
        <v/>
      </c>
    </row>
    <row r="3587" ht="15" customHeight="1" s="14">
      <c r="A3587" s="24" t="n">
        <v>53302</v>
      </c>
      <c r="B3587" s="24" t="inlineStr">
        <is>
          <t>آربيتويين   قرص خوراکي 5 mg/80 mg - کوبل دارو</t>
        </is>
      </c>
      <c r="C3587" s="25">
        <f>IF(COUNTIF('کدهای پیام‌داروساز'!$A$2:$A$2442,A3587)&gt;0,"بله","خیر")</f>
        <v/>
      </c>
    </row>
    <row r="3588" ht="15" customHeight="1" s="14">
      <c r="A3588" s="24" t="n">
        <v>53305</v>
      </c>
      <c r="B3588" s="24" t="inlineStr">
        <is>
          <t>پاپاورين سوفارما   تزريقي پرنترال 20 mg/1mL 1 mL - سينا پيشگام دارو نوين</t>
        </is>
      </c>
      <c r="C3588" s="25">
        <f>IF(COUNTIF('کدهای پیام‌داروساز'!$A$2:$A$2442,A3588)&gt;0,"بله","خیر")</f>
        <v/>
      </c>
    </row>
    <row r="3589" ht="15" customHeight="1" s="14">
      <c r="A3589" s="24" t="n">
        <v>53306</v>
      </c>
      <c r="B3589" s="24" t="inlineStr">
        <is>
          <t>زيدوودين   قرص خوراکي 100 mg - بهر سان فرتاک دارو</t>
        </is>
      </c>
      <c r="C3589" s="25">
        <f>IF(COUNTIF('کدهای پیام‌داروساز'!$A$2:$A$2442,A3589)&gt;0,"بله","خیر")</f>
        <v/>
      </c>
    </row>
    <row r="3590" ht="15" customHeight="1" s="14">
      <c r="A3590" s="24" t="n">
        <v>53308</v>
      </c>
      <c r="B3590" s="24" t="inlineStr">
        <is>
          <t>لاکوپت   محلول خوراکي 10 mg/1mL 120 mL - پارس دارو</t>
        </is>
      </c>
      <c r="C3590" s="25">
        <f>IF(COUNTIF('کدهای پیام‌داروساز'!$A$2:$A$2442,A3590)&gt;0,"بله","خیر")</f>
        <v/>
      </c>
    </row>
    <row r="3591" ht="15" customHeight="1" s="14">
      <c r="A3591" s="24" t="n">
        <v>53309</v>
      </c>
      <c r="B3591" s="24" t="inlineStr">
        <is>
          <t>واکسن جذب شده ديفتري و کزاز بزرگسالان   تزريقي پرنترال 14 {dose} 7 {dose} - موسسه تحقيقات واکسن وسرم سازي رازي</t>
        </is>
      </c>
      <c r="C3591" s="25">
        <f>IF(COUNTIF('کدهای پیام‌داروساز'!$A$2:$A$2442,A3591)&gt;0,"بله","خیر")</f>
        <v/>
      </c>
    </row>
    <row r="3592" ht="15" customHeight="1" s="14">
      <c r="A3592" s="24" t="n">
        <v>53310</v>
      </c>
      <c r="B3592" s="24" t="inlineStr">
        <is>
          <t xml:space="preserve">آمينوون اينفنت 10%   محلول تزريقي داخل وريدي 8 mg/13 mg/8.51 mg/3.12 mg/3.75 mg/4.4 mg/2.01 mg/9 mg/7.5 mg/4.76 mg/9.3 mg/4.15 mg/0.7 mg/2.3 mg/1.6 mg/9.71 mg/7.67 mg/5.176 mg/2.26 mg/0.4 mg/1 mL/1mL </t>
        </is>
      </c>
      <c r="C3592" s="25">
        <f>IF(COUNTIF('کدهای پیام‌داروساز'!$A$2:$A$2442,A3592)&gt;0,"بله","خیر")</f>
        <v/>
      </c>
    </row>
    <row r="3593" ht="15" customHeight="1" s="14">
      <c r="A3593" s="24" t="n">
        <v>53311</v>
      </c>
      <c r="B3593" s="24" t="inlineStr">
        <is>
          <t>اينتراليپيد 10%   محلول تزريقي داخل وريدي 100 mg/22 mg/12 mg/1mL 100 mL - درمان ياب دارو</t>
        </is>
      </c>
      <c r="C3593" s="25">
        <f>IF(COUNTIF('کدهای پیام‌داروساز'!$A$2:$A$2442,A3593)&gt;0,"بله","خیر")</f>
        <v/>
      </c>
    </row>
    <row r="3594" ht="15" customHeight="1" s="14">
      <c r="A3594" s="24" t="n">
        <v>53313</v>
      </c>
      <c r="B3594" s="24" t="inlineStr">
        <is>
          <t>لابتالول   قرص خوراکي 100 mg - بازرگاني سها کيش</t>
        </is>
      </c>
      <c r="C3594" s="25">
        <f>IF(COUNTIF('کدهای پیام‌داروساز'!$A$2:$A$2442,A3594)&gt;0,"بله","خیر")</f>
        <v/>
      </c>
    </row>
    <row r="3595" ht="15" customHeight="1" s="14">
      <c r="A3595" s="24" t="n">
        <v>53314</v>
      </c>
      <c r="B3595" s="24" t="inlineStr">
        <is>
          <t>اکوئي رب   تزريقي پرنترال 200 [iU]/1mL 5 [iU] - تدبير کالاي جم</t>
        </is>
      </c>
      <c r="C3595" s="25">
        <f>IF(COUNTIF('کدهای پیام‌داروساز'!$A$2:$A$2442,A3595)&gt;0,"بله","خیر")</f>
        <v/>
      </c>
    </row>
    <row r="3596" ht="15" customHeight="1" s="14">
      <c r="A3596" s="24" t="n">
        <v>53315</v>
      </c>
      <c r="B3596" s="24" t="inlineStr">
        <is>
          <t>اس نکسوم   کپسول انتريک کوتد خوراکي 20 mg - داروسازي جالينوس</t>
        </is>
      </c>
      <c r="C3596" s="25">
        <f>IF(COUNTIF('کدهای پیام‌داروساز'!$A$2:$A$2442,A3596)&gt;0,"بله","خیر")</f>
        <v/>
      </c>
    </row>
    <row r="3597" ht="15" customHeight="1" s="14">
      <c r="A3597" s="24" t="n">
        <v>53316</v>
      </c>
      <c r="B3597" s="24" t="inlineStr">
        <is>
          <t>آلاستينيز-پي بي اي   اسپري با دوز اندازه گيري شده از راه بيني 137 ug/1{Puff} 15 mL - سلامت سازان پارس بوعلي</t>
        </is>
      </c>
      <c r="C3597" s="25">
        <f>IF(COUNTIF('کدهای پیام‌داروساز'!$A$2:$A$2442,A3597)&gt;0,"بله","خیر")</f>
        <v/>
      </c>
    </row>
    <row r="3598" ht="15" customHeight="1" s="14">
      <c r="A3598" s="24" t="n">
        <v>53317</v>
      </c>
      <c r="B3598" s="24" t="inlineStr">
        <is>
          <t>پلاسماي انساني هايپرايميون ضد هاري   تزريقي پرنترال  650 mL - نوين داروي زيست فن آور هراز</t>
        </is>
      </c>
      <c r="C3598" s="25">
        <f>IF(COUNTIF('کدهای پیام‌داروساز'!$A$2:$A$2442,A3598)&gt;0,"بله","خیر")</f>
        <v/>
      </c>
    </row>
    <row r="3599" ht="15" customHeight="1" s="14">
      <c r="A3599" s="24" t="n">
        <v>53318</v>
      </c>
      <c r="B3599" s="24" t="inlineStr">
        <is>
          <t>واکسن زنده تخفيف حدت يافته سرخک   تزريقي پرنترال 5 {dose}  {dose} - موسسه تحقيقات واکسن وسرم سازي رازي</t>
        </is>
      </c>
      <c r="C3599" s="25">
        <f>IF(COUNTIF('کدهای پیام‌داروساز'!$A$2:$A$2442,A3599)&gt;0,"بله","خیر")</f>
        <v/>
      </c>
    </row>
    <row r="3600" ht="15" customHeight="1" s="14">
      <c r="A3600" s="24" t="n">
        <v>53319</v>
      </c>
      <c r="B3600" s="24" t="inlineStr">
        <is>
          <t>سيلدنافيل   قرص خوراکي 20 mg - داروسازي جالينوس</t>
        </is>
      </c>
      <c r="C3600" s="25">
        <f>IF(COUNTIF('کدهای پیام‌داروساز'!$A$2:$A$2442,A3600)&gt;0,"بله","خیر")</f>
        <v/>
      </c>
    </row>
    <row r="3601" ht="15" customHeight="1" s="14">
      <c r="A3601" s="24" t="n">
        <v>53320</v>
      </c>
      <c r="B3601" s="24" t="inlineStr">
        <is>
          <t>سيلدنافيل   قرص خوراکي 5 mg - داروسازي جالينوس</t>
        </is>
      </c>
      <c r="C3601" s="25">
        <f>IF(COUNTIF('کدهای پیام‌داروساز'!$A$2:$A$2442,A3601)&gt;0,"بله","خیر")</f>
        <v/>
      </c>
    </row>
    <row r="3602" ht="15" customHeight="1" s="14">
      <c r="A3602" s="24" t="n">
        <v>53321</v>
      </c>
      <c r="B3602" s="24" t="inlineStr">
        <is>
          <t>آپتراوي   قرص خوراکي 200 ug - بازرگاني سها کيش</t>
        </is>
      </c>
      <c r="C3602" s="25">
        <f>IF(COUNTIF('کدهای پیام‌داروساز'!$A$2:$A$2442,A3602)&gt;0,"بله","خیر")</f>
        <v/>
      </c>
    </row>
    <row r="3603" ht="15" customHeight="1" s="14">
      <c r="A3603" s="24" t="n">
        <v>53322</v>
      </c>
      <c r="B3603" s="24" t="inlineStr">
        <is>
          <t>روتاسيل   محلول خوراکي 1 {dose} 2 {dose} - هيات امناي صرفه جويي ارزي در معالجه بيماران</t>
        </is>
      </c>
      <c r="C3603" s="25">
        <f>IF(COUNTIF('کدهای پیام‌داروساز'!$A$2:$A$2442,A3603)&gt;0,"بله","خیر")</f>
        <v/>
      </c>
    </row>
    <row r="3604" ht="15" customHeight="1" s="14">
      <c r="A3604" s="24" t="n">
        <v>53323</v>
      </c>
      <c r="B3604" s="24" t="inlineStr">
        <is>
          <t>واريوتايد ال اي آر   تزريق، پودر، رهش طولاني مدت پرنترال 20 mg  mg - تحقيقاتي و توليدي واريان فارمد</t>
        </is>
      </c>
      <c r="C3604" s="25">
        <f>IF(COUNTIF('کدهای پیام‌داروساز'!$A$2:$A$2442,A3604)&gt;0,"بله","خیر")</f>
        <v/>
      </c>
    </row>
    <row r="3605" ht="15" customHeight="1" s="14">
      <c r="A3605" s="24" t="n">
        <v>53324</v>
      </c>
      <c r="B3605" s="24" t="inlineStr">
        <is>
          <t>واريوتايد ال اي آر   تزريق، پودر، رهش طولاني مدت پرنترال 30 mg  mg - تحقيقاتي و توليدي واريان فارمد</t>
        </is>
      </c>
      <c r="C3605" s="25">
        <f>IF(COUNTIF('کدهای پیام‌داروساز'!$A$2:$A$2442,A3605)&gt;0,"بله","خیر")</f>
        <v/>
      </c>
    </row>
    <row r="3606" ht="15" customHeight="1" s="14">
      <c r="A3606" s="24" t="n">
        <v>53325</v>
      </c>
      <c r="B3606" s="24" t="inlineStr">
        <is>
          <t>کينين دي هيدرو کلرايد   تزريقي پرنترال 300 mg/1mL 2 mg - بهر سان فرتاک دارو</t>
        </is>
      </c>
      <c r="C3606" s="25">
        <f>IF(COUNTIF('کدهای پیام‌داروساز'!$A$2:$A$2442,A3606)&gt;0,"بله","خیر")</f>
        <v/>
      </c>
    </row>
    <row r="3607" ht="15" customHeight="1" s="14">
      <c r="A3607" s="24" t="n">
        <v>53326</v>
      </c>
      <c r="B3607" s="24" t="inlineStr">
        <is>
          <t>اندانسترون   شياف مقعدي 16 mg - داروسازي آرنيکا سلامت</t>
        </is>
      </c>
      <c r="C3607" s="25">
        <f>IF(COUNTIF('کدهای پیام‌داروساز'!$A$2:$A$2442,A3607)&gt;0,"بله","خیر")</f>
        <v/>
      </c>
    </row>
    <row r="3608" ht="15" customHeight="1" s="14">
      <c r="A3608" s="24" t="n">
        <v>53328</v>
      </c>
      <c r="B3608" s="24" t="inlineStr">
        <is>
          <t>پي دي گروث   تزريقي پرنترال 10 [iU]/1mL 3 [iU] - فرآورده هاي پويش دارو</t>
        </is>
      </c>
      <c r="C3608" s="25">
        <f>IF(COUNTIF('کدهای پیام‌داروساز'!$A$2:$A$2442,A3608)&gt;0,"بله","خیر")</f>
        <v/>
      </c>
    </row>
    <row r="3609" ht="15" customHeight="1" s="14">
      <c r="A3609" s="24" t="n">
        <v>53329</v>
      </c>
      <c r="B3609" s="24" t="inlineStr">
        <is>
          <t>رايبروانت   محلول غليظ تزريقي پرنترال /1mL 7 - مرز گستران فناوري آينده</t>
        </is>
      </c>
      <c r="C3609" s="25">
        <f>IF(COUNTIF('کدهای پیام‌داروساز'!$A$2:$A$2442,A3609)&gt;0,"بله","خیر")</f>
        <v/>
      </c>
    </row>
    <row r="3610" ht="15" customHeight="1" s="14">
      <c r="A3610" s="24" t="n">
        <v>53330</v>
      </c>
      <c r="B3610" s="24" t="inlineStr">
        <is>
          <t>کافتريو   قرص خوراکي 75 mg/50 mg/100 mg - بازرگاني سها کيش</t>
        </is>
      </c>
      <c r="C3610" s="25">
        <f>IF(COUNTIF('کدهای پیام‌داروساز'!$A$2:$A$2442,A3610)&gt;0,"بله","خیر")</f>
        <v/>
      </c>
    </row>
    <row r="3611" ht="15" customHeight="1" s="14">
      <c r="A3611" s="24" t="n">
        <v>53332</v>
      </c>
      <c r="B3611" s="24" t="inlineStr">
        <is>
          <t>بوپرنورفين اي آر   تزريق، محلول، رهش طولاني مدت پرنترال 300 mg/1.5mL  mg - تحقيقاتي و توليدي واريان فارمد</t>
        </is>
      </c>
      <c r="C3611" s="25">
        <f>IF(COUNTIF('کدهای پیام‌داروساز'!$A$2:$A$2442,A3611)&gt;0,"بله","خیر")</f>
        <v/>
      </c>
    </row>
    <row r="3612" ht="15" customHeight="1" s="14">
      <c r="A3612" s="24" t="n">
        <v>53334</v>
      </c>
      <c r="B3612" s="24" t="inlineStr">
        <is>
          <t>الوکيد   پودر براي تهيه فرآورده تزريقي پرنترال 2.5 mg  mg - نانو فناوران داروئي الوند</t>
        </is>
      </c>
      <c r="C3612" s="25">
        <f>IF(COUNTIF('کدهای پیام‌داروساز'!$A$2:$A$2442,A3612)&gt;0,"بله","خیر")</f>
        <v/>
      </c>
    </row>
    <row r="3613" ht="15" customHeight="1" s="14">
      <c r="A3613" s="24" t="n">
        <v>53335</v>
      </c>
      <c r="B3613" s="24" t="inlineStr">
        <is>
          <t>بوپرنورفين اي آر   تزريق، محلول، رهش طولاني مدت پرنترال 100 mg/0.5mL  mg - تحقيقاتي و توليدي واريان فارمد</t>
        </is>
      </c>
      <c r="C3613" s="25">
        <f>IF(COUNTIF('کدهای پیام‌داروساز'!$A$2:$A$2442,A3613)&gt;0,"بله","خیر")</f>
        <v/>
      </c>
    </row>
    <row r="3614" ht="15" customHeight="1" s="14">
      <c r="A3614" s="24" t="n">
        <v>53338</v>
      </c>
      <c r="B3614" s="24" t="inlineStr">
        <is>
          <t>اونتوزري   قرص خوراکي 100 mg - بازرگاني سها کيش</t>
        </is>
      </c>
      <c r="C3614" s="25">
        <f>IF(COUNTIF('کدهای پیام‌داروساز'!$A$2:$A$2442,A3614)&gt;0,"بله","خیر")</f>
        <v/>
      </c>
    </row>
    <row r="3615" ht="15" customHeight="1" s="14">
      <c r="A3615" s="24" t="n">
        <v>53340</v>
      </c>
      <c r="B3615" s="24" t="inlineStr">
        <is>
          <t>ايزولين   تزريقي پرنترال 2 mg/1mL 1 mg - دارويي البرز زاگرس</t>
        </is>
      </c>
      <c r="C3615" s="25">
        <f>IF(COUNTIF('کدهای پیام‌داروساز'!$A$2:$A$2442,A3615)&gt;0,"بله","خیر")</f>
        <v/>
      </c>
    </row>
    <row r="3616" ht="15" customHeight="1" s="14">
      <c r="A3616" s="24" t="n">
        <v>53341</v>
      </c>
      <c r="B3616" s="24" t="inlineStr">
        <is>
          <t>بمپليد   قرص خوراکي 180 mg - اکتوورکو</t>
        </is>
      </c>
      <c r="C3616" s="25">
        <f>IF(COUNTIF('کدهای پیام‌داروساز'!$A$2:$A$2442,A3616)&gt;0,"بله","خیر")</f>
        <v/>
      </c>
    </row>
    <row r="3617" ht="15" customHeight="1" s="14">
      <c r="A3617" s="24" t="n">
        <v>53342</v>
      </c>
      <c r="B3617" s="24" t="inlineStr">
        <is>
          <t>اپي بازام   سوسپانسيون خوراکي 2.5 mg/1mL 120 mL - الحاوي</t>
        </is>
      </c>
      <c r="C3617" s="25">
        <f>IF(COUNTIF('کدهای پیام‌داروساز'!$A$2:$A$2442,A3617)&gt;0,"بله","خیر")</f>
        <v/>
      </c>
    </row>
    <row r="3618" ht="15" customHeight="1" s="14">
      <c r="A3618" s="24" t="n">
        <v>53343</v>
      </c>
      <c r="B3618" s="24" t="inlineStr">
        <is>
          <t>منفايو   تزريقي پرنترال 1 {dose} 0.5 {dose} - اوين دارو</t>
        </is>
      </c>
      <c r="C3618" s="25">
        <f>IF(COUNTIF('کدهای پیام‌داروساز'!$A$2:$A$2442,A3618)&gt;0,"بله","خیر")</f>
        <v/>
      </c>
    </row>
    <row r="3619" ht="15" customHeight="1" s="14">
      <c r="A3619" s="24" t="n">
        <v>53344</v>
      </c>
      <c r="B3619" s="24" t="inlineStr">
        <is>
          <t>منفايو   تزريقي پرنترال 5 {dose} 2.5 {dose} - اوين دارو</t>
        </is>
      </c>
      <c r="C3619" s="25">
        <f>IF(COUNTIF('کدهای پیام‌داروساز'!$A$2:$A$2442,A3619)&gt;0,"بله","خیر")</f>
        <v/>
      </c>
    </row>
    <row r="3620" ht="15" customHeight="1" s="14">
      <c r="A3620" s="24" t="n">
        <v>53346</v>
      </c>
      <c r="B3620" s="24" t="inlineStr">
        <is>
          <t>متادون   محلول خوراکي 25 mg/5 mL 60 mL - توليد مواد اوليه داروپخش</t>
        </is>
      </c>
      <c r="C3620" s="25">
        <f>IF(COUNTIF('کدهای پیام‌داروساز'!$A$2:$A$2442,A3620)&gt;0,"بله","خیر")</f>
        <v/>
      </c>
    </row>
    <row r="3621" ht="15" customHeight="1" s="14">
      <c r="A3621" s="24" t="n">
        <v>53351</v>
      </c>
      <c r="B3621" s="24" t="inlineStr">
        <is>
          <t>فريرايز   تزريقي پرنترال 50 mg/1mL 2 mg - زيست دارو دانش</t>
        </is>
      </c>
      <c r="C3621" s="25">
        <f>IF(COUNTIF('کدهای پیام‌داروساز'!$A$2:$A$2442,A3621)&gt;0,"بله","خیر")</f>
        <v/>
      </c>
    </row>
    <row r="3622" ht="15" customHeight="1" s="14">
      <c r="A3622" s="24" t="n">
        <v>53358</v>
      </c>
      <c r="B3622" s="24" t="inlineStr">
        <is>
          <t>اندوکسينا   محلول تزريقي پرنترال 200 mg/1mL 2.5 - نانو فناوران داروئي الوند</t>
        </is>
      </c>
      <c r="C3622" s="25">
        <f>IF(COUNTIF('کدهای پیام‌داروساز'!$A$2:$A$2442,A3622)&gt;0,"بله","خیر")</f>
        <v/>
      </c>
    </row>
    <row r="3623" ht="15" customHeight="1" s="14">
      <c r="A3623" s="24" t="n">
        <v>53359</v>
      </c>
      <c r="B3623" s="24" t="inlineStr">
        <is>
          <t>اندوکسينا   محلول تزريقي پرنترال 200 mg/1mL 5 - نانو فناوران داروئي الوند</t>
        </is>
      </c>
      <c r="C3623" s="25">
        <f>IF(COUNTIF('کدهای پیام‌داروساز'!$A$2:$A$2442,A3623)&gt;0,"بله","خیر")</f>
        <v/>
      </c>
    </row>
    <row r="3624" ht="15" customHeight="1" s="14">
      <c r="A3624" s="24" t="n">
        <v>53360</v>
      </c>
      <c r="B3624" s="24" t="inlineStr">
        <is>
          <t>اوميويل   کپسول استنشاقي 62.5 ug/25 ug - تدبير کالاي جم</t>
        </is>
      </c>
      <c r="C3624" s="25">
        <f>IF(COUNTIF('کدهای پیام‌داروساز'!$A$2:$A$2442,A3624)&gt;0,"بله","خیر")</f>
        <v/>
      </c>
    </row>
    <row r="3625" ht="15" customHeight="1" s="14">
      <c r="A3625" s="24" t="n">
        <v>53361</v>
      </c>
      <c r="B3625" s="24" t="inlineStr">
        <is>
          <t>زلکاگز   کپسول خوراکي 400 mg - داروسازي روژين</t>
        </is>
      </c>
      <c r="C3625" s="25">
        <f>IF(COUNTIF('کدهای پیام‌داروساز'!$A$2:$A$2442,A3625)&gt;0,"بله","خیر")</f>
        <v/>
      </c>
    </row>
    <row r="3626" ht="15" customHeight="1" s="14">
      <c r="A3626" s="24" t="n">
        <v>53362</v>
      </c>
      <c r="B3626" s="24" t="inlineStr">
        <is>
          <t>سيتاسدال   محلول تزريقي پرنترال 20 mg/1mL 25 mL - سه دال نانو</t>
        </is>
      </c>
      <c r="C3626" s="25">
        <f>IF(COUNTIF('کدهای پیام‌داروساز'!$A$2:$A$2442,A3626)&gt;0,"بله","خیر")</f>
        <v/>
      </c>
    </row>
    <row r="3627" ht="15" customHeight="1" s="14">
      <c r="A3627" s="24" t="n">
        <v>53363</v>
      </c>
      <c r="B3627" s="24" t="inlineStr">
        <is>
          <t>پيرتومکس   شامپو موضعي 1 % 100 mL - لابراتوارهاي شهردارو</t>
        </is>
      </c>
      <c r="C3627" s="25">
        <f>IF(COUNTIF('کدهای پیام‌داروساز'!$A$2:$A$2442,A3627)&gt;0,"بله","خیر")</f>
        <v/>
      </c>
    </row>
    <row r="3628" ht="15" customHeight="1" s="14">
      <c r="A3628" s="24" t="n">
        <v>53364</v>
      </c>
      <c r="B3628" s="24" t="inlineStr">
        <is>
          <t>پريکوئين   قرص خوراکي 0.3 mg - دارو سازي آتي فارمد</t>
        </is>
      </c>
      <c r="C3628" s="25">
        <f>IF(COUNTIF('کدهای پیام‌داروساز'!$A$2:$A$2442,A3628)&gt;0,"بله","خیر")</f>
        <v/>
      </c>
    </row>
    <row r="3629" ht="15" customHeight="1" s="14">
      <c r="A3629" s="24" t="n">
        <v>53367</v>
      </c>
      <c r="B3629" s="24" t="inlineStr">
        <is>
          <t>پالنوست   محلول تزريقي پرنترال 0.05 mg/1mL 5 mg - دارو درمان آرنگ</t>
        </is>
      </c>
      <c r="C3629" s="25">
        <f>IF(COUNTIF('کدهای پیام‌داروساز'!$A$2:$A$2442,A3629)&gt;0,"بله","خیر")</f>
        <v/>
      </c>
    </row>
    <row r="3630" ht="15" customHeight="1" s="14">
      <c r="A3630" s="24" t="n">
        <v>53368</v>
      </c>
      <c r="B3630" s="24" t="inlineStr">
        <is>
          <t>ژوودي   محلول، قطره چشمي 1.25 % 5 mL - باختر بيو شيمي</t>
        </is>
      </c>
      <c r="C3630" s="25">
        <f>IF(COUNTIF('کدهای پیام‌داروساز'!$A$2:$A$2442,A3630)&gt;0,"بله","خیر")</f>
        <v/>
      </c>
    </row>
    <row r="3631" ht="15" customHeight="1" s="14">
      <c r="A3631" s="24" t="n">
        <v>53369</v>
      </c>
      <c r="B3631" s="24" t="inlineStr">
        <is>
          <t>پيويکتو   قرص خوراکي 150 mg - بازرگاني سها کيش</t>
        </is>
      </c>
      <c r="C3631" s="25">
        <f>IF(COUNTIF('کدهای پیام‌داروساز'!$A$2:$A$2442,A3631)&gt;0,"بله","خیر")</f>
        <v/>
      </c>
    </row>
    <row r="3632" ht="15" customHeight="1" s="14">
      <c r="A3632" s="24" t="n">
        <v>53370</v>
      </c>
      <c r="B3632" s="24" t="inlineStr">
        <is>
          <t>اوپاووک   قرص پيوسته رهش خوراکي 15 mg - دارويي البرز زاگرس</t>
        </is>
      </c>
      <c r="C3632" s="25">
        <f>IF(COUNTIF('کدهای پیام‌داروساز'!$A$2:$A$2442,A3632)&gt;0,"بله","خیر")</f>
        <v/>
      </c>
    </row>
    <row r="3633" ht="15" customHeight="1" s="14">
      <c r="A3633" s="24" t="n">
        <v>53371</v>
      </c>
      <c r="B3633" s="24" t="inlineStr">
        <is>
          <t>اوپاووک   قرص پيوسته رهش خوراکي 30 mg - دارويي البرز زاگرس</t>
        </is>
      </c>
      <c r="C3633" s="25">
        <f>IF(COUNTIF('کدهای پیام‌داروساز'!$A$2:$A$2442,A3633)&gt;0,"بله","خیر")</f>
        <v/>
      </c>
    </row>
    <row r="3634" ht="15" customHeight="1" s="14">
      <c r="A3634" s="24" t="n">
        <v>53374</v>
      </c>
      <c r="B3634" s="24" t="inlineStr">
        <is>
          <t>آمورونيک   لاک ناخن موضعي 50 mg/1mL 5 mL - کيمياکالاي رازي</t>
        </is>
      </c>
      <c r="C3634" s="25">
        <f>IF(COUNTIF('کدهای پیام‌داروساز'!$A$2:$A$2442,A3634)&gt;0,"بله","خیر")</f>
        <v/>
      </c>
    </row>
    <row r="3635" ht="15" customHeight="1" s="14">
      <c r="A3635" s="24" t="n">
        <v>53375</v>
      </c>
      <c r="B3635" s="24" t="inlineStr">
        <is>
          <t>ترودلوي   پودر براي تهيه محلول تزريقي پرنترال 180 mg  mg - ياسين داروي فارس</t>
        </is>
      </c>
      <c r="C3635" s="25">
        <f>IF(COUNTIF('کدهای پیام‌داروساز'!$A$2:$A$2442,A3635)&gt;0,"بله","خیر")</f>
        <v/>
      </c>
    </row>
    <row r="3636" ht="15" customHeight="1" s="14">
      <c r="A3636" s="24" t="n">
        <v>53376</v>
      </c>
      <c r="B3636" s="24" t="inlineStr">
        <is>
          <t>سدودکس   محلول غليظ تزريقي پرنترال 100 ug/1mL 1 mL - ايماژن</t>
        </is>
      </c>
      <c r="C3636" s="25">
        <f>IF(COUNTIF('کدهای پیام‌داروساز'!$A$2:$A$2442,A3636)&gt;0,"بله","خیر")</f>
        <v/>
      </c>
    </row>
    <row r="3637" ht="15" customHeight="1" s="14">
      <c r="A3637" s="24" t="n">
        <v>53378</v>
      </c>
      <c r="B3637" s="24" t="inlineStr">
        <is>
          <t>امپليسيتي   پودر براي تهيه محلول تزريقي پرنترال 300 mg  mg - ياسين داروي فارس</t>
        </is>
      </c>
      <c r="C3637" s="25">
        <f>IF(COUNTIF('کدهای پیام‌داروساز'!$A$2:$A$2442,A3637)&gt;0,"بله","خیر")</f>
        <v/>
      </c>
    </row>
    <row r="3638" ht="15" customHeight="1" s="14">
      <c r="A3638" s="24" t="n">
        <v>53379</v>
      </c>
      <c r="B3638" s="24" t="inlineStr">
        <is>
          <t>بينافين   کرم موضعي 1 % 30 g - داروسازي تهران شيمي</t>
        </is>
      </c>
      <c r="C3638" s="25">
        <f>IF(COUNTIF('کدهای پیام‌داروساز'!$A$2:$A$2442,A3638)&gt;0,"بله","خیر")</f>
        <v/>
      </c>
    </row>
    <row r="3639" ht="15" customHeight="1" s="14">
      <c r="A3639" s="24" t="n">
        <v>53380</v>
      </c>
      <c r="B3639" s="24" t="inlineStr">
        <is>
          <t>ديکلوفناک سديم   ژل موضعي 3 % 60 g - ايران دارو</t>
        </is>
      </c>
      <c r="C3639" s="25">
        <f>IF(COUNTIF('کدهای پیام‌داروساز'!$A$2:$A$2442,A3639)&gt;0,"بله","خیر")</f>
        <v/>
      </c>
    </row>
    <row r="3640" ht="15" customHeight="1" s="14">
      <c r="A3640" s="24" t="n">
        <v>53382</v>
      </c>
      <c r="B3640" s="24" t="inlineStr">
        <is>
          <t>کلگزيت   پودر براي تهيه سوسپانسيون   خوراکي 15 g  g - کيمياکالاي رازي</t>
        </is>
      </c>
      <c r="C3640" s="25">
        <f>IF(COUNTIF('کدهای پیام‌داروساز'!$A$2:$A$2442,A3640)&gt;0,"بله","خیر")</f>
        <v/>
      </c>
    </row>
    <row r="3641" ht="15" customHeight="1" s="14">
      <c r="A3641" s="24" t="n">
        <v>53384</v>
      </c>
      <c r="B3641" s="24" t="inlineStr">
        <is>
          <t>تکووزا   قرص خوراکي 10 mg - داروسازي تهران شيمي</t>
        </is>
      </c>
      <c r="C3641" s="25">
        <f>IF(COUNTIF('کدهای پیام‌داروساز'!$A$2:$A$2442,A3641)&gt;0,"بله","خیر")</f>
        <v/>
      </c>
    </row>
    <row r="3642" ht="15" customHeight="1" s="14">
      <c r="A3642" s="24" t="n">
        <v>53385</v>
      </c>
      <c r="B3642" s="24" t="inlineStr">
        <is>
          <t>تکووزا   قرص خوراکي 20 mg - داروسازي تهران شيمي</t>
        </is>
      </c>
      <c r="C3642" s="25">
        <f>IF(COUNTIF('کدهای پیام‌داروساز'!$A$2:$A$2442,A3642)&gt;0,"بله","خیر")</f>
        <v/>
      </c>
    </row>
    <row r="3643" ht="15" customHeight="1" s="14">
      <c r="A3643" s="24" t="n">
        <v>53386</v>
      </c>
      <c r="B3643" s="24" t="inlineStr">
        <is>
          <t>بزاق مصنوعي   اسپري خوراکي  50 mL - ايران دارو</t>
        </is>
      </c>
      <c r="C3643" s="25">
        <f>IF(COUNTIF('کدهای پیام‌داروساز'!$A$2:$A$2442,A3643)&gt;0,"بله","خیر")</f>
        <v/>
      </c>
    </row>
    <row r="3644" ht="15" customHeight="1" s="14">
      <c r="A3644" s="24" t="n">
        <v>53387</v>
      </c>
      <c r="B3644" s="24" t="inlineStr">
        <is>
          <t>تريمبو   اينهالر استنشاقي 100 ug/6 ug/10 ug 120 {Puff} - درمان ياب دارو</t>
        </is>
      </c>
      <c r="C3644" s="25">
        <f>IF(COUNTIF('کدهای پیام‌داروساز'!$A$2:$A$2442,A3644)&gt;0,"بله","خیر")</f>
        <v/>
      </c>
    </row>
    <row r="3645" ht="15" customHeight="1" s="14">
      <c r="A3645" s="24" t="n">
        <v>53388</v>
      </c>
      <c r="B3645" s="24" t="inlineStr">
        <is>
          <t>پري لپس   سوسپانسيون خوراکي 125 mg/5mL 120 mL - اشبال شيمي</t>
        </is>
      </c>
      <c r="C3645" s="25">
        <f>IF(COUNTIF('کدهای پیام‌داروساز'!$A$2:$A$2442,A3645)&gt;0,"بله","خیر")</f>
        <v/>
      </c>
    </row>
    <row r="3646" ht="15" customHeight="1" s="14">
      <c r="A3646" s="24" t="n">
        <v>53389</v>
      </c>
      <c r="B3646" s="24" t="inlineStr">
        <is>
          <t>تورزايد   قرص خوراکي 5 mg - آرنا حيات دانش</t>
        </is>
      </c>
      <c r="C3646" s="25">
        <f>IF(COUNTIF('کدهای پیام‌داروساز'!$A$2:$A$2442,A3646)&gt;0,"بله","خیر")</f>
        <v/>
      </c>
    </row>
    <row r="3647" ht="15" customHeight="1" s="14">
      <c r="A3647" s="24" t="n">
        <v>53390</v>
      </c>
      <c r="B3647" s="24" t="inlineStr">
        <is>
          <t>تورزايد   قرص خوراکي 10 mg - آرنا حيات دانش</t>
        </is>
      </c>
      <c r="C3647" s="25">
        <f>IF(COUNTIF('کدهای پیام‌داروساز'!$A$2:$A$2442,A3647)&gt;0,"بله","خیر")</f>
        <v/>
      </c>
    </row>
    <row r="3648" ht="15" customHeight="1" s="14">
      <c r="A3648" s="24" t="n">
        <v>53391</v>
      </c>
      <c r="B3648" s="24" t="inlineStr">
        <is>
          <t>تورزايد   قرص خوراکي 20 mg - آرنا حيات دانش</t>
        </is>
      </c>
      <c r="C3648" s="25">
        <f>IF(COUNTIF('کدهای پیام‌داروساز'!$A$2:$A$2442,A3648)&gt;0,"بله","خیر")</f>
        <v/>
      </c>
    </row>
    <row r="3649" ht="15" customHeight="1" s="14">
      <c r="A3649" s="24" t="n">
        <v>53392</v>
      </c>
      <c r="B3649" s="24" t="inlineStr">
        <is>
          <t>تورزايد   قرص خوراکي 100 mg - آرنا حيات دانش</t>
        </is>
      </c>
      <c r="C3649" s="25">
        <f>IF(COUNTIF('کدهای پیام‌داروساز'!$A$2:$A$2442,A3649)&gt;0,"بله","خیر")</f>
        <v/>
      </c>
    </row>
    <row r="3650" ht="15" customHeight="1" s="14">
      <c r="A3650" s="24" t="n">
        <v>53393</v>
      </c>
      <c r="B3650" s="24" t="inlineStr">
        <is>
          <t>ستادکس   شربت خوراکي 10 mg/100 mg/5 mg/5mL 120 mL - داروسازي رها اصفهان</t>
        </is>
      </c>
      <c r="C3650" s="25">
        <f>IF(COUNTIF('کدهای پیام‌داروساز'!$A$2:$A$2442,A3650)&gt;0,"بله","خیر")</f>
        <v/>
      </c>
    </row>
    <row r="3651" ht="15" customHeight="1" s="14">
      <c r="A3651" s="24" t="n">
        <v>53394</v>
      </c>
      <c r="B3651" s="24" t="inlineStr">
        <is>
          <t>گلبول قرمز کم لکوسيت اشعه ديده   تزريقي پرنترال  300 mL - سازمان انتقال خون ايران</t>
        </is>
      </c>
      <c r="C3651" s="25">
        <f>IF(COUNTIF('کدهای پیام‌داروساز'!$A$2:$A$2442,A3651)&gt;0,"بله","خیر")</f>
        <v/>
      </c>
    </row>
    <row r="3652" ht="15" customHeight="1" s="14">
      <c r="A3652" s="24" t="n">
        <v>53395</v>
      </c>
      <c r="B3652" s="24" t="inlineStr">
        <is>
          <t>پلاسماي تازه منجمد شده کم لکوسيت   تزريقي پرنترال  250 mL - سازمان انتقال خون ايران</t>
        </is>
      </c>
      <c r="C3652" s="25">
        <f>IF(COUNTIF('کدهای پیام‌داروساز'!$A$2:$A$2442,A3652)&gt;0,"بله","خیر")</f>
        <v/>
      </c>
    </row>
    <row r="3653" ht="15" customHeight="1" s="14">
      <c r="A3653" s="24" t="n">
        <v>53396</v>
      </c>
      <c r="B3653" s="24" t="inlineStr">
        <is>
          <t>کپليو   محلول خوراکي 100 mg/1 mL 250 mL - ابيان فارمد</t>
        </is>
      </c>
      <c r="C3653" s="25">
        <f>IF(COUNTIF('کدهای پیام‌داروساز'!$A$2:$A$2442,A3653)&gt;0,"بله","خیر")</f>
        <v/>
      </c>
    </row>
    <row r="3654" ht="15" customHeight="1" s="14">
      <c r="A3654" s="24" t="n">
        <v>53397</v>
      </c>
      <c r="B3654" s="24" t="inlineStr">
        <is>
          <t>پري لپس   قرص خوراکي 50 mg - اشبال شيمي</t>
        </is>
      </c>
      <c r="C3654" s="25">
        <f>IF(COUNTIF('کدهای پیام‌داروساز'!$A$2:$A$2442,A3654)&gt;0,"بله","خیر")</f>
        <v/>
      </c>
    </row>
    <row r="3655" ht="15" customHeight="1" s="14">
      <c r="A3655" s="24" t="n">
        <v>53398</v>
      </c>
      <c r="B3655" s="24" t="inlineStr">
        <is>
          <t>آيدبکس   قرص خوراکي 90 mg - بازرگاني سها کيش</t>
        </is>
      </c>
      <c r="C3655" s="25">
        <f>IF(COUNTIF('کدهای پیام‌داروساز'!$A$2:$A$2442,A3655)&gt;0,"بله","خیر")</f>
        <v/>
      </c>
    </row>
    <row r="3656" ht="15" customHeight="1" s="14">
      <c r="A3656" s="24" t="n">
        <v>53399</v>
      </c>
      <c r="B3656" s="24" t="inlineStr">
        <is>
          <t>گلبول قرمز کم لکوسيت اطفال   تزريقي پرنترال  90 mL - سازمان انتقال خون ايران</t>
        </is>
      </c>
      <c r="C3656" s="25">
        <f>IF(COUNTIF('کدهای پیام‌داروساز'!$A$2:$A$2442,A3656)&gt;0,"بله","خیر")</f>
        <v/>
      </c>
    </row>
    <row r="3657" ht="15" customHeight="1" s="14">
      <c r="A3657" s="24" t="n">
        <v>53401</v>
      </c>
      <c r="B3657" s="24" t="inlineStr">
        <is>
          <t>بروکينسا   کپسول خوراکي 80 mg - بازرگاني سها کيش</t>
        </is>
      </c>
      <c r="C3657" s="25">
        <f>IF(COUNTIF('کدهای پیام‌داروساز'!$A$2:$A$2442,A3657)&gt;0,"بله","خیر")</f>
        <v/>
      </c>
    </row>
    <row r="3658" ht="15" customHeight="1" s="14">
      <c r="A3658" s="24" t="n">
        <v>53402</v>
      </c>
      <c r="B3658" s="24" t="inlineStr">
        <is>
          <t>آلاپين پلاس   قرص خوراکي 325 mg/37.5 mg - داروسازي امين</t>
        </is>
      </c>
      <c r="C3658" s="25">
        <f>IF(COUNTIF('کدهای پیام‌داروساز'!$A$2:$A$2442,A3658)&gt;0,"بله","خیر")</f>
        <v/>
      </c>
    </row>
    <row r="3659" ht="15" customHeight="1" s="14">
      <c r="A3659" s="24" t="n">
        <v>53403</v>
      </c>
      <c r="B3659" s="24" t="inlineStr">
        <is>
          <t>کارديوکسان   پودر براي تهيه محلول تزريقي پرنترال 500 mg  mg - پيک دارو توسعه</t>
        </is>
      </c>
      <c r="C3659" s="25">
        <f>IF(COUNTIF('کدهای پیام‌داروساز'!$A$2:$A$2442,A3659)&gt;0,"بله","خیر")</f>
        <v/>
      </c>
    </row>
    <row r="3660" ht="15" customHeight="1" s="14">
      <c r="A3660" s="24" t="n">
        <v>53404</v>
      </c>
      <c r="B3660" s="24" t="inlineStr">
        <is>
          <t>پرفورم آپ   کپسول حاوي مايع خوراکي 500 mg - زيست اروند فارمد</t>
        </is>
      </c>
      <c r="C3660" s="25">
        <f>IF(COUNTIF('کدهای پیام‌داروساز'!$A$2:$A$2442,A3660)&gt;0,"بله","خیر")</f>
        <v/>
      </c>
    </row>
    <row r="3661" ht="15" customHeight="1" s="14">
      <c r="A3661" s="24" t="n">
        <v>53405</v>
      </c>
      <c r="B3661" s="24" t="inlineStr">
        <is>
          <t>پرفورم آپ   کپسول حاوي مايع خوراکي 1000 mg - زيست اروند فارمد</t>
        </is>
      </c>
      <c r="C3661" s="25">
        <f>IF(COUNTIF('کدهای پیام‌داروساز'!$A$2:$A$2442,A3661)&gt;0,"بله","خیر")</f>
        <v/>
      </c>
    </row>
    <row r="3662" ht="15" customHeight="1" s="14">
      <c r="A3662" s="24" t="n">
        <v>53406</v>
      </c>
      <c r="B3662" s="24" t="inlineStr">
        <is>
          <t>سيپروفلوکساسين   محلول، قطره چشمي 0.3 % 0.5 mL - داروسازي دانا</t>
        </is>
      </c>
      <c r="C3662" s="25">
        <f>IF(COUNTIF('کدهای پیام‌داروساز'!$A$2:$A$2442,A3662)&gt;0,"بله","خیر")</f>
        <v/>
      </c>
    </row>
    <row r="3663" ht="15" customHeight="1" s="14">
      <c r="A3663" s="24" t="n">
        <v>53407</v>
      </c>
      <c r="B3663" s="24" t="inlineStr">
        <is>
          <t>کوتليک   قرص خوراکي 20 mg - بازرگاني سها کيش</t>
        </is>
      </c>
      <c r="C3663" s="25">
        <f>IF(COUNTIF('کدهای پیام‌داروساز'!$A$2:$A$2442,A3663)&gt;0,"بله","خیر")</f>
        <v/>
      </c>
    </row>
    <row r="3664" ht="15" customHeight="1" s="14">
      <c r="A3664" s="24" t="n">
        <v>53408</v>
      </c>
      <c r="B3664" s="24" t="inlineStr">
        <is>
          <t>آپريلو   کپسول خوراکي 4 mg - دارو سازي آنوشا</t>
        </is>
      </c>
      <c r="C3664" s="25">
        <f>IF(COUNTIF('کدهای پیام‌داروساز'!$A$2:$A$2442,A3664)&gt;0,"بله","خیر")</f>
        <v/>
      </c>
    </row>
    <row r="3665" ht="15" customHeight="1" s="14">
      <c r="A3665" s="24" t="n">
        <v>53409</v>
      </c>
      <c r="B3665" s="24" t="inlineStr">
        <is>
          <t>آپريلو   کپسول خوراکي 8 mg - دارو سازي آنوشا</t>
        </is>
      </c>
      <c r="C3665" s="25">
        <f>IF(COUNTIF('کدهای پیام‌داروساز'!$A$2:$A$2442,A3665)&gt;0,"بله","خیر")</f>
        <v/>
      </c>
    </row>
    <row r="3666" ht="15" customHeight="1" s="14">
      <c r="A3666" s="24" t="n">
        <v>53411</v>
      </c>
      <c r="B3666" s="24" t="inlineStr">
        <is>
          <t>رتسِومو   کپسول خوراکي 80 mg - بازرگاني سها کيش</t>
        </is>
      </c>
      <c r="C3666" s="25">
        <f>IF(COUNTIF('کدهای پیام‌داروساز'!$A$2:$A$2442,A3666)&gt;0,"بله","خیر")</f>
        <v/>
      </c>
    </row>
    <row r="3667" ht="15" customHeight="1" s="14">
      <c r="A3667" s="24" t="n">
        <v>53412</v>
      </c>
      <c r="B3667" s="24" t="inlineStr">
        <is>
          <t>روکسيملا   کپسول انتريک کوتد خوراکي 231 mg - زيست دارو دانش</t>
        </is>
      </c>
      <c r="C3667" s="25">
        <f>IF(COUNTIF('کدهای پیام‌داروساز'!$A$2:$A$2442,A3667)&gt;0,"بله","خیر")</f>
        <v/>
      </c>
    </row>
    <row r="3668" ht="15" customHeight="1" s="14">
      <c r="A3668" s="24" t="n">
        <v>53413</v>
      </c>
      <c r="B3668" s="24" t="inlineStr">
        <is>
          <t>تنوکلاکس   قرص خوراکي 50 mg - نانو فناوران داروئي الوند</t>
        </is>
      </c>
      <c r="C3668" s="25">
        <f>IF(COUNTIF('کدهای پیام‌داروساز'!$A$2:$A$2442,A3668)&gt;0,"بله","خیر")</f>
        <v/>
      </c>
    </row>
    <row r="3669" ht="15" customHeight="1" s="14">
      <c r="A3669" s="24" t="n">
        <v>53414</v>
      </c>
      <c r="B3669" s="24" t="inlineStr">
        <is>
          <t>ونتوزا   قرص خوراکي 10 mg - زيست دارو دانش</t>
        </is>
      </c>
      <c r="C3669" s="25">
        <f>IF(COUNTIF('کدهای پیام‌داروساز'!$A$2:$A$2442,A3669)&gt;0,"بله","خیر")</f>
        <v/>
      </c>
    </row>
    <row r="3670" ht="15" customHeight="1" s="14">
      <c r="A3670" s="24" t="n">
        <v>53415</v>
      </c>
      <c r="B3670" s="24" t="inlineStr">
        <is>
          <t>هپابولين اس ان   تزريقي پرنترال 200 [iU]/1mL 10 mL - درمان ياب آنا</t>
        </is>
      </c>
      <c r="C3670" s="25">
        <f>IF(COUNTIF('کدهای پیام‌داروساز'!$A$2:$A$2442,A3670)&gt;0,"بله","خیر")</f>
        <v/>
      </c>
    </row>
    <row r="3671" ht="15" customHeight="1" s="14">
      <c r="A3671" s="24" t="n">
        <v>53416</v>
      </c>
      <c r="B3671" s="24" t="inlineStr">
        <is>
          <t>نيتروپاف   اسپري زيرزباني 400 ug/1{dose} 100 mg - توليد مواد داروئي درسا دارو</t>
        </is>
      </c>
      <c r="C3671" s="25">
        <f>IF(COUNTIF('کدهای پیام‌داروساز'!$A$2:$A$2442,A3671)&gt;0,"بله","خیر")</f>
        <v/>
      </c>
    </row>
    <row r="3672" ht="15" customHeight="1" s="14">
      <c r="A3672" s="24" t="n">
        <v>53418</v>
      </c>
      <c r="B3672" s="24" t="inlineStr">
        <is>
          <t>هگزاسيل   سوسپانسيون تزريقي پرنترال 1 {dose} 0.5 {dose} - اوين دارو</t>
        </is>
      </c>
      <c r="C3672" s="25">
        <f>IF(COUNTIF('کدهای پیام‌داروساز'!$A$2:$A$2442,A3672)&gt;0,"بله","خیر")</f>
        <v/>
      </c>
    </row>
    <row r="3673" ht="15" customHeight="1" s="14">
      <c r="A3673" s="24" t="n">
        <v>53419</v>
      </c>
      <c r="B3673" s="24" t="inlineStr">
        <is>
          <t>هگزاسيل   سوسپانسيون تزريقي پرنترال 10 {dose} 5 {dose} - اوين دارو</t>
        </is>
      </c>
      <c r="C3673" s="25">
        <f>IF(COUNTIF('کدهای پیام‌داروساز'!$A$2:$A$2442,A3673)&gt;0,"بله","خیر")</f>
        <v/>
      </c>
    </row>
    <row r="3674" ht="15" customHeight="1" s="14">
      <c r="A3674" s="24" t="n">
        <v>53421</v>
      </c>
      <c r="B3674" s="24" t="inlineStr">
        <is>
          <t>کوآگيت   پودر لئوفيليزه براي تهيه فرآورده تزريقي پرنترال 1000 [iU]  [iU] - آريوژن فارمد</t>
        </is>
      </c>
      <c r="C3674" s="25">
        <f>IF(COUNTIF('کدهای پیام‌داروساز'!$A$2:$A$2442,A3674)&gt;0,"بله","خیر")</f>
        <v/>
      </c>
    </row>
    <row r="3675" ht="15" customHeight="1" s="14">
      <c r="A3675" s="24" t="n">
        <v>53422</v>
      </c>
      <c r="B3675" s="24" t="inlineStr">
        <is>
          <t>کوآگيت   پودر لئوفيليزه براي تهيه فرآورده تزريقي پرنترال 2000 [iU]  mg - آريوژن فارمد</t>
        </is>
      </c>
      <c r="C3675" s="25">
        <f>IF(COUNTIF('کدهای پیام‌داروساز'!$A$2:$A$2442,A3675)&gt;0,"بله","خیر")</f>
        <v/>
      </c>
    </row>
    <row r="3676" ht="15" customHeight="1" s="14">
      <c r="A3676" s="24" t="n">
        <v>53423</v>
      </c>
      <c r="B3676" s="24" t="inlineStr">
        <is>
          <t>فوزان-اچ   کرم موضعي 2 %/1 % 15 g - دارو سازي بهوزان</t>
        </is>
      </c>
      <c r="C3676" s="25">
        <f>IF(COUNTIF('کدهای پیام‌داروساز'!$A$2:$A$2442,A3676)&gt;0,"بله","خیر")</f>
        <v/>
      </c>
    </row>
    <row r="3677" ht="15" customHeight="1" s="14">
      <c r="A3677" s="24" t="n">
        <v>53424</v>
      </c>
      <c r="B3677" s="24" t="inlineStr">
        <is>
          <t>اکسي متازولين   اسپري از راه بيني 0.1 % 20 mL - داروسازي آني درمان</t>
        </is>
      </c>
      <c r="C3677" s="25">
        <f>IF(COUNTIF('کدهای پیام‌داروساز'!$A$2:$A$2442,A3677)&gt;0,"بله","خیر")</f>
        <v/>
      </c>
    </row>
    <row r="3678" ht="15" customHeight="1" s="14">
      <c r="A3678" s="24" t="n">
        <v>53425</v>
      </c>
      <c r="B3678" s="24" t="inlineStr">
        <is>
          <t>کيديزول   پودر براي تهيه سوسپانسيون   خوراکي 2 mg/1 mL 90 g - دارودرمان پارس</t>
        </is>
      </c>
      <c r="C3678" s="25">
        <f>IF(COUNTIF('کدهای پیام‌داروساز'!$A$2:$A$2442,A3678)&gt;0,"بله","خیر")</f>
        <v/>
      </c>
    </row>
    <row r="3679" ht="15" customHeight="1" s="14">
      <c r="A3679" s="24" t="n">
        <v>53426</v>
      </c>
      <c r="B3679" s="24" t="inlineStr">
        <is>
          <t>بريتنيا   محلول، قطره چشمي 0.03 % 5 mL - تدبير کالاي جم</t>
        </is>
      </c>
      <c r="C3679" s="25">
        <f>IF(COUNTIF('کدهای پیام‌داروساز'!$A$2:$A$2442,A3679)&gt;0,"بله","خیر")</f>
        <v/>
      </c>
    </row>
    <row r="3680" ht="15" customHeight="1" s="14">
      <c r="A3680" s="24" t="n">
        <v>53427</v>
      </c>
      <c r="B3680" s="24" t="inlineStr">
        <is>
          <t>ژنپوزايم   پودر لئوفيليزه براي تهيه محلول تزريقي پرنترال 4 mg  mg - بازرگاني سها کيش</t>
        </is>
      </c>
      <c r="C3680" s="25">
        <f>IF(COUNTIF('کدهای پیام‌داروساز'!$A$2:$A$2442,A3680)&gt;0,"بله","خیر")</f>
        <v/>
      </c>
    </row>
    <row r="3681" ht="15" customHeight="1" s="14">
      <c r="A3681" s="24" t="n">
        <v>53428</v>
      </c>
      <c r="B3681" s="24" t="inlineStr">
        <is>
          <t>فلانتادين   قرص خوراکي 30 mg - مرز گستران فناوري آينده</t>
        </is>
      </c>
      <c r="C3681" s="25">
        <f>IF(COUNTIF('کدهای پیام‌داروساز'!$A$2:$A$2442,A3681)&gt;0,"بله","خیر")</f>
        <v/>
      </c>
    </row>
    <row r="3682" ht="15" customHeight="1" s="14">
      <c r="A3682" s="24" t="n">
        <v>53430</v>
      </c>
      <c r="B3682" s="24" t="inlineStr">
        <is>
          <t>فروزاکلا   کپسول خوراکي 5 mg - آسمان داروي پارس</t>
        </is>
      </c>
      <c r="C3682" s="25">
        <f>IF(COUNTIF('کدهای پیام‌داروساز'!$A$2:$A$2442,A3682)&gt;0,"بله","خیر")</f>
        <v/>
      </c>
    </row>
    <row r="3683" ht="15" customHeight="1" s="14">
      <c r="A3683" s="24" t="n">
        <v>53431</v>
      </c>
      <c r="B3683" s="24" t="inlineStr">
        <is>
          <t>جمپرلي   محلول غليظ تزريقي پرنترال 50 mg/1mL 10 mg - مرز گستران فناوري آينده</t>
        </is>
      </c>
      <c r="C3683" s="25">
        <f>IF(COUNTIF('کدهای پیام‌داروساز'!$A$2:$A$2442,A3683)&gt;0,"بله","خیر")</f>
        <v/>
      </c>
    </row>
    <row r="3684" ht="15" customHeight="1" s="14">
      <c r="A3684" s="24" t="n">
        <v>53432</v>
      </c>
      <c r="B3684" s="24" t="inlineStr">
        <is>
          <t>آلمترا   محلول غليظ تزريقي پرنترال 25 mg/1mL 4 mg - سه دال نانو</t>
        </is>
      </c>
      <c r="C3684" s="25">
        <f>IF(COUNTIF('کدهای پیام‌داروساز'!$A$2:$A$2442,A3684)&gt;0,"بله","خیر")</f>
        <v/>
      </c>
    </row>
    <row r="3685" ht="15" customHeight="1" s="14">
      <c r="A3685" s="24" t="n">
        <v>53433</v>
      </c>
      <c r="B3685" s="24" t="inlineStr">
        <is>
          <t>آلمترا   محلول غليظ تزريقي پرنترال 25 mg/1mL 20 mg - سه دال نانو</t>
        </is>
      </c>
      <c r="C3685" s="25">
        <f>IF(COUNTIF('کدهای پیام‌داروساز'!$A$2:$A$2442,A3685)&gt;0,"بله","خیر")</f>
        <v/>
      </c>
    </row>
    <row r="3686" ht="15" customHeight="1" s="14">
      <c r="A3686" s="24" t="n">
        <v>53434</v>
      </c>
      <c r="B3686" s="24" t="inlineStr">
        <is>
          <t>رويين شيت   پچ موضعي 300000 cells/1 cm2 60 - رويان آتي تک فارمد</t>
        </is>
      </c>
      <c r="C3686" s="25">
        <f>IF(COUNTIF('کدهای پیام‌داروساز'!$A$2:$A$2442,A3686)&gt;0,"بله","خیر")</f>
        <v/>
      </c>
    </row>
    <row r="3687" ht="15" customHeight="1" s="14">
      <c r="A3687" s="24" t="n">
        <v>53435</v>
      </c>
      <c r="B3687" s="24" t="inlineStr">
        <is>
          <t>رويين گرف   پچ موضعي 300000 cells/1 cm2  {dose} - رويان آتي تک فارمد</t>
        </is>
      </c>
      <c r="C3687" s="25">
        <f>IF(COUNTIF('کدهای پیام‌داروساز'!$A$2:$A$2442,A3687)&gt;0,"بله","خیر")</f>
        <v/>
      </c>
    </row>
    <row r="3688" ht="15" customHeight="1" s="14">
      <c r="A3688" s="24" t="n">
        <v>53438</v>
      </c>
      <c r="B3688" s="24" t="inlineStr">
        <is>
          <t>آسيکلووير/ هيدروکورتيزون   کرم موضعي 5 %/1 % 15 g - پارس دارو</t>
        </is>
      </c>
      <c r="C3688" s="25">
        <f>IF(COUNTIF('کدهای پیام‌داروساز'!$A$2:$A$2442,A3688)&gt;0,"بله","خیر")</f>
        <v/>
      </c>
    </row>
    <row r="3689" ht="15" customHeight="1" s="14">
      <c r="A3689" s="24" t="n">
        <v>53439</v>
      </c>
      <c r="B3689" s="24" t="inlineStr">
        <is>
          <t>آمي ريتم   محلول خوراکي 5 mg/1 mL 60 mL - داروسازي امين</t>
        </is>
      </c>
      <c r="C3689" s="25">
        <f>IF(COUNTIF('کدهای پیام‌داروساز'!$A$2:$A$2442,A3689)&gt;0,"بله","خیر")</f>
        <v/>
      </c>
    </row>
    <row r="3690" ht="15" customHeight="1" s="14">
      <c r="A3690" s="24" t="n">
        <v>53441</v>
      </c>
      <c r="B3690" s="24" t="inlineStr">
        <is>
          <t>پوليوي   پودر لئوفيليزه براي تهيه محلول تزريقي پرنترال 140 mg  mg - آسمان داروي پارس</t>
        </is>
      </c>
      <c r="C3690" s="25">
        <f>IF(COUNTIF('کدهای پیام‌داروساز'!$A$2:$A$2442,A3690)&gt;0,"بله","خیر")</f>
        <v/>
      </c>
    </row>
    <row r="3691" ht="15" customHeight="1" s="14">
      <c r="A3691" s="24" t="n">
        <v>53442</v>
      </c>
      <c r="B3691" s="24" t="inlineStr">
        <is>
          <t>آرو-بيلين   قرص خوراکي 20 mg - دارو درمان آرنگ</t>
        </is>
      </c>
      <c r="C3691" s="25">
        <f>IF(COUNTIF('کدهای پیام‌داروساز'!$A$2:$A$2442,A3691)&gt;0,"بله","خیر")</f>
        <v/>
      </c>
    </row>
    <row r="3692" ht="15" customHeight="1" s="14">
      <c r="A3692" s="24" t="n">
        <v>53444</v>
      </c>
      <c r="B3692" s="24" t="inlineStr">
        <is>
          <t>بيلاستا   محلول خوراکي 2.5 mg/1mL 120 mL - افق توليد دارو پارس</t>
        </is>
      </c>
      <c r="C3692" s="25">
        <f>IF(COUNTIF('کدهای پیام‌داروساز'!$A$2:$A$2442,A3692)&gt;0,"بله","خیر")</f>
        <v/>
      </c>
    </row>
    <row r="3693" ht="15" customHeight="1" s="14">
      <c r="A3693" s="24" t="n">
        <v>53445</v>
      </c>
      <c r="B3693" s="24" t="inlineStr">
        <is>
          <t>روتاوک   محلول خوراکي 5 {dose}  {dose} - دارو درمان آرنگ</t>
        </is>
      </c>
      <c r="C3693" s="25">
        <f>IF(COUNTIF('کدهای پیام‌داروساز'!$A$2:$A$2442,A3693)&gt;0,"بله","خیر")</f>
        <v/>
      </c>
    </row>
    <row r="3694" ht="15" customHeight="1" s="14">
      <c r="A3694" s="24" t="n">
        <v>53446</v>
      </c>
      <c r="B3694" s="24" t="inlineStr">
        <is>
          <t>دکسوديد   کپسول انتريک کوتد خوراکي 30 mg - درمان ياب دارو</t>
        </is>
      </c>
      <c r="C3694" s="25">
        <f>IF(COUNTIF('کدهای پیام‌داروساز'!$A$2:$A$2442,A3694)&gt;0,"بله","خیر")</f>
        <v/>
      </c>
    </row>
    <row r="3695" ht="15" customHeight="1" s="14">
      <c r="A3695" s="24" t="n">
        <v>53447</v>
      </c>
      <c r="B3695" s="24" t="inlineStr">
        <is>
          <t>دکسوديد   کپسول انتريک کوتد خوراکي 60 mg - درمان ياب دارو</t>
        </is>
      </c>
      <c r="C3695" s="25">
        <f>IF(COUNTIF('کدهای پیام‌داروساز'!$A$2:$A$2442,A3695)&gt;0,"بله","خیر")</f>
        <v/>
      </c>
    </row>
    <row r="3696" ht="15" customHeight="1" s="14">
      <c r="A3696" s="24" t="n">
        <v>53448</v>
      </c>
      <c r="B3696" s="24" t="inlineStr">
        <is>
          <t>مانازيل   کپسول پيوسته رهش خوراکي 10 mg/7 mg - اکتوورکو</t>
        </is>
      </c>
      <c r="C3696" s="25">
        <f>IF(COUNTIF('کدهای پیام‌داروساز'!$A$2:$A$2442,A3696)&gt;0,"بله","خیر")</f>
        <v/>
      </c>
    </row>
    <row r="3697" ht="15" customHeight="1" s="14">
      <c r="A3697" s="24" t="n">
        <v>53449</v>
      </c>
      <c r="B3697" s="24" t="inlineStr">
        <is>
          <t>متالايز   پودر براي تهيه فرآورده تزريقي پرنترال 25 mg  mg - شفا ياب گستر</t>
        </is>
      </c>
      <c r="C3697" s="25">
        <f>IF(COUNTIF('کدهای پیام‌داروساز'!$A$2:$A$2442,A3697)&gt;0,"بله","خیر")</f>
        <v/>
      </c>
    </row>
    <row r="3698" ht="15" customHeight="1" s="14">
      <c r="A3698" s="24" t="n">
        <v>53450</v>
      </c>
      <c r="B3698" s="24" t="inlineStr">
        <is>
          <t>تکامايند   کپسول پيوسته رهش خوراکي 10 mg/14 mg - تدبير کالاي جم</t>
        </is>
      </c>
      <c r="C3698" s="25">
        <f>IF(COUNTIF('کدهای پیام‌داروساز'!$A$2:$A$2442,A3698)&gt;0,"بله","خیر")</f>
        <v/>
      </c>
    </row>
    <row r="3699" ht="15" customHeight="1" s="14">
      <c r="A3699" s="24" t="n">
        <v>53451</v>
      </c>
      <c r="B3699" s="24" t="inlineStr">
        <is>
          <t>مانازيل   کپسول پيوسته رهش خوراکي 10 mg/21 mg - اکتوورکو</t>
        </is>
      </c>
      <c r="C3699" s="25">
        <f>IF(COUNTIF('کدهای پیام‌داروساز'!$A$2:$A$2442,A3699)&gt;0,"بله","خیر")</f>
        <v/>
      </c>
    </row>
    <row r="3700" ht="15" customHeight="1" s="14">
      <c r="A3700" s="24" t="n">
        <v>53452</v>
      </c>
      <c r="B3700" s="24" t="inlineStr">
        <is>
          <t>تکامايند   کپسول پيوسته رهش خوراکي 10 mg/28 mg - تدبير کالاي جم</t>
        </is>
      </c>
      <c r="C3700" s="25">
        <f>IF(COUNTIF('کدهای پیام‌داروساز'!$A$2:$A$2442,A3700)&gt;0,"بله","خیر")</f>
        <v/>
      </c>
    </row>
    <row r="3701" ht="15" customHeight="1" s="14">
      <c r="A3701" s="24" t="n">
        <v>53453</v>
      </c>
      <c r="B3701" s="24" t="inlineStr">
        <is>
          <t>سِلِپِگ   قرص خوراکي 400 ug - بازرگاني سها کيش</t>
        </is>
      </c>
      <c r="C3701" s="25">
        <f>IF(COUNTIF('کدهای پیام‌داروساز'!$A$2:$A$2442,A3701)&gt;0,"بله","خیر")</f>
        <v/>
      </c>
    </row>
    <row r="3702" ht="15" customHeight="1" s="14">
      <c r="A3702" s="24" t="n">
        <v>53454</v>
      </c>
      <c r="B3702" s="24" t="inlineStr">
        <is>
          <t>سينال اف   تزريقي پرنترال 600 [iU]/1mL 0.25 [iU] - تحقيقاتي وتوليدي سينا ژن</t>
        </is>
      </c>
      <c r="C3702" s="25">
        <f>IF(COUNTIF('کدهای پیام‌داروساز'!$A$2:$A$2442,A3702)&gt;0,"بله","خیر")</f>
        <v/>
      </c>
    </row>
    <row r="3703" ht="15" customHeight="1" s="14">
      <c r="A3703" s="24" t="n">
        <v>53455</v>
      </c>
      <c r="B3703" s="24" t="inlineStr">
        <is>
          <t>استامينوفن/ کلرفنيرامين/ دکسترومتورفان/فنيل افرين / آسکوربيک اسيد   قرص خوراکي 500 mg/2 mg/15 mg/5 mg/38 mg - رويان دارو</t>
        </is>
      </c>
      <c r="C3703" s="25">
        <f>IF(COUNTIF('کدهای پیام‌داروساز'!$A$2:$A$2442,A3703)&gt;0,"بله","خیر")</f>
        <v/>
      </c>
    </row>
    <row r="3704" ht="15" customHeight="1" s="14">
      <c r="A3704" s="24" t="n">
        <v>53456</v>
      </c>
      <c r="B3704" s="24" t="inlineStr">
        <is>
          <t>آلونبريگ   قرص خوراکي 180 mg - آسمان داروي پارس</t>
        </is>
      </c>
      <c r="C3704" s="25">
        <f>IF(COUNTIF('کدهای پیام‌داروساز'!$A$2:$A$2442,A3704)&gt;0,"بله","خیر")</f>
        <v/>
      </c>
    </row>
    <row r="3705" ht="15" customHeight="1" s="14">
      <c r="A3705" s="24" t="n">
        <v>53457</v>
      </c>
      <c r="B3705" s="24" t="inlineStr">
        <is>
          <t>والپروات سديم   محلول تزريقي پرنترال 115 mg/1mL 5 mL - داروسازي کاسپين تأمين</t>
        </is>
      </c>
      <c r="C3705" s="25">
        <f>IF(COUNTIF('کدهای پیام‌داروساز'!$A$2:$A$2442,A3705)&gt;0,"بله","خیر")</f>
        <v/>
      </c>
    </row>
    <row r="3706" ht="15" customHeight="1" s="14">
      <c r="A3706" s="24" t="n">
        <v>53458</v>
      </c>
      <c r="B3706" s="24" t="inlineStr">
        <is>
          <t>فروونتا   تزريقي پرنترال 100 mg/1mL 5 mL - زيست اروند فارمد</t>
        </is>
      </c>
      <c r="C3706" s="25">
        <f>IF(COUNTIF('کدهای پیام‌داروساز'!$A$2:$A$2442,A3706)&gt;0,"بله","خیر")</f>
        <v/>
      </c>
    </row>
    <row r="3707" ht="15" customHeight="1" s="14">
      <c r="A3707" s="24" t="n">
        <v>53459</v>
      </c>
      <c r="B3707" s="24" t="inlineStr">
        <is>
          <t>بريزانتيس   قرص خوراکي 100 mg - کوبل دارو</t>
        </is>
      </c>
      <c r="C3707" s="25">
        <f>IF(COUNTIF('کدهای پیام‌داروساز'!$A$2:$A$2442,A3707)&gt;0,"بله","خیر")</f>
        <v/>
      </c>
    </row>
    <row r="3708" ht="15" customHeight="1" s="14">
      <c r="A3708" s="24" t="n">
        <v>53460</v>
      </c>
      <c r="B3708" s="24" t="inlineStr">
        <is>
          <t>بريزانتيس   قرص خوراکي 25 mg - کوبل دارو</t>
        </is>
      </c>
      <c r="C3708" s="25">
        <f>IF(COUNTIF('کدهای پیام‌داروساز'!$A$2:$A$2442,A3708)&gt;0,"بله","خیر")</f>
        <v/>
      </c>
    </row>
    <row r="3709" ht="15" customHeight="1" s="14">
      <c r="A3709" s="24" t="n">
        <v>53461</v>
      </c>
      <c r="B3709" s="24" t="inlineStr">
        <is>
          <t>بريزانتيس   قرص خوراکي 75 mg - کوبل دارو</t>
        </is>
      </c>
      <c r="C3709" s="25">
        <f>IF(COUNTIF('کدهای پیام‌داروساز'!$A$2:$A$2442,A3709)&gt;0,"بله","خیر")</f>
        <v/>
      </c>
    </row>
    <row r="3710" ht="15" customHeight="1" s="14">
      <c r="A3710" s="24" t="n">
        <v>53462</v>
      </c>
      <c r="B3710" s="24" t="inlineStr">
        <is>
          <t>بريزانتيس   قرص خوراکي 50 mg - کوبل دارو</t>
        </is>
      </c>
      <c r="C3710" s="25">
        <f>IF(COUNTIF('کدهای پیام‌داروساز'!$A$2:$A$2442,A3710)&gt;0,"بله","خیر")</f>
        <v/>
      </c>
    </row>
    <row r="3711" ht="15" customHeight="1" s="14">
      <c r="A3711" s="24" t="n">
        <v>53463</v>
      </c>
      <c r="B3711" s="24" t="inlineStr">
        <is>
          <t>بريزانتيس   قرص خوراکي 10 mg - کوبل دارو</t>
        </is>
      </c>
      <c r="C3711" s="25">
        <f>IF(COUNTIF('کدهای پیام‌داروساز'!$A$2:$A$2442,A3711)&gt;0,"بله","خیر")</f>
        <v/>
      </c>
    </row>
    <row r="3712" ht="15" customHeight="1" s="14">
      <c r="A3712" s="24" t="n">
        <v>53465</v>
      </c>
      <c r="B3712" s="24" t="inlineStr">
        <is>
          <t>ستيريزين   شربت خوراکي 1 mg/1mL 100 mL - البرز دارو</t>
        </is>
      </c>
      <c r="C3712" s="25">
        <f>IF(COUNTIF('کدهای پیام‌داروساز'!$A$2:$A$2442,A3712)&gt;0,"بله","خیر")</f>
        <v/>
      </c>
    </row>
    <row r="3713" ht="15" customHeight="1" s="14">
      <c r="A3713" s="24" t="n">
        <v>53466</v>
      </c>
      <c r="B3713" s="24" t="inlineStr">
        <is>
          <t>ايمونوگلوبولين هفت ظرفيتي ضد زهر مار   تزريقي پرنترال 5 mL  mL - موسسه تحقيقات واکسن وسرم سازي رازي</t>
        </is>
      </c>
      <c r="C3713" s="25">
        <f>IF(COUNTIF('کدهای پیام‌داروساز'!$A$2:$A$2442,A3713)&gt;0,"بله","خیر")</f>
        <v/>
      </c>
    </row>
    <row r="3714" ht="15" customHeight="1" s="14">
      <c r="A3714" s="24" t="n">
        <v>53467</v>
      </c>
      <c r="B3714" s="24" t="inlineStr">
        <is>
          <t>واکسن تب زرد   تزريقي پرنترال 2 {dose}  {dose} - دارو درمان آرنگ</t>
        </is>
      </c>
      <c r="C3714" s="25">
        <f>IF(COUNTIF('کدهای پیام‌داروساز'!$A$2:$A$2442,A3714)&gt;0,"بله","خیر")</f>
        <v/>
      </c>
    </row>
    <row r="3715" ht="15" customHeight="1" s="14">
      <c r="A3715" s="24" t="n">
        <v>53469</v>
      </c>
      <c r="B3715" s="24" t="inlineStr">
        <is>
          <t>واکسن تب زرد   تزريقي پرنترال 10 {dose}  {dose} - دارو درمان آرنگ</t>
        </is>
      </c>
      <c r="C3715" s="25">
        <f>IF(COUNTIF('کدهای پیام‌داروساز'!$A$2:$A$2442,A3715)&gt;0,"بله","خیر")</f>
        <v/>
      </c>
    </row>
    <row r="3716" ht="15" customHeight="1" s="14">
      <c r="A3716" s="24" t="n">
        <v>53471</v>
      </c>
      <c r="B3716" s="24" t="inlineStr">
        <is>
          <t>پوويدون آيداين   محلول موضعي 10 % 120 mL - دارو درمان سلفچگان</t>
        </is>
      </c>
      <c r="C3716" s="25">
        <f>IF(COUNTIF('کدهای پیام‌داروساز'!$A$2:$A$2442,A3716)&gt;0,"بله","خیر")</f>
        <v/>
      </c>
    </row>
    <row r="3717" ht="15" customHeight="1" s="14">
      <c r="A3717" s="24" t="n">
        <v>53473</v>
      </c>
      <c r="B3717" s="24" t="inlineStr">
        <is>
          <t>اس امپرازول   پودر براي تهيه فرآورده تزريقي پرنترال 40 mg  mg - آفا شيمي</t>
        </is>
      </c>
      <c r="C3717" s="25">
        <f>IF(COUNTIF('کدهای پیام‌داروساز'!$A$2:$A$2442,A3717)&gt;0,"بله","خیر")</f>
        <v/>
      </c>
    </row>
    <row r="3718" ht="15" customHeight="1" s="14">
      <c r="A3718" s="24" t="n">
        <v>53474</v>
      </c>
      <c r="B3718" s="24" t="inlineStr">
        <is>
          <t>لووفلوکساسين   محلول، قطره چشمي 1.5 % 5 mL - توسعه دارويي آروان فارمد</t>
        </is>
      </c>
      <c r="C3718" s="25">
        <f>IF(COUNTIF('کدهای پیام‌داروساز'!$A$2:$A$2442,A3718)&gt;0,"بله","خیر")</f>
        <v/>
      </c>
    </row>
    <row r="3719" ht="15" customHeight="1" s="14">
      <c r="A3719" s="24" t="n">
        <v>53475</v>
      </c>
      <c r="B3719" s="24" t="inlineStr">
        <is>
          <t>سلول مزانشيمي استرومال مشتق از جفت و پرده جنين   سوسپانسيون تزريقي پرنترال 2000000 cm2/1mL 40 cells - زيست بازساختي تسکين</t>
        </is>
      </c>
      <c r="C3719" s="25">
        <f>IF(COUNTIF('کدهای پیام‌داروساز'!$A$2:$A$2442,A3719)&gt;0,"بله","خیر")</f>
        <v/>
      </c>
    </row>
    <row r="3720" ht="15" customHeight="1" s="14">
      <c r="A3720" s="24" t="n">
        <v>53476</v>
      </c>
      <c r="B3720" s="24" t="inlineStr">
        <is>
          <t>آگيلوس   پودر براي تهيه فرآورده تزريقي پرنترال 120 mg  mg - پويش دارو گستر برتر فارس</t>
        </is>
      </c>
      <c r="C3720" s="25">
        <f>IF(COUNTIF('کدهای پیام‌داروساز'!$A$2:$A$2442,A3720)&gt;0,"بله","خیر")</f>
        <v/>
      </c>
    </row>
    <row r="3721" ht="15" customHeight="1" s="14">
      <c r="A3721" s="24" t="n">
        <v>53477</v>
      </c>
      <c r="B3721" s="24" t="inlineStr">
        <is>
          <t>ايکارديو   کپسول خوراکي 2.5 mg - فناوران دارويي روشا</t>
        </is>
      </c>
      <c r="C3721" s="25">
        <f>IF(COUNTIF('کدهای پیام‌داروساز'!$A$2:$A$2442,A3721)&gt;0,"بله","خیر")</f>
        <v/>
      </c>
    </row>
    <row r="3722" ht="15" customHeight="1" s="14">
      <c r="A3722" s="24" t="n">
        <v>53478</v>
      </c>
      <c r="B3722" s="24" t="inlineStr">
        <is>
          <t>ايکارديو   کپسول خوراکي 5 mg - فناوران دارويي روشا</t>
        </is>
      </c>
      <c r="C3722" s="25">
        <f>IF(COUNTIF('کدهای پیام‌داروساز'!$A$2:$A$2442,A3722)&gt;0,"بله","خیر")</f>
        <v/>
      </c>
    </row>
    <row r="3723" ht="15" customHeight="1" s="14">
      <c r="A3723" s="24" t="n">
        <v>53479</v>
      </c>
      <c r="B3723" s="24" t="inlineStr">
        <is>
          <t>بسپونزا   پودر لئوفيليزه براي تهيه محلول تزريقي پرنترال 0.9 mg  mg - بهستان دارو</t>
        </is>
      </c>
      <c r="C3723" s="25">
        <f>IF(COUNTIF('کدهای پیام‌داروساز'!$A$2:$A$2442,A3723)&gt;0,"بله","خیر")</f>
        <v/>
      </c>
    </row>
    <row r="3724" ht="15" customHeight="1" s="14">
      <c r="A3724" s="24" t="n">
        <v>53480</v>
      </c>
      <c r="B3724" s="24" t="inlineStr">
        <is>
          <t>پدسو   پودر براي تهيه محلول تزريقي پرنترال 30 mg  mg - بازرگاني سها کيش</t>
        </is>
      </c>
      <c r="C3724" s="25">
        <f>IF(COUNTIF('کدهای پیام‌داروساز'!$A$2:$A$2442,A3724)&gt;0,"بله","خیر")</f>
        <v/>
      </c>
    </row>
    <row r="3725" ht="15" customHeight="1" s="14">
      <c r="A3725" s="24" t="n">
        <v>53481</v>
      </c>
      <c r="B3725" s="24" t="inlineStr">
        <is>
          <t>ازمپيک   محلول تزريقي پرنترال 2 mg/3mL  mL - نوو نور ديسک پارس</t>
        </is>
      </c>
      <c r="C3725" s="25">
        <f>IF(COUNTIF('کدهای پیام‌داروساز'!$A$2:$A$2442,A3725)&gt;0,"بله","خیر")</f>
        <v/>
      </c>
    </row>
    <row r="3726" ht="15" customHeight="1" s="14">
      <c r="A3726" s="24" t="n">
        <v>53482</v>
      </c>
      <c r="B3726" s="24" t="inlineStr">
        <is>
          <t>اريکستايد   محلول تزريقي پرنترال 4 mg/3 mL  mL - زيست اروند فارمد</t>
        </is>
      </c>
      <c r="C3726" s="25">
        <f>IF(COUNTIF('کدهای پیام‌داروساز'!$A$2:$A$2442,A3726)&gt;0,"بله","خیر")</f>
        <v/>
      </c>
    </row>
    <row r="3727" ht="15" customHeight="1" s="14">
      <c r="A3727" s="24" t="n">
        <v>53483</v>
      </c>
      <c r="B3727" s="24" t="inlineStr">
        <is>
          <t>اريکستايد   محلول تزريقي زير جلدي 2 mg/1.5 mL  mL - زيست اروند فارمد</t>
        </is>
      </c>
      <c r="C3727" s="25">
        <f>IF(COUNTIF('کدهای پیام‌داروساز'!$A$2:$A$2442,A3727)&gt;0,"بله","خیر")</f>
        <v/>
      </c>
    </row>
    <row r="3728" ht="15" customHeight="1" s="14">
      <c r="A3728" s="24" t="n">
        <v>53484</v>
      </c>
      <c r="B3728" s="24" t="inlineStr">
        <is>
          <t>اينوولون   قرص خوراکي 200 mg - بازرگاني سها کيش</t>
        </is>
      </c>
      <c r="C3728" s="25">
        <f>IF(COUNTIF('کدهای پیام‌داروساز'!$A$2:$A$2442,A3728)&gt;0,"بله","خیر")</f>
        <v/>
      </c>
    </row>
    <row r="3729" ht="15" customHeight="1" s="14">
      <c r="A3729" s="24" t="n">
        <v>53485</v>
      </c>
      <c r="B3729" s="24" t="inlineStr">
        <is>
          <t>اسکاي کلاريس   کپسول خوراکي 50 mg - بازرگاني سها کيش</t>
        </is>
      </c>
      <c r="C3729" s="25">
        <f>IF(COUNTIF('کدهای پیام‌داروساز'!$A$2:$A$2442,A3729)&gt;0,"بله","خیر")</f>
        <v/>
      </c>
    </row>
    <row r="3730" ht="15" customHeight="1" s="14">
      <c r="A3730" s="24" t="n">
        <v>53486</v>
      </c>
      <c r="B3730" s="24" t="inlineStr">
        <is>
          <t>ترکسوما   قرص خوراکي 2.5 mg - نانو فناوران داروئي الوند</t>
        </is>
      </c>
      <c r="C3730" s="25">
        <f>IF(COUNTIF('کدهای پیام‌داروساز'!$A$2:$A$2442,A3730)&gt;0,"بله","خیر")</f>
        <v/>
      </c>
    </row>
    <row r="3731" ht="15" customHeight="1" s="14">
      <c r="A3731" s="24" t="n">
        <v>53487</v>
      </c>
      <c r="B3731" s="24" t="inlineStr">
        <is>
          <t>آفامولت   پودر براي تهيه فرآورده تزريقي پرنترال 3500 [iU]/69 ug/414 ug/3.51 mg/4.14 mg/4.53 mg/17.25 mg/46 mg/125 mg/11.2 [iU]/220 [iU]/6 ug 10 mL - آفا شيمي</t>
        </is>
      </c>
      <c r="C3731" s="25">
        <f>IF(COUNTIF('کدهای پیام‌داروساز'!$A$2:$A$2442,A3731)&gt;0,"بله","خیر")</f>
        <v/>
      </c>
    </row>
    <row r="3732" ht="15" customHeight="1" s="14">
      <c r="A3732" s="24" t="n">
        <v>53489</v>
      </c>
      <c r="B3732" s="24" t="inlineStr">
        <is>
          <t>ناپروديد   قرص پيوسته رهش خوراکي 750 mg - درمان ياب دارو</t>
        </is>
      </c>
      <c r="C3732" s="25">
        <f>IF(COUNTIF('کدهای پیام‌داروساز'!$A$2:$A$2442,A3732)&gt;0,"بله","خیر")</f>
        <v/>
      </c>
    </row>
    <row r="3733" ht="15" customHeight="1" s="14">
      <c r="A3733" s="24" t="n">
        <v>53491</v>
      </c>
      <c r="B3733" s="24" t="inlineStr">
        <is>
          <t>ازمپيک   محلول تزريقي پرنترال 8 mg/3 mL  mL - نوو نور ديسک پارس</t>
        </is>
      </c>
      <c r="C3733" s="25">
        <f>IF(COUNTIF('کدهای پیام‌داروساز'!$A$2:$A$2442,A3733)&gt;0,"بله","خیر")</f>
        <v/>
      </c>
    </row>
    <row r="3734" ht="15" customHeight="1" s="14">
      <c r="A3734" s="24" t="n">
        <v>53498</v>
      </c>
      <c r="B3734" s="24" t="inlineStr">
        <is>
          <t>زرباکسا   پودر براي تهيه فرآورده تزريقي پرنترال 1 g/500 mg  g - بهستان دارو</t>
        </is>
      </c>
      <c r="C3734" s="25">
        <f>IF(COUNTIF('کدهای پیام‌داروساز'!$A$2:$A$2442,A3734)&gt;0,"بله","خیر")</f>
        <v/>
      </c>
    </row>
    <row r="3735" ht="15" customHeight="1" s="14">
      <c r="A3735" s="24" t="n">
        <v>53503</v>
      </c>
      <c r="B3735" s="24" t="inlineStr">
        <is>
          <t>آريکسنت   محلول تزريقي زير جلدي 150 mg/1mL 2 mg - آريوژن فارمد</t>
        </is>
      </c>
      <c r="C3735" s="25">
        <f>IF(COUNTIF('کدهای پیام‌داروساز'!$A$2:$A$2442,A3735)&gt;0,"بله","خیر")</f>
        <v/>
      </c>
    </row>
    <row r="3736" ht="15" customHeight="1" s="14">
      <c r="A3736" s="24" t="n">
        <v>53504</v>
      </c>
      <c r="B3736" s="24" t="inlineStr">
        <is>
          <t>تري گلار   تزريقي پرنترال 300 [iU]/1mL 3 mL - فرآورده هاي پويش دارو</t>
        </is>
      </c>
      <c r="C3736" s="25">
        <f>IF(COUNTIF('کدهای پیام‌داروساز'!$A$2:$A$2442,A3736)&gt;0,"بله","خیر")</f>
        <v/>
      </c>
    </row>
    <row r="3737" ht="15" customHeight="1" s="14">
      <c r="A3737" s="24" t="n">
        <v>53505</v>
      </c>
      <c r="B3737" s="24" t="inlineStr">
        <is>
          <t>کوبنفي   کپسول خوراکي 100 mg/20 mg - بازرگاني سها کيش</t>
        </is>
      </c>
      <c r="C3737" s="25">
        <f>IF(COUNTIF('کدهای پیام‌داروساز'!$A$2:$A$2442,A3737)&gt;0,"بله","خیر")</f>
        <v/>
      </c>
    </row>
    <row r="3738" ht="15" customHeight="1" s="14">
      <c r="A3738" s="24" t="n">
        <v>53506</v>
      </c>
      <c r="B3738" s="24" t="inlineStr">
        <is>
          <t>اسپارتينا   محلول تزريقي زير جلدي 2.5 mg/0.5mL  mg - تحقيقاتي وتوليدي سينا ژن</t>
        </is>
      </c>
      <c r="C3738" s="25">
        <f>IF(COUNTIF('کدهای پیام‌داروساز'!$A$2:$A$2442,A3738)&gt;0,"بله","خیر")</f>
        <v/>
      </c>
    </row>
    <row r="3739" ht="15" customHeight="1" s="14">
      <c r="A3739" s="24" t="n">
        <v>53507</v>
      </c>
      <c r="B3739" s="24" t="inlineStr">
        <is>
          <t>اسپارتينا   محلول تزريقي زير جلدي 5 mg/0.5mL  mg - تحقيقاتي وتوليدي سينا ژن</t>
        </is>
      </c>
      <c r="C3739" s="25">
        <f>IF(COUNTIF('کدهای پیام‌داروساز'!$A$2:$A$2442,A3739)&gt;0,"بله","خیر")</f>
        <v/>
      </c>
    </row>
    <row r="3740" ht="15" customHeight="1" s="14">
      <c r="A3740" s="24" t="n">
        <v>53508</v>
      </c>
      <c r="B3740" s="24" t="inlineStr">
        <is>
          <t>اسپارتينا   محلول تزريقي زير جلدي 7.5 mg/0.5mL  mg - تحقيقاتي وتوليدي سينا ژن</t>
        </is>
      </c>
      <c r="C3740" s="25">
        <f>IF(COUNTIF('کدهای پیام‌داروساز'!$A$2:$A$2442,A3740)&gt;0,"بله","خیر")</f>
        <v/>
      </c>
    </row>
    <row r="3741" ht="15" customHeight="1" s="14">
      <c r="A3741" s="24" t="n">
        <v>53509</v>
      </c>
      <c r="B3741" s="24" t="inlineStr">
        <is>
          <t>راملي   قرص خوراکي 8 mg - اکتوورکو</t>
        </is>
      </c>
      <c r="C3741" s="25">
        <f>IF(COUNTIF('کدهای پیام‌داروساز'!$A$2:$A$2442,A3741)&gt;0,"بله","خیر")</f>
        <v/>
      </c>
    </row>
    <row r="3742" ht="15" customHeight="1" s="14">
      <c r="A3742" s="24" t="n">
        <v>53510</v>
      </c>
      <c r="B3742" s="24" t="inlineStr">
        <is>
          <t>آمالتا   قرص خوراکي 20 mg - کوبل دارو</t>
        </is>
      </c>
      <c r="C3742" s="25">
        <f>IF(COUNTIF('کدهای پیام‌داروساز'!$A$2:$A$2442,A3742)&gt;0,"بله","خیر")</f>
        <v/>
      </c>
    </row>
    <row r="3743" ht="15" customHeight="1" s="14">
      <c r="A3743" s="24" t="n">
        <v>53511</v>
      </c>
      <c r="B3743" s="24" t="inlineStr">
        <is>
          <t>اورسردو   قرص خوراکي 345 mg - بازرگاني سها کيش</t>
        </is>
      </c>
      <c r="C3743" s="25">
        <f>IF(COUNTIF('کدهای پیام‌داروساز'!$A$2:$A$2442,A3743)&gt;0,"بله","خیر")</f>
        <v/>
      </c>
    </row>
    <row r="3744" ht="15" customHeight="1" s="14">
      <c r="A3744" s="24" t="n">
        <v>53512</v>
      </c>
      <c r="B3744" s="24" t="inlineStr">
        <is>
          <t>ويگابالپس   پودر براي تهيه محلول خوراکي 500 mg  g - اشبال شيمي</t>
        </is>
      </c>
      <c r="C3744" s="25">
        <f>IF(COUNTIF('کدهای پیام‌داروساز'!$A$2:$A$2442,A3744)&gt;0,"بله","خیر")</f>
        <v/>
      </c>
    </row>
    <row r="3745" ht="15" customHeight="1" s="14">
      <c r="A3745" s="24" t="n">
        <v>53514</v>
      </c>
      <c r="B3745" s="24" t="inlineStr">
        <is>
          <t>باکلوفن   محلول تزريقي پرنترال 0.05 mg/1mL 2 mL - بازرگاني سها کيش</t>
        </is>
      </c>
      <c r="C3745" s="25">
        <f>IF(COUNTIF('کدهای پیام‌داروساز'!$A$2:$A$2442,A3745)&gt;0,"بله","خیر")</f>
        <v/>
      </c>
    </row>
    <row r="3746" ht="15" customHeight="1" s="14">
      <c r="A3746" s="24" t="n">
        <v>53516</v>
      </c>
      <c r="B3746" s="24" t="inlineStr">
        <is>
          <t>پيتوليکس   قرص خوراکي 17.8 mg - فناوران دارويي روشا</t>
        </is>
      </c>
      <c r="C3746" s="25">
        <f>IF(COUNTIF('کدهای پیام‌داروساز'!$A$2:$A$2442,A3746)&gt;0,"بله","خیر")</f>
        <v/>
      </c>
    </row>
    <row r="3747" ht="15" customHeight="1" s="14">
      <c r="A3747" s="24" t="n">
        <v>53517</v>
      </c>
      <c r="B3747" s="24" t="inlineStr">
        <is>
          <t>وارتوسل   سوسپانسيون تزريقي پرنترال 20000000 cells/2 mL  cells - سل تک فارمد</t>
        </is>
      </c>
      <c r="C3747" s="25">
        <f>IF(COUNTIF('کدهای پیام‌داروساز'!$A$2:$A$2442,A3747)&gt;0,"بله","خیر")</f>
        <v/>
      </c>
    </row>
    <row r="3748" ht="15" customHeight="1" s="14">
      <c r="A3748" s="24" t="n">
        <v>53518</v>
      </c>
      <c r="B3748" s="24" t="inlineStr">
        <is>
          <t>کلونازپام   قرص خوراکي 0.5 mg - داروسازي ريحانه اصفهان</t>
        </is>
      </c>
      <c r="C3748" s="25">
        <f>IF(COUNTIF('کدهای پیام‌داروساز'!$A$2:$A$2442,A3748)&gt;0,"بله","خیر")</f>
        <v/>
      </c>
    </row>
    <row r="3749" ht="15" customHeight="1" s="14">
      <c r="A3749" s="24" t="n">
        <v>53519</v>
      </c>
      <c r="B3749" s="24" t="inlineStr">
        <is>
          <t>تگرتول   سوسپانسيون خوراکي 100 mg/5mL 150 mL - پويش دارو گستر برتر فارس</t>
        </is>
      </c>
      <c r="C3749" s="25">
        <f>IF(COUNTIF('کدهای پیام‌داروساز'!$A$2:$A$2442,A3749)&gt;0,"بله","خیر")</f>
        <v/>
      </c>
    </row>
    <row r="3750" ht="15" customHeight="1" s="14">
      <c r="A3750" s="24" t="n">
        <v>53520</v>
      </c>
      <c r="B3750" s="24" t="inlineStr">
        <is>
          <t>استريلا   کپسول استنشاقي 80 ug/4.5 ug - افق توليد دارو پارس</t>
        </is>
      </c>
      <c r="C3750" s="25">
        <f>IF(COUNTIF('کدهای پیام‌داروساز'!$A$2:$A$2442,A3750)&gt;0,"بله","خیر")</f>
        <v/>
      </c>
    </row>
    <row r="3751" ht="15" customHeight="1" s="14">
      <c r="A3751" s="24" t="n">
        <v>53521</v>
      </c>
      <c r="B3751" s="24" t="inlineStr">
        <is>
          <t>نوکالا   محلول تزريقي پرنترال 100 mg 1 mg - بازرگاني سها کيش</t>
        </is>
      </c>
      <c r="C3751" s="25">
        <f>IF(COUNTIF('کدهای پیام‌داروساز'!$A$2:$A$2442,A3751)&gt;0,"بله","خیر")</f>
        <v/>
      </c>
    </row>
    <row r="3752" ht="15" customHeight="1" s="14">
      <c r="A3752" s="24" t="n">
        <v>53522</v>
      </c>
      <c r="B3752" s="24" t="inlineStr">
        <is>
          <t>روکاوي   محلول تزريقي عضلاني 1.6 mg/1mL 1.5 mg - پيک دارو توسعه</t>
        </is>
      </c>
      <c r="C3752" s="25">
        <f>IF(COUNTIF('کدهای پیام‌داروساز'!$A$2:$A$2442,A3752)&gt;0,"بله","خیر")</f>
        <v/>
      </c>
    </row>
    <row r="3753" ht="15" customHeight="1" s="14">
      <c r="A3753" s="24" t="n">
        <v>53525</v>
      </c>
      <c r="B3753" s="24" t="inlineStr">
        <is>
          <t>هيوميرا   محلول تزريقي پرنترال 40 mg/0.4 mL  mg - کوبل دارو</t>
        </is>
      </c>
      <c r="C3753" s="25">
        <f>IF(COUNTIF('کدهای پیام‌داروساز'!$A$2:$A$2442,A3753)&gt;0,"بله","خیر")</f>
        <v/>
      </c>
    </row>
    <row r="3754" ht="15" customHeight="1" s="14">
      <c r="A3754" s="24" t="n">
        <v>53526</v>
      </c>
      <c r="B3754" s="24" t="inlineStr">
        <is>
          <t>بايزنسا   قرص خوراکي 100 mg - زيست اروند فارمد</t>
        </is>
      </c>
      <c r="C3754" s="25">
        <f>IF(COUNTIF('کدهای پیام‌داروساز'!$A$2:$A$2442,A3754)&gt;0,"بله","خیر")</f>
        <v/>
      </c>
    </row>
    <row r="3755" ht="15" customHeight="1" s="14">
      <c r="A3755" s="24" t="n">
        <v>53527</v>
      </c>
      <c r="B3755" s="24" t="inlineStr">
        <is>
          <t>تروکاپ   قرص خوراکي 200 mg - بازرگاني سها کيش</t>
        </is>
      </c>
      <c r="C3755" s="25">
        <f>IF(COUNTIF('کدهای پیام‌داروساز'!$A$2:$A$2442,A3755)&gt;0,"بله","خیر")</f>
        <v/>
      </c>
    </row>
    <row r="3756" ht="15" customHeight="1" s="14">
      <c r="A3756" s="24" t="n">
        <v>53528</v>
      </c>
      <c r="B3756" s="24" t="inlineStr">
        <is>
          <t>تيمولين-بي   محلول، قطره چشمي 0.5 %/0.2 % 5 mL - داروسازي رها اصفهان</t>
        </is>
      </c>
      <c r="C3756" s="25">
        <f>IF(COUNTIF('کدهای پیام‌داروساز'!$A$2:$A$2442,A3756)&gt;0,"بله","خیر")</f>
        <v/>
      </c>
    </row>
    <row r="3757" ht="15" customHeight="1" s="14">
      <c r="A3757" s="24" t="n">
        <v>53530</v>
      </c>
      <c r="B3757" s="24" t="inlineStr">
        <is>
          <t>آباکاوير   محلول خوراکي 20 mg/1mL 60 mL - ماه داروي حکيم</t>
        </is>
      </c>
      <c r="C3757" s="25">
        <f>IF(COUNTIF('کدهای پیام‌داروساز'!$A$2:$A$2442,A3757)&gt;0,"بله","خیر")</f>
        <v/>
      </c>
    </row>
    <row r="3758" ht="15" customHeight="1" s="14">
      <c r="A3758" s="24" t="n">
        <v>53531</v>
      </c>
      <c r="B3758" s="24" t="inlineStr">
        <is>
          <t>آلبندازول   قرص خوراکي 400 mg - بازرگاني سها کيش</t>
        </is>
      </c>
      <c r="C3758" s="25">
        <f>IF(COUNTIF('کدهای پیام‌داروساز'!$A$2:$A$2442,A3758)&gt;0,"بله","خیر")</f>
        <v/>
      </c>
    </row>
    <row r="3759" ht="15" customHeight="1" s="14">
      <c r="A3759" s="24" t="n">
        <v>53533</v>
      </c>
      <c r="B3759" s="24" t="inlineStr">
        <is>
          <t>پي دي گروث ( سرنگ آماده تزريق)   تزريقي پرنترال 10 [iU]/1mL 0.4 [iU] - فرآورده هاي پويش دارو</t>
        </is>
      </c>
      <c r="C3759" s="25">
        <f>IF(COUNTIF('کدهای پیام‌داروساز'!$A$2:$A$2442,A3759)&gt;0,"بله","خیر")</f>
        <v/>
      </c>
    </row>
    <row r="3760" ht="15" customHeight="1" s="14">
      <c r="A3760" s="24" t="n">
        <v>53535</v>
      </c>
      <c r="B3760" s="24" t="inlineStr">
        <is>
          <t>رايکوپين   قرص خوراکي 2 mg - کوبل دارو</t>
        </is>
      </c>
      <c r="C3760" s="25">
        <f>IF(COUNTIF('کدهای پیام‌داروساز'!$A$2:$A$2442,A3760)&gt;0,"بله","خیر")</f>
        <v/>
      </c>
    </row>
    <row r="3761" ht="15" customHeight="1" s="14">
      <c r="A3761" s="24" t="n">
        <v>53536</v>
      </c>
      <c r="B3761" s="24" t="inlineStr">
        <is>
          <t>پراميرا   قرص خوراکي 4 mg - روناک</t>
        </is>
      </c>
      <c r="C3761" s="25">
        <f>IF(COUNTIF('کدهای پیام‌داروساز'!$A$2:$A$2442,A3761)&gt;0,"بله","خیر")</f>
        <v/>
      </c>
    </row>
    <row r="3762" ht="15" customHeight="1" s="14">
      <c r="A3762" s="24" t="n">
        <v>53537</v>
      </c>
      <c r="B3762" s="24" t="inlineStr">
        <is>
          <t>پراميرا   قرص خوراکي 8 mg - روناک</t>
        </is>
      </c>
      <c r="C3762" s="25">
        <f>IF(COUNTIF('کدهای پیام‌داروساز'!$A$2:$A$2442,A3762)&gt;0,"بله","خیر")</f>
        <v/>
      </c>
    </row>
    <row r="3763" ht="15" customHeight="1" s="14">
      <c r="A3763" s="24" t="n">
        <v>53538</v>
      </c>
      <c r="B3763" s="24" t="inlineStr">
        <is>
          <t>پراميرا   قرص خوراکي 6 mg - روناک</t>
        </is>
      </c>
      <c r="C3763" s="25">
        <f>IF(COUNTIF('کدهای پیام‌داروساز'!$A$2:$A$2442,A3763)&gt;0,"بله","خیر")</f>
        <v/>
      </c>
    </row>
    <row r="3764" ht="15" customHeight="1" s="14">
      <c r="A3764" s="24" t="n">
        <v>53541</v>
      </c>
      <c r="B3764" s="24" t="inlineStr">
        <is>
          <t>واکسن ايمونوگلوبين هاري   تزريقي پرنترال 100 [iU]/2.5mL  [iU] - هيات امناي صرفه جويي ارزي در معالجه بيماران</t>
        </is>
      </c>
      <c r="C3764" s="25">
        <f>IF(COUNTIF('کدهای پیام‌داروساز'!$A$2:$A$2442,A3764)&gt;0,"بله","خیر")</f>
        <v/>
      </c>
    </row>
    <row r="3765" ht="15" customHeight="1" s="14">
      <c r="A3765" s="24" t="n">
        <v>53542</v>
      </c>
      <c r="B3765" s="24" t="inlineStr">
        <is>
          <t>ويال سديم بي کربنات8/4%   تزريقي پرنترال 8.4 % 100 mL - نيکان فارمد</t>
        </is>
      </c>
      <c r="C3765" s="25">
        <f>IF(COUNTIF('کدهای پیام‌داروساز'!$A$2:$A$2442,A3765)&gt;0,"بله","خیر")</f>
        <v/>
      </c>
    </row>
    <row r="3766" ht="15" customHeight="1" s="14">
      <c r="A3766" s="24" t="n">
        <v>53543</v>
      </c>
      <c r="B3766" s="24" t="inlineStr">
        <is>
          <t>واکسن سرخک   تزريقي پرنترال 10 {dose}  {dose} - دارو درمان آرنگ</t>
        </is>
      </c>
      <c r="C3766" s="25">
        <f>IF(COUNTIF('کدهای پیام‌داروساز'!$A$2:$A$2442,A3766)&gt;0,"بله","خیر")</f>
        <v/>
      </c>
    </row>
    <row r="3767" ht="15" customHeight="1" s="14">
      <c r="A3767" s="24" t="n">
        <v>53544</v>
      </c>
      <c r="B3767" s="24" t="inlineStr">
        <is>
          <t>ساماريوم-153 اي.دي.تي.ام.پي کيت   پودر لئوفيليزه براي تهيه محلول تزريقي پرنترال 150 mg  mg - پارس ايزوتوپ</t>
        </is>
      </c>
      <c r="C3767" s="25">
        <f>IF(COUNTIF('کدهای پیام‌داروساز'!$A$2:$A$2442,A3767)&gt;0,"بله","خیر")</f>
        <v/>
      </c>
    </row>
    <row r="3768" ht="15" customHeight="1" s="14">
      <c r="A3768" s="24" t="n">
        <v>53545</v>
      </c>
      <c r="B3768" s="24" t="inlineStr">
        <is>
          <t>فلوئور18-اف.پي.اس.ام.آ   محلول تزريقي پرنترال 10 mCi  mCi - پارس ايزوتوپ</t>
        </is>
      </c>
      <c r="C3768" s="25">
        <f>IF(COUNTIF('کدهای پیام‌داروساز'!$A$2:$A$2442,A3768)&gt;0,"بله","خیر")</f>
        <v/>
      </c>
    </row>
    <row r="3769" ht="15" customHeight="1" s="14">
      <c r="A3769" s="24" t="n">
        <v>53546</v>
      </c>
      <c r="B3769" s="24" t="inlineStr">
        <is>
          <t>فلوئور-18 فلوئورواتيل تايروزين   محلول تزريقي پرنترال 5 mCi 3 mCi - پارس ايزوتوپ</t>
        </is>
      </c>
      <c r="C3769" s="25">
        <f>IF(COUNTIF('کدهای پیام‌داروساز'!$A$2:$A$2442,A3769)&gt;0,"بله","خیر")</f>
        <v/>
      </c>
    </row>
    <row r="3770" ht="15" customHeight="1" s="14">
      <c r="A3770" s="24" t="n">
        <v>53547</v>
      </c>
      <c r="B3770" s="24" t="inlineStr">
        <is>
          <t>فلوئور-18فلوئورواستراديول   محلول تزريقي پرنترال 5 mCi  mCi - پارس ايزوتوپ</t>
        </is>
      </c>
      <c r="C3770" s="25">
        <f>IF(COUNTIF('کدهای پیام‌داروساز'!$A$2:$A$2442,A3770)&gt;0,"بله","خیر")</f>
        <v/>
      </c>
    </row>
    <row r="3771" ht="15" customHeight="1" s="14">
      <c r="A3771" s="24" t="n">
        <v>53548</v>
      </c>
      <c r="B3771" s="24" t="inlineStr">
        <is>
          <t>فلوئور-18فلوئوروبتا پير   محلول تزريقي پرنترال 5 mCi  mCi - پارس ايزوتوپ</t>
        </is>
      </c>
      <c r="C3771" s="25">
        <f>IF(COUNTIF('کدهای پیام‌داروساز'!$A$2:$A$2442,A3771)&gt;0,"بله","خیر")</f>
        <v/>
      </c>
    </row>
    <row r="3772" ht="15" customHeight="1" s="14">
      <c r="A3772" s="24" t="n">
        <v>53549</v>
      </c>
      <c r="B3772" s="24" t="inlineStr">
        <is>
          <t>گاليوم-68-فاپي-46   محلول تزريقي پرنترال 5 mCi  mCi - پارس ايزوتوپ</t>
        </is>
      </c>
      <c r="C3772" s="25">
        <f>IF(COUNTIF('کدهای پیام‌داروساز'!$A$2:$A$2442,A3772)&gt;0,"بله","خیر")</f>
        <v/>
      </c>
    </row>
    <row r="3773" ht="15" customHeight="1" s="14">
      <c r="A3773" s="24" t="n">
        <v>53550</v>
      </c>
      <c r="B3773" s="24" t="inlineStr">
        <is>
          <t>لوتشيوم 177پنتيکساتر   محلول تزريقي پرنترال 200 mCi  mCi - پارس ايزوتوپ</t>
        </is>
      </c>
      <c r="C3773" s="25">
        <f>IF(COUNTIF('کدهای پیام‌داروساز'!$A$2:$A$2442,A3773)&gt;0,"بله","خیر")</f>
        <v/>
      </c>
    </row>
    <row r="3774" ht="15" customHeight="1" s="14">
      <c r="A3774" s="24" t="n">
        <v>53551</v>
      </c>
      <c r="B3774" s="24" t="inlineStr">
        <is>
          <t>گاليوم-68-پنتيکسافور   محلول تزريقي پرنترال 5 mCi  mCi - پارس ايزوتوپ</t>
        </is>
      </c>
      <c r="C3774" s="25">
        <f>IF(COUNTIF('کدهای پیام‌داروساز'!$A$2:$A$2442,A3774)&gt;0,"بله","خیر")</f>
        <v/>
      </c>
    </row>
    <row r="3775" ht="15" customHeight="1" s="14">
      <c r="A3775" s="24" t="n">
        <v>53552</v>
      </c>
      <c r="B3775" s="24" t="inlineStr">
        <is>
          <t>راديوم-223-دي کلرايد   محلول تزريقي پرنترال 0.2 mCi  mCi - پارس ايزوتوپ</t>
        </is>
      </c>
      <c r="C3775" s="25">
        <f>IF(COUNTIF('کدهای پیام‌داروساز'!$A$2:$A$2442,A3775)&gt;0,"بله","خیر")</f>
        <v/>
      </c>
    </row>
    <row r="3776" ht="15" customHeight="1" s="14">
      <c r="A3776" s="24" t="n">
        <v>53553</v>
      </c>
      <c r="B3776" s="24" t="inlineStr">
        <is>
          <t>اکتينيم-225 دوتاتيت   محلول تزريقي پرنترال 0.2 mCi  mCi - پارس ايزوتوپ</t>
        </is>
      </c>
      <c r="C3776" s="25">
        <f>IF(COUNTIF('کدهای پیام‌داروساز'!$A$2:$A$2442,A3776)&gt;0,"بله","خیر")</f>
        <v/>
      </c>
    </row>
    <row r="3777" ht="15" customHeight="1" s="14">
      <c r="A3777" s="24" t="n">
        <v>53554</v>
      </c>
      <c r="B3777" s="24" t="inlineStr">
        <is>
          <t>اکتينيم 225 پي اس ام آ   محلول تزريقي پرنترال 0.2 mCi  mCi - پارس ايزوتوپ</t>
        </is>
      </c>
      <c r="C3777" s="25">
        <f>IF(COUNTIF('کدهای پیام‌داروساز'!$A$2:$A$2442,A3777)&gt;0,"بله","خیر")</f>
        <v/>
      </c>
    </row>
    <row r="3778" ht="15" customHeight="1" s="14">
      <c r="A3778" s="24" t="n">
        <v>53555</v>
      </c>
      <c r="B3778" s="24" t="inlineStr">
        <is>
          <t>لوتشيوم -177 فاپ-2286   محلول تزريقي پرنترال 250 mCi  mCi - پارس ايزوتوپ</t>
        </is>
      </c>
      <c r="C3778" s="25">
        <f>IF(COUNTIF('کدهای پیام‌داروساز'!$A$2:$A$2442,A3778)&gt;0,"بله","خیر")</f>
        <v/>
      </c>
    </row>
    <row r="3779" ht="15" customHeight="1" s="14">
      <c r="A3779" s="24" t="n">
        <v>53556</v>
      </c>
      <c r="B3779" s="24" t="inlineStr">
        <is>
          <t>گاليوم-68-فاپ-2286   محلول تزريقي پرنترال 5 mCi  mCi - پارس ايزوتوپ</t>
        </is>
      </c>
      <c r="C3779" s="25">
        <f>IF(COUNTIF('کدهای پیام‌داروساز'!$A$2:$A$2442,A3779)&gt;0,"بله","خیر")</f>
        <v/>
      </c>
    </row>
    <row r="3780" ht="15" customHeight="1" s="14">
      <c r="A3780" s="24" t="n">
        <v>53557</v>
      </c>
      <c r="B3780" s="24" t="inlineStr">
        <is>
          <t>پارس -لوتو پي اس ام آ   پودر براي تهيه فرآورده تزريقي پرنترال 135 ug  ug - پارس ايزوتوپ</t>
        </is>
      </c>
      <c r="C3780" s="25">
        <f>IF(COUNTIF('کدهای پیام‌داروساز'!$A$2:$A$2442,A3780)&gt;0,"بله","خیر")</f>
        <v/>
      </c>
    </row>
    <row r="3781" ht="15" customHeight="1" s="14">
      <c r="A3781" s="24" t="n">
        <v>53558</v>
      </c>
      <c r="B3781" s="24" t="inlineStr">
        <is>
          <t>تربينافين   اسپري موضعي 1 % 50 mL - ايران دارو</t>
        </is>
      </c>
      <c r="C3781" s="25">
        <f>IF(COUNTIF('کدهای پیام‌داروساز'!$A$2:$A$2442,A3781)&gt;0,"بله","خیر")</f>
        <v/>
      </c>
    </row>
    <row r="3782" ht="15" customHeight="1" s="14">
      <c r="A3782" s="24" t="n">
        <v>53559</v>
      </c>
      <c r="B3782" s="24" t="inlineStr">
        <is>
          <t>رستاسيس   محلول، قطره چشمي 0.05 % 0.4 [Amb'a'1'U] - فوريتهاي سينا آرات گستر</t>
        </is>
      </c>
      <c r="C3782" s="25">
        <f>IF(COUNTIF('کدهای پیام‌داروساز'!$A$2:$A$2442,A3782)&gt;0,"بله","خیر")</f>
        <v/>
      </c>
    </row>
    <row r="3783" ht="15" customHeight="1" s="14">
      <c r="A3783" s="24" t="n">
        <v>53560</v>
      </c>
      <c r="B3783" s="24" t="inlineStr">
        <is>
          <t>اکساري   قرص خوراکي 80 mg - داروسازي دکتر عبيدي</t>
        </is>
      </c>
      <c r="C3783" s="25">
        <f>IF(COUNTIF('کدهای پیام‌داروساز'!$A$2:$A$2442,A3783)&gt;0,"بله","خیر")</f>
        <v/>
      </c>
    </row>
    <row r="3784" ht="15" customHeight="1" s="14">
      <c r="A3784" s="24" t="n">
        <v>53561</v>
      </c>
      <c r="B3784" s="24" t="inlineStr">
        <is>
          <t>اکساري   قرص خوراکي 100 mg - داروسازي دکتر عبيدي</t>
        </is>
      </c>
      <c r="C3784" s="25">
        <f>IF(COUNTIF('کدهای پیام‌داروساز'!$A$2:$A$2442,A3784)&gt;0,"بله","خیر")</f>
        <v/>
      </c>
    </row>
    <row r="3785" ht="15" customHeight="1" s="14">
      <c r="A3785" s="24" t="n">
        <v>53563</v>
      </c>
      <c r="B3785" s="24" t="inlineStr">
        <is>
          <t>کلاديس   قرص خوراکي 50 mg - روناک</t>
        </is>
      </c>
      <c r="C3785" s="25">
        <f>IF(COUNTIF('کدهای پیام‌داروساز'!$A$2:$A$2442,A3785)&gt;0,"بله","خیر")</f>
        <v/>
      </c>
    </row>
    <row r="3786" ht="15" customHeight="1" s="14">
      <c r="A3786" s="24" t="n">
        <v>53565</v>
      </c>
      <c r="B3786" s="24" t="inlineStr">
        <is>
          <t>کلاديس   قرص خوراکي 25 mg - روناک</t>
        </is>
      </c>
      <c r="C3786" s="25">
        <f>IF(COUNTIF('کدهای پیام‌داروساز'!$A$2:$A$2442,A3786)&gt;0,"بله","خیر")</f>
        <v/>
      </c>
    </row>
    <row r="3787" ht="15" customHeight="1" s="14">
      <c r="A3787" s="24" t="n">
        <v>53566</v>
      </c>
      <c r="B3787" s="24" t="inlineStr">
        <is>
          <t>بمپليد پلاس   قرص خوراکي 180 mg/10 mg - اکتوورکو</t>
        </is>
      </c>
      <c r="C3787" s="25">
        <f>IF(COUNTIF('کدهای پیام‌داروساز'!$A$2:$A$2442,A3787)&gt;0,"بله","خیر")</f>
        <v/>
      </c>
    </row>
    <row r="3788" ht="15" customHeight="1" s="14">
      <c r="A3788" s="24" t="n">
        <v>53567</v>
      </c>
      <c r="B3788" s="24" t="inlineStr">
        <is>
          <t>رنيوم(رنيوم-188) اچ اي دي پي   محلول تزريقي پرنترال 1 mCi/1kg  mCi - پارس ايزوتوپ</t>
        </is>
      </c>
      <c r="C3788" s="25">
        <f>IF(COUNTIF('کدهای پیام‌داروساز'!$A$2:$A$2442,A3788)&gt;0,"بله","خیر")</f>
        <v/>
      </c>
    </row>
    <row r="3789" ht="15" customHeight="1" s="14">
      <c r="A3789" s="24" t="n">
        <v>53569</v>
      </c>
      <c r="B3789" s="24" t="inlineStr">
        <is>
          <t>همودياليز اسيدي غليظ 2   محلول غليظ   همودياليز 3710 meq/70 meq/35 meq/87.5 meq/70 g/122.5 meq/3902.5 meq/1L 4000 L - داروسازي فاران شيمي</t>
        </is>
      </c>
      <c r="C3789" s="25">
        <f>IF(COUNTIF('کدهای پیام‌داروساز'!$A$2:$A$2442,A3789)&gt;0,"بله","خیر")</f>
        <v/>
      </c>
    </row>
    <row r="3790" ht="15" customHeight="1" s="14">
      <c r="A3790" s="24" t="n">
        <v>53571</v>
      </c>
      <c r="B3790" s="24" t="inlineStr">
        <is>
          <t>اي.دي.تي.ام.پي   کيت پرنترال 50 mg  mg - پارس ايزوتوپ</t>
        </is>
      </c>
      <c r="C3790" s="25">
        <f>IF(COUNTIF('کدهای پیام‌داروساز'!$A$2:$A$2442,A3790)&gt;0,"بله","خیر")</f>
        <v/>
      </c>
    </row>
    <row r="3791" ht="15" customHeight="1" s="14">
      <c r="A3791" s="24" t="n">
        <v>53572</v>
      </c>
      <c r="B3791" s="24" t="inlineStr">
        <is>
          <t>پوليوي   پودر لئوفيليزه براي تهيه محلول تزريقي پرنترال 30 mg  mg - بازرگاني سها کيش</t>
        </is>
      </c>
      <c r="C3791" s="25">
        <f>IF(COUNTIF('کدهای پیام‌داروساز'!$A$2:$A$2442,A3791)&gt;0,"بله","خیر")</f>
        <v/>
      </c>
    </row>
    <row r="3792" ht="15" customHeight="1" s="14">
      <c r="A3792" s="24" t="n">
        <v>53573</v>
      </c>
      <c r="B3792" s="24" t="inlineStr">
        <is>
          <t>آتوواکوآن   سوسپانسيون خوراکي 750 mg/5mL 226 mL - بازرگاني سها کيش</t>
        </is>
      </c>
      <c r="C3792" s="25">
        <f>IF(COUNTIF('کدهای پیام‌داروساز'!$A$2:$A$2442,A3792)&gt;0,"بله","خیر")</f>
        <v/>
      </c>
    </row>
    <row r="3793" ht="15" customHeight="1" s="14">
      <c r="A3793" s="24" t="n">
        <v>53574</v>
      </c>
      <c r="B3793" s="24" t="inlineStr">
        <is>
          <t>ريالتريس   اسپري از راه بيني 0.025 mg/0.6 mg 240 {Puff} - کيميا آرا هرم</t>
        </is>
      </c>
      <c r="C3793" s="25">
        <f>IF(COUNTIF('کدهای پیام‌داروساز'!$A$2:$A$2442,A3793)&gt;0,"بله","خیر")</f>
        <v/>
      </c>
    </row>
    <row r="3794" ht="15" customHeight="1" s="14">
      <c r="A3794" s="24" t="n">
        <v>53578</v>
      </c>
      <c r="B3794" s="24" t="inlineStr">
        <is>
          <t>پرمي - رب   تزريقي پرنترال 300 [iU]/1mL 5 [iU] - هيات امناي صرفه جويي ارزي در معالجه بيماران</t>
        </is>
      </c>
      <c r="C3794" s="25">
        <f>IF(COUNTIF('کدهای پیام‌داروساز'!$A$2:$A$2442,A3794)&gt;0,"بله","خیر")</f>
        <v/>
      </c>
    </row>
    <row r="3795" ht="15" customHeight="1" s="14">
      <c r="A3795" s="24" t="n">
        <v>53579</v>
      </c>
      <c r="B3795" s="24" t="inlineStr">
        <is>
          <t>ايبتاکس   قرص خوراکي 2 mg - داروسازي دکتر عبيدي</t>
        </is>
      </c>
      <c r="C3795" s="25">
        <f>IF(COUNTIF('کدهای پیام‌داروساز'!$A$2:$A$2442,A3795)&gt;0,"بله","خیر")</f>
        <v/>
      </c>
    </row>
    <row r="3796" ht="15" customHeight="1" s="14">
      <c r="A3796" s="24" t="n">
        <v>53583</v>
      </c>
      <c r="B3796" s="24" t="inlineStr">
        <is>
          <t>آزپين   قرص خوراکي 600 mg - دارو سازي آنوشا</t>
        </is>
      </c>
      <c r="C3796" s="25">
        <f>IF(COUNTIF('کدهای پیام‌داروساز'!$A$2:$A$2442,A3796)&gt;0,"بله","خیر")</f>
        <v/>
      </c>
    </row>
    <row r="3797" ht="15" customHeight="1" s="14">
      <c r="A3797" s="24" t="n">
        <v>53584</v>
      </c>
      <c r="B3797" s="24" t="inlineStr">
        <is>
          <t>اسپارتينا   محلول تزريقي زير جلدي 12.5 mg/0.5 mL  mg - تحقيقاتي وتوليدي سينا ژن</t>
        </is>
      </c>
      <c r="C3797" s="25">
        <f>IF(COUNTIF('کدهای پیام‌داروساز'!$A$2:$A$2442,A3797)&gt;0,"بله","خیر")</f>
        <v/>
      </c>
    </row>
    <row r="3798" ht="15" customHeight="1" s="14">
      <c r="A3798" s="24" t="n">
        <v>53585</v>
      </c>
      <c r="B3798" s="24" t="inlineStr">
        <is>
          <t>اسپارتينا   محلول تزريقي زير جلدي 10 mg/0.5 mL  mg - تحقيقاتي وتوليدي سينا ژن</t>
        </is>
      </c>
      <c r="C3798" s="25">
        <f>IF(COUNTIF('کدهای پیام‌داروساز'!$A$2:$A$2442,A3798)&gt;0,"بله","خیر")</f>
        <v/>
      </c>
    </row>
    <row r="3799" ht="15" customHeight="1" s="14">
      <c r="A3799" s="24" t="n">
        <v>53586</v>
      </c>
      <c r="B3799" s="24" t="inlineStr">
        <is>
          <t>اسپارتينا   محلول تزريقي زير جلدي 15 mg/0.5 mL  mg - تحقيقاتي وتوليدي سينا ژن</t>
        </is>
      </c>
      <c r="C3799" s="25">
        <f>IF(COUNTIF('کدهای پیام‌داروساز'!$A$2:$A$2442,A3799)&gt;0,"بله","خیر")</f>
        <v/>
      </c>
    </row>
    <row r="3800" ht="15" customHeight="1" s="14">
      <c r="A3800" s="24" t="n">
        <v>53587</v>
      </c>
      <c r="B3800" s="24" t="inlineStr">
        <is>
          <t>اسپارتينا   محلول تزريقي پرنترال 2.5 mg/0.6 mL  mL - تحقيقاتي وتوليدي سينا ژن</t>
        </is>
      </c>
      <c r="C3800" s="25">
        <f>IF(COUNTIF('کدهای پیام‌داروساز'!$A$2:$A$2442,A3800)&gt;0,"بله","خیر")</f>
        <v/>
      </c>
    </row>
    <row r="3801" ht="15" customHeight="1" s="14">
      <c r="A3801" s="24" t="n">
        <v>53588</v>
      </c>
      <c r="B3801" s="24" t="inlineStr">
        <is>
          <t>اسپارتينا   محلول تزريقي پرنترال 5 mg/0.6 mL  mL - تحقيقاتي وتوليدي سينا ژن</t>
        </is>
      </c>
      <c r="C3801" s="25">
        <f>IF(COUNTIF('کدهای پیام‌داروساز'!$A$2:$A$2442,A3801)&gt;0,"بله","خیر")</f>
        <v/>
      </c>
    </row>
    <row r="3802" ht="15" customHeight="1" s="14">
      <c r="A3802" s="24" t="n">
        <v>53589</v>
      </c>
      <c r="B3802" s="24" t="inlineStr">
        <is>
          <t>اسپارتينا   محلول تزريقي پرنترال 7.5 mg/0.6 mL  mL - تحقيقاتي وتوليدي سينا ژن</t>
        </is>
      </c>
      <c r="C3802" s="25">
        <f>IF(COUNTIF('کدهای پیام‌داروساز'!$A$2:$A$2442,A3802)&gt;0,"بله","خیر")</f>
        <v/>
      </c>
    </row>
    <row r="3803" ht="15" customHeight="1" s="14">
      <c r="A3803" s="24" t="n">
        <v>53590</v>
      </c>
      <c r="B3803" s="24" t="inlineStr">
        <is>
          <t>اسپارتينا   محلول تزريقي پرنترال 10 mg/0.6 mL  mL - تحقيقاتي وتوليدي سينا ژن</t>
        </is>
      </c>
      <c r="C3803" s="25">
        <f>IF(COUNTIF('کدهای پیام‌داروساز'!$A$2:$A$2442,A3803)&gt;0,"بله","خیر")</f>
        <v/>
      </c>
    </row>
    <row r="3804" ht="15" customHeight="1" s="14">
      <c r="A3804" s="24" t="n">
        <v>53591</v>
      </c>
      <c r="B3804" s="24" t="inlineStr">
        <is>
          <t>اسپارتينا   محلول تزريقي پرنترال 12.5 mg/0.6 mL  mL - تحقيقاتي وتوليدي سينا ژن</t>
        </is>
      </c>
      <c r="C3804" s="25">
        <f>IF(COUNTIF('کدهای پیام‌داروساز'!$A$2:$A$2442,A3804)&gt;0,"بله","خیر")</f>
        <v/>
      </c>
    </row>
    <row r="3805" ht="15" customHeight="1" s="14">
      <c r="A3805" s="24" t="n">
        <v>53592</v>
      </c>
      <c r="B3805" s="24" t="inlineStr">
        <is>
          <t>اسپارتينا   محلول تزريقي پرنترال 15 mg/0.6 mL  mL - تحقيقاتي وتوليدي سينا ژن</t>
        </is>
      </c>
      <c r="C3805" s="25">
        <f>IF(COUNTIF('کدهای پیام‌داروساز'!$A$2:$A$2442,A3805)&gt;0,"بله","خیر")</f>
        <v/>
      </c>
    </row>
    <row r="3806" ht="15" customHeight="1" s="14">
      <c r="A3806" s="24" t="n">
        <v>53593</v>
      </c>
      <c r="B3806" s="24" t="inlineStr">
        <is>
          <t>کليندامايسين   کرم واژينال 2 % 50 g - آسا دارو طوس</t>
        </is>
      </c>
      <c r="C3806" s="25">
        <f>IF(COUNTIF('کدهای پیام‌داروساز'!$A$2:$A$2442,A3806)&gt;0,"بله","خیر")</f>
        <v/>
      </c>
    </row>
    <row r="3807" ht="15" customHeight="1" s="14">
      <c r="A3807" s="24" t="n">
        <v>53594</v>
      </c>
      <c r="B3807" s="24" t="inlineStr">
        <is>
          <t>پارس لوتوتيت   پودر براي تهيه فرآورده تزريقي پرنترال 140 ug  ug - پارس ايزوتوپ</t>
        </is>
      </c>
      <c r="C3807" s="25">
        <f>IF(COUNTIF('کدهای پیام‌داروساز'!$A$2:$A$2442,A3807)&gt;0,"بله","خیر")</f>
        <v/>
      </c>
    </row>
    <row r="3808" ht="15" customHeight="1" s="14">
      <c r="A3808" s="24" t="n">
        <v>53595</v>
      </c>
      <c r="B3808" s="24" t="inlineStr">
        <is>
          <t>لوبل کرونو   قرص پيوسته رهش خوراکي 500 mg - کوبل دارو</t>
        </is>
      </c>
      <c r="C3808" s="25">
        <f>IF(COUNTIF('کدهای پیام‌داروساز'!$A$2:$A$2442,A3808)&gt;0,"بله","خیر")</f>
        <v/>
      </c>
    </row>
    <row r="3809" ht="15" customHeight="1" s="14">
      <c r="A3809" s="24" t="n">
        <v>53596</v>
      </c>
      <c r="B3809" s="24" t="inlineStr">
        <is>
          <t>لوبل کرونو   قرص پيوسته رهش خوراکي 750 mg - کوبل دارو</t>
        </is>
      </c>
      <c r="C3809" s="25">
        <f>IF(COUNTIF('کدهای پیام‌داروساز'!$A$2:$A$2442,A3809)&gt;0,"بله","خیر")</f>
        <v/>
      </c>
    </row>
    <row r="3810" ht="15" customHeight="1" s="14">
      <c r="A3810" s="24" t="n">
        <v>53597</v>
      </c>
      <c r="B3810" s="24" t="inlineStr">
        <is>
          <t>لوينتکس   قرص پيوسته رهش خوراکي 1000 mg - تدبير کالاي جم</t>
        </is>
      </c>
      <c r="C3810" s="25">
        <f>IF(COUNTIF('کدهای پیام‌داروساز'!$A$2:$A$2442,A3810)&gt;0,"بله","خیر")</f>
        <v/>
      </c>
    </row>
    <row r="3811" ht="15" customHeight="1" s="14">
      <c r="A3811" s="24" t="n">
        <v>53598</v>
      </c>
      <c r="B3811" s="24" t="inlineStr">
        <is>
          <t>ارنوپروکس   قرص پيوسته رهش خوراکي 750 mg - اکتوورکو</t>
        </is>
      </c>
      <c r="C3811" s="25">
        <f>IF(COUNTIF('کدهای پیام‌داروساز'!$A$2:$A$2442,A3811)&gt;0,"بله","خیر")</f>
        <v/>
      </c>
    </row>
    <row r="3812" ht="15" customHeight="1" s="14">
      <c r="A3812" s="24" t="n">
        <v>53599</v>
      </c>
      <c r="B3812" s="24" t="inlineStr">
        <is>
          <t>زيماکس دلتازکس   اسپري از راه بيني 0.9 % 150 mL - دلتا دارو</t>
        </is>
      </c>
      <c r="C3812" s="25">
        <f>IF(COUNTIF('کدهای پیام‌داروساز'!$A$2:$A$2442,A3812)&gt;0,"بله","خیر")</f>
        <v/>
      </c>
    </row>
    <row r="3813" ht="15" customHeight="1" s="14">
      <c r="A3813" s="24" t="n">
        <v>53600</v>
      </c>
      <c r="B3813" s="24" t="inlineStr">
        <is>
          <t>دارزالکس   محلول تزريقي پرنترال 120 mg/1 mL 15 mg - آسمان داروي پارس</t>
        </is>
      </c>
      <c r="C3813" s="25">
        <f>IF(COUNTIF('کدهای پیام‌داروساز'!$A$2:$A$2442,A3813)&gt;0,"بله","خیر")</f>
        <v/>
      </c>
    </row>
    <row r="3814" ht="15" customHeight="1" s="14">
      <c r="A3814" s="24" t="n">
        <v>53601</v>
      </c>
      <c r="B3814" s="24" t="inlineStr">
        <is>
          <t>فاموتيدين   پودر براي تهيه سوسپانسيون   خوراکي 40 mg/5mL 100 g - پور سينا</t>
        </is>
      </c>
      <c r="C3814" s="25">
        <f>IF(COUNTIF('کدهای پیام‌داروساز'!$A$2:$A$2442,A3814)&gt;0,"بله","خیر")</f>
        <v/>
      </c>
    </row>
    <row r="3815" ht="15" customHeight="1" s="14">
      <c r="A3815" s="24" t="n">
        <v>53602</v>
      </c>
      <c r="B3815" s="24" t="inlineStr">
        <is>
          <t>دکسترومتورفان   شربت خوراکي 15 mg/5mL 100 mL - البرز دارو</t>
        </is>
      </c>
      <c r="C3815" s="25">
        <f>IF(COUNTIF('کدهای پیام‌داروساز'!$A$2:$A$2442,A3815)&gt;0,"بله","خیر")</f>
        <v/>
      </c>
    </row>
    <row r="3816" ht="15" customHeight="1" s="14">
      <c r="A3816" s="24" t="n">
        <v>53603</v>
      </c>
      <c r="B3816" s="24" t="inlineStr">
        <is>
          <t>استامينوفن   قرص خوراکي 1000 mg - داروسازي خوارزمي</t>
        </is>
      </c>
      <c r="C3816" s="25">
        <f>IF(COUNTIF('کدهای پیام‌داروساز'!$A$2:$A$2442,A3816)&gt;0,"بله","خیر")</f>
        <v/>
      </c>
    </row>
    <row r="3817" ht="15" customHeight="1" s="14">
      <c r="A3817" s="24" t="n">
        <v>53604</v>
      </c>
      <c r="B3817" s="24" t="inlineStr">
        <is>
          <t>ايميونيت   پودر لئوفيليزه براي تهيه محلول تزريقي پرنترال 500 [iU]/375 [iU]  [iU] - کار و انديشه</t>
        </is>
      </c>
      <c r="C3817" s="25">
        <f>IF(COUNTIF('کدهای پیام‌داروساز'!$A$2:$A$2442,A3817)&gt;0,"بله","خیر")</f>
        <v/>
      </c>
    </row>
    <row r="3818" ht="15" customHeight="1" s="14">
      <c r="A3818" s="24" t="n">
        <v>53605</v>
      </c>
      <c r="B3818" s="24" t="inlineStr">
        <is>
          <t>فرامکس   کپسول خوراکي 150 mg - بهستان بهداشت</t>
        </is>
      </c>
      <c r="C3818" s="25">
        <f>IF(COUNTIF('کدهای پیام‌داروساز'!$A$2:$A$2442,A3818)&gt;0,"بله","خیر")</f>
        <v/>
      </c>
    </row>
    <row r="3819" ht="15" customHeight="1" s="14">
      <c r="A3819" s="24" t="n">
        <v>53606</v>
      </c>
      <c r="B3819" s="24" t="inlineStr">
        <is>
          <t>لاکتولوز   شربت خوراکي 10 g/15mL 120 mL - لابراتوارهاي رازک</t>
        </is>
      </c>
      <c r="C3819" s="25">
        <f>IF(COUNTIF('کدهای پیام‌داروساز'!$A$2:$A$2442,A3819)&gt;0,"بله","خیر")</f>
        <v/>
      </c>
    </row>
    <row r="3820" ht="15" customHeight="1" s="14">
      <c r="A3820" s="24" t="n">
        <v>53607</v>
      </c>
      <c r="B3820" s="24" t="inlineStr">
        <is>
          <t>گيلترنيب   قرص خوراکي 40 mg - بازرگاني سها کيش</t>
        </is>
      </c>
      <c r="C3820" s="25">
        <f>IF(COUNTIF('کدهای پیام‌داروساز'!$A$2:$A$2442,A3820)&gt;0,"بله","خیر")</f>
        <v/>
      </c>
    </row>
    <row r="3821" ht="15" customHeight="1" s="14">
      <c r="A3821" s="24" t="n">
        <v>53609</v>
      </c>
      <c r="B3821" s="24" t="inlineStr">
        <is>
          <t>ويتامين ب 6   تزريقي پرنترال 100 mg/1mL 1 mL - دارو سازي اسوه</t>
        </is>
      </c>
      <c r="C3821" s="25">
        <f>IF(COUNTIF('کدهای پیام‌داروساز'!$A$2:$A$2442,A3821)&gt;0,"بله","خیر")</f>
        <v/>
      </c>
    </row>
    <row r="3822" ht="15" customHeight="1" s="14">
      <c r="A3822" s="24" t="n">
        <v>53610</v>
      </c>
      <c r="B3822" s="24" t="inlineStr">
        <is>
          <t>روکساوي   کرم موضعي 1.5 % 60 g - دارويي سورنا فارمد پويا</t>
        </is>
      </c>
      <c r="C3822" s="25">
        <f>IF(COUNTIF('کدهای پیام‌داروساز'!$A$2:$A$2442,A3822)&gt;0,"بله","خیر")</f>
        <v/>
      </c>
    </row>
    <row r="3823" ht="15" customHeight="1" s="14">
      <c r="A3823" s="24" t="n">
        <v>53611</v>
      </c>
      <c r="B3823" s="24" t="inlineStr">
        <is>
          <t>وريسيگوات   قرص خوراکي 2.5 mg - آرنا حيات دانش</t>
        </is>
      </c>
      <c r="C3823" s="25">
        <f>IF(COUNTIF('کدهای پیام‌داروساز'!$A$2:$A$2442,A3823)&gt;0,"بله","خیر")</f>
        <v/>
      </c>
    </row>
    <row r="3824" ht="15" customHeight="1" s="14">
      <c r="A3824" s="24" t="n">
        <v>53612</v>
      </c>
      <c r="B3824" s="24" t="inlineStr">
        <is>
          <t>وريسيگوات   قرص خوراکي 5 mg - آرنا حيات دانش</t>
        </is>
      </c>
      <c r="C3824" s="25">
        <f>IF(COUNTIF('کدهای پیام‌داروساز'!$A$2:$A$2442,A3824)&gt;0,"بله","خیر")</f>
        <v/>
      </c>
    </row>
    <row r="3825" ht="15" customHeight="1" s="14">
      <c r="A3825" s="24" t="n">
        <v>53613</v>
      </c>
      <c r="B3825" s="24" t="inlineStr">
        <is>
          <t>وريسيگوات   قرص خوراکي 10 mg - آرنا حيات دانش</t>
        </is>
      </c>
      <c r="C3825" s="25">
        <f>IF(COUNTIF('کدهای پیام‌داروساز'!$A$2:$A$2442,A3825)&gt;0,"بله","خیر")</f>
        <v/>
      </c>
    </row>
    <row r="3826" ht="15" customHeight="1" s="14">
      <c r="A3826" s="24" t="n">
        <v>53614</v>
      </c>
      <c r="B3826" s="24" t="inlineStr">
        <is>
          <t>ايمفينزي   تزريقي پرنترال 50 mg/1mL 2.4 mg - کوبل دارو</t>
        </is>
      </c>
      <c r="C3826" s="25">
        <f>IF(COUNTIF('کدهای پیام‌داروساز'!$A$2:$A$2442,A3826)&gt;0,"بله","خیر")</f>
        <v/>
      </c>
    </row>
    <row r="3827" ht="15" customHeight="1" s="14">
      <c r="A3827" s="24" t="n">
        <v>53615</v>
      </c>
      <c r="B3827" s="24" t="inlineStr">
        <is>
          <t>رادوسکن   محلول خوراکي 9 mg/1mL 500 mL - شفيع دارو آريا</t>
        </is>
      </c>
      <c r="C3827" s="25">
        <f>IF(COUNTIF('کدهای پیام‌داروساز'!$A$2:$A$2442,A3827)&gt;0,"بله","خیر")</f>
        <v/>
      </c>
    </row>
    <row r="3828" ht="15" customHeight="1" s="14">
      <c r="A3828" s="24" t="n">
        <v>53616</v>
      </c>
      <c r="B3828" s="24" t="inlineStr">
        <is>
          <t>تريموتايد   محلول تزريقي پرنترال 1.7 mg/0.75 mL  mg - تحقيقاتي وتوليدي سينا ژن</t>
        </is>
      </c>
      <c r="C3828" s="25">
        <f>IF(COUNTIF('کدهای پیام‌داروساز'!$A$2:$A$2442,A3828)&gt;0,"بله","خیر")</f>
        <v/>
      </c>
    </row>
    <row r="3829" ht="15" customHeight="1" s="14">
      <c r="A3829" s="24" t="n">
        <v>53617</v>
      </c>
      <c r="B3829" s="24" t="inlineStr">
        <is>
          <t>تريموتايد   محلول تزريقي پرنترال 2.4 mg/0.75 mL  mg - تحقيقاتي وتوليدي سينا ژن</t>
        </is>
      </c>
      <c r="C3829" s="25">
        <f>IF(COUNTIF('کدهای پیام‌داروساز'!$A$2:$A$2442,A3829)&gt;0,"بله","خیر")</f>
        <v/>
      </c>
    </row>
    <row r="3830" ht="15" customHeight="1" s="14">
      <c r="A3830" s="24" t="n">
        <v>53618</v>
      </c>
      <c r="B3830" s="24" t="inlineStr">
        <is>
          <t>ترامادول   قرص پيوسته رهش خوراکي 225 mg - دارويي و نهاده هاي زاگرس دارو پارسيان</t>
        </is>
      </c>
      <c r="C3830" s="25">
        <f>IF(COUNTIF('کدهای پیام‌داروساز'!$A$2:$A$2442,A3830)&gt;0,"بله","خیر")</f>
        <v/>
      </c>
    </row>
    <row r="3831" ht="15" customHeight="1" s="14">
      <c r="A3831" s="24" t="n">
        <v>53619</v>
      </c>
      <c r="B3831" s="24" t="inlineStr">
        <is>
          <t>ويلوي   پودر لئوفيليزه براي تهيه محلول تزريقي پرنترال 100 mg  mg - بازرگاني سها کيش</t>
        </is>
      </c>
      <c r="C3831" s="25">
        <f>IF(COUNTIF('کدهای پیام‌داروساز'!$A$2:$A$2442,A3831)&gt;0,"بله","خیر")</f>
        <v/>
      </c>
    </row>
    <row r="3832" ht="15" customHeight="1" s="14">
      <c r="A3832" s="24" t="n">
        <v>53620</v>
      </c>
      <c r="B3832" s="24" t="inlineStr">
        <is>
          <t>اسکاي واريسلا   پودر براي تهيه محلول تزريقي پرنترال 2400 [PFU]/0.5 mL  [PFU] - کوبل دارو</t>
        </is>
      </c>
      <c r="C3832" s="25">
        <f>IF(COUNTIF('کدهای پیام‌داروساز'!$A$2:$A$2442,A3832)&gt;0,"بله","خیر")</f>
        <v/>
      </c>
    </row>
    <row r="3833" ht="15" customHeight="1" s="14">
      <c r="A3833" s="24" t="n">
        <v>53621</v>
      </c>
      <c r="B3833" s="24" t="inlineStr">
        <is>
          <t>وراپاميل   تزريقي پرنترال 2.5 mg/1mL 4 mL - داروسازي کاسپين تأمين</t>
        </is>
      </c>
      <c r="C3833" s="25">
        <f>IF(COUNTIF('کدهای پیام‌داروساز'!$A$2:$A$2442,A3833)&gt;0,"بله","خیر")</f>
        <v/>
      </c>
    </row>
    <row r="3834" ht="15" customHeight="1" s="14">
      <c r="A3834" s="24" t="n">
        <v>53622</v>
      </c>
      <c r="B3834" s="24" t="inlineStr">
        <is>
          <t>اناکسيپ   سوسپانسيون خوراکي 125 mg/5 mL 120 mL - رازان فارمد ايرانيان</t>
        </is>
      </c>
      <c r="C3834" s="25">
        <f>IF(COUNTIF('کدهای پیام‌داروساز'!$A$2:$A$2442,A3834)&gt;0,"بله","خیر")</f>
        <v/>
      </c>
    </row>
    <row r="3835" ht="15" customHeight="1" s="14">
      <c r="A3835" s="24" t="n">
        <v>53624</v>
      </c>
      <c r="B3835" s="24" t="inlineStr">
        <is>
          <t>درسونيت   محلول خوراکي 70 mg/75 mL  mg - توليد مواد داروئي درسا دارو</t>
        </is>
      </c>
      <c r="C3835" s="25">
        <f>IF(COUNTIF('کدهای پیام‌داروساز'!$A$2:$A$2442,A3835)&gt;0,"بله","خیر")</f>
        <v/>
      </c>
    </row>
    <row r="3836" ht="15" customHeight="1" s="14">
      <c r="A3836" s="24" t="n">
        <v>53625</v>
      </c>
      <c r="B3836" s="24" t="inlineStr">
        <is>
          <t>ويتراکوي   کپسول خوراکي 100 mg - بازرگاني سها کيش</t>
        </is>
      </c>
      <c r="C3836" s="25">
        <f>IF(COUNTIF('کدهای پیام‌داروساز'!$A$2:$A$2442,A3836)&gt;0,"بله","خیر")</f>
        <v/>
      </c>
    </row>
    <row r="3837" ht="15" customHeight="1" s="14">
      <c r="A3837" s="24" t="n">
        <v>53626</v>
      </c>
      <c r="B3837" s="24" t="inlineStr">
        <is>
          <t>داترووي   پودر لئوفيليزه براي تهيه محلول تزريقي پرنترال 100 mg - بازرگاني سها کيش</t>
        </is>
      </c>
      <c r="C3837" s="25">
        <f>IF(COUNTIF('کدهای پیام‌داروساز'!$A$2:$A$2442,A3837)&gt;0,"بله","خیر")</f>
        <v/>
      </c>
    </row>
    <row r="3838" ht="15" customHeight="1" s="14">
      <c r="A3838" s="24" t="n">
        <v>53628</v>
      </c>
      <c r="B3838" s="24" t="inlineStr">
        <is>
          <t>اوبتوهپ   قرص خوراکي 5 mg - بازرگاني سها کيش</t>
        </is>
      </c>
      <c r="C3838" s="25">
        <f>IF(COUNTIF('کدهای پیام‌داروساز'!$A$2:$A$2442,A3838)&gt;0,"بله","خیر")</f>
        <v/>
      </c>
    </row>
    <row r="3839" ht="15" customHeight="1" s="14">
      <c r="A3839" s="24" t="n">
        <v>53629</v>
      </c>
      <c r="B3839" s="24" t="inlineStr">
        <is>
          <t>ريوسي   قرص خوراکي 0.5 mg - بازرگاني سها کيش</t>
        </is>
      </c>
      <c r="C3839" s="25">
        <f>IF(COUNTIF('کدهای پیام‌داروساز'!$A$2:$A$2442,A3839)&gt;0,"بله","خیر")</f>
        <v/>
      </c>
    </row>
    <row r="3840" ht="15" customHeight="1" s="14">
      <c r="A3840" s="24" t="n">
        <v>53630</v>
      </c>
      <c r="B3840" s="24" t="inlineStr">
        <is>
          <t>کولوموي   محلول غليظ تزريقي پرنترال 1 mg/1mL 2.5 mg - مرز گستران فناوري آينده</t>
        </is>
      </c>
      <c r="C3840" s="25">
        <f>IF(COUNTIF('کدهای پیام‌داروساز'!$A$2:$A$2442,A3840)&gt;0,"بله","خیر")</f>
        <v/>
      </c>
    </row>
    <row r="3841" ht="15" customHeight="1" s="14">
      <c r="A3841" s="24" t="n">
        <v>53631</v>
      </c>
      <c r="B3841" s="24" t="inlineStr">
        <is>
          <t>کولوموي   محلول غليظ تزريقي پرنترال 1 mg/1mL 10 mg - مرز گستران فناوري آينده</t>
        </is>
      </c>
      <c r="C3841" s="25">
        <f>IF(COUNTIF('کدهای پیام‌داروساز'!$A$2:$A$2442,A3841)&gt;0,"بله","خیر")</f>
        <v/>
      </c>
    </row>
    <row r="3842" ht="15" customHeight="1" s="14">
      <c r="A3842" s="24" t="n">
        <v>53632</v>
      </c>
      <c r="B3842" s="24" t="inlineStr">
        <is>
          <t>آزاشين   قرص خوراکي 200 mg - بازرگاني سها کيش</t>
        </is>
      </c>
      <c r="C3842" s="25">
        <f>IF(COUNTIF('کدهای پیام‌داروساز'!$A$2:$A$2442,A3842)&gt;0,"بله","خیر")</f>
        <v/>
      </c>
    </row>
    <row r="3843" ht="15" customHeight="1" s="14">
      <c r="A3843" s="24" t="n">
        <v>53633</v>
      </c>
      <c r="B3843" s="24" t="inlineStr">
        <is>
          <t>آريپيپرازول جنريس   محلول خوراکي 1 mg/1mL 150 mL - سينا پيشگام دارو نوين</t>
        </is>
      </c>
      <c r="C3843" s="25">
        <f>IF(COUNTIF('کدهای پیام‌داروساز'!$A$2:$A$2442,A3843)&gt;0,"بله","خیر")</f>
        <v/>
      </c>
    </row>
    <row r="3844" ht="15" customHeight="1" s="14">
      <c r="A3844" s="24" t="n">
        <v>53634</v>
      </c>
      <c r="B3844" s="24" t="inlineStr">
        <is>
          <t>پريماکين   قرص خوراکي 7.5 mg - ماه داروي حکيم</t>
        </is>
      </c>
      <c r="C3844" s="25">
        <f>IF(COUNTIF('کدهای پیام‌داروساز'!$A$2:$A$2442,A3844)&gt;0,"بله","خیر")</f>
        <v/>
      </c>
    </row>
    <row r="3845" ht="15" customHeight="1" s="14">
      <c r="A3845" s="24" t="n">
        <v>53635</v>
      </c>
      <c r="B3845" s="24" t="inlineStr">
        <is>
          <t>پرتومانيد   قرص خوراکي 200 mg - ماه داروي حکيم</t>
        </is>
      </c>
      <c r="C3845" s="25">
        <f>IF(COUNTIF('کدهای پیام‌داروساز'!$A$2:$A$2442,A3845)&gt;0,"بله","خیر")</f>
        <v/>
      </c>
    </row>
    <row r="3846" ht="15" customHeight="1" s="14">
      <c r="A3846" s="24" t="n">
        <v>53636</v>
      </c>
      <c r="B3846" s="24" t="inlineStr">
        <is>
          <t>فينرنال   قرص خوراکي 10 mg - زيست اروند فارمد</t>
        </is>
      </c>
      <c r="C3846" s="25">
        <f>IF(COUNTIF('کدهای پیام‌داروساز'!$A$2:$A$2442,A3846)&gt;0,"بله","خیر")</f>
        <v/>
      </c>
    </row>
    <row r="3847" ht="15" customHeight="1" s="14">
      <c r="A3847" s="24" t="n">
        <v>53637</v>
      </c>
      <c r="B3847" s="24" t="inlineStr">
        <is>
          <t>فينرنال   قرص خوراکي 20 mg - زيست اروند فارمد</t>
        </is>
      </c>
      <c r="C3847" s="25">
        <f>IF(COUNTIF('کدهای پیام‌داروساز'!$A$2:$A$2442,A3847)&gt;0,"بله","خیر")</f>
        <v/>
      </c>
    </row>
    <row r="3848" ht="15" customHeight="1" s="14">
      <c r="A3848" s="24" t="n">
        <v>53643</v>
      </c>
      <c r="B3848" s="24" t="inlineStr">
        <is>
          <t>نکسوياديم   پودر براي تهيه محلول تزريقي پرنترال 100 mg  mg - آريوژن فارمد</t>
        </is>
      </c>
      <c r="C3848" s="25">
        <f>IF(COUNTIF('کدهای پیام‌داروساز'!$A$2:$A$2442,A3848)&gt;0,"بله","خیر")</f>
        <v/>
      </c>
    </row>
    <row r="3849" ht="15" customHeight="1" s="14">
      <c r="A3849" s="24" t="n">
        <v>53650</v>
      </c>
      <c r="B3849" s="24" t="inlineStr">
        <is>
          <t>پوناکسن   قرص خوراکي 15 mg - بازرگاني سها کيش</t>
        </is>
      </c>
      <c r="C3849" s="25">
        <f>IF(COUNTIF('کدهای پیام‌داروساز'!$A$2:$A$2442,A3849)&gt;0,"بله","خیر")</f>
        <v/>
      </c>
    </row>
    <row r="3850" ht="15" customHeight="1" s="14">
      <c r="A3850" s="24" t="n">
        <v>53651</v>
      </c>
      <c r="B3850" s="24" t="inlineStr">
        <is>
          <t>تنوفووير/دالتگراوير/لاميوودين   قرص خوراکي 300 mg/50 mg/300 mg - ماه داروي حکيم</t>
        </is>
      </c>
      <c r="C3850" s="25">
        <f>IF(COUNTIF('کدهای پیام‌داروساز'!$A$2:$A$2442,A3850)&gt;0,"بله","خیر")</f>
        <v/>
      </c>
    </row>
    <row r="3851" ht="15" customHeight="1" s="14">
      <c r="A3851" s="24" t="n">
        <v>53652</v>
      </c>
      <c r="B3851" s="24" t="inlineStr">
        <is>
          <t>رپيوا   قرص بازشونده در دهان خوراکي 75 mg - داروسازي دکتر عبيدي</t>
        </is>
      </c>
      <c r="C3851" s="25">
        <f>IF(COUNTIF('کدهای پیام‌داروساز'!$A$2:$A$2442,A3851)&gt;0,"بله","خیر")</f>
        <v/>
      </c>
    </row>
    <row r="3852" ht="15" customHeight="1" s="14">
      <c r="A3852" s="24" t="n">
        <v>53653</v>
      </c>
      <c r="B3852" s="24" t="inlineStr">
        <is>
          <t>نيتروس اکسايد   گاز استنشاقي  19000 kg - درمان گاز</t>
        </is>
      </c>
      <c r="C3852" s="25">
        <f>IF(COUNTIF('کدهای پیام‌داروساز'!$A$2:$A$2442,A3852)&gt;0,"بله","خیر")</f>
        <v/>
      </c>
    </row>
    <row r="3853" ht="15" customHeight="1" s="14">
      <c r="A3853" s="24" t="n">
        <v>53654</v>
      </c>
      <c r="B3853" s="24" t="inlineStr">
        <is>
          <t>نيتروس اکسايد   گاز استنشاقي  21000 kg - درمان گاز</t>
        </is>
      </c>
      <c r="C3853" s="25">
        <f>IF(COUNTIF('کدهای پیام‌داروساز'!$A$2:$A$2442,A3853)&gt;0,"بله","خیر")</f>
        <v/>
      </c>
    </row>
    <row r="3854" ht="15" customHeight="1" s="14">
      <c r="A3854" s="24" t="n">
        <v>53655</v>
      </c>
      <c r="B3854" s="24" t="inlineStr">
        <is>
          <t>زوليتاپ   کرم موضعي 1.5 % 30 g - نانو فناوران داروئي الوند</t>
        </is>
      </c>
      <c r="C3854" s="25">
        <f>IF(COUNTIF('کدهای پیام‌داروساز'!$A$2:$A$2442,A3854)&gt;0,"بله","خیر")</f>
        <v/>
      </c>
    </row>
    <row r="3855" ht="15" customHeight="1" s="14">
      <c r="A3855" s="24" t="n">
        <v>53656</v>
      </c>
      <c r="B3855" s="24" t="inlineStr">
        <is>
          <t>اکساري   قرص خوراکي 60 mg - داروسازي دکتر عبيدي</t>
        </is>
      </c>
      <c r="C3855" s="25">
        <f>IF(COUNTIF('کدهای پیام‌داروساز'!$A$2:$A$2442,A3855)&gt;0,"بله","خیر")</f>
        <v/>
      </c>
    </row>
    <row r="3856" ht="15" customHeight="1" s="14">
      <c r="A3856" s="24" t="n">
        <v>53657</v>
      </c>
      <c r="B3856" s="24" t="inlineStr">
        <is>
          <t>تيناگراست   تزريقي پرنترال 600 ug/1mL 0.8 mL - آريا تينا ژن</t>
        </is>
      </c>
      <c r="C3856" s="25">
        <f>IF(COUNTIF('کدهای پیام‌داروساز'!$A$2:$A$2442,A3856)&gt;0,"بله","خیر")</f>
        <v/>
      </c>
    </row>
    <row r="3857" ht="15" customHeight="1" s="14">
      <c r="A3857" s="24" t="n">
        <v>53658</v>
      </c>
      <c r="B3857" s="24" t="inlineStr">
        <is>
          <t>تيسا ژن لکلوسل   سوسپانسيون تزريقي داخل وريدي 1 cells - کارا ياخته تجهيز آزما</t>
        </is>
      </c>
      <c r="C3857" s="25">
        <f>IF(COUNTIF('کدهای پیام‌داروساز'!$A$2:$A$2442,A3857)&gt;0,"بله","خیر")</f>
        <v/>
      </c>
    </row>
    <row r="3858" ht="15" customHeight="1" s="14">
      <c r="A3858" s="24" t="n">
        <v>53659</v>
      </c>
      <c r="B3858" s="24" t="inlineStr">
        <is>
          <t>همودياليز اسيدي غليظ II   محلول غليظ   همودياليز 3710 meq/70 meq/35 meq/87.5 meq/70 g/122.5 meq/3902.5 meq/1L 4710 mL - اوزان</t>
        </is>
      </c>
      <c r="C3858" s="25">
        <f>IF(COUNTIF('کدهای پیام‌داروساز'!$A$2:$A$2442,A3858)&gt;0,"بله","خیر")</f>
        <v/>
      </c>
    </row>
    <row r="3859" ht="15" customHeight="1" s="14">
      <c r="A3859" s="24" t="n">
        <v>53660</v>
      </c>
      <c r="B3859" s="24" t="inlineStr">
        <is>
          <t>ويراپلاسل   سوسپانسيون تزريقي پرنترال 2000000 cm2/1mL 5 cells - ويرا سلول</t>
        </is>
      </c>
      <c r="C3859" s="25">
        <f>IF(COUNTIF('کدهای پیام‌داروساز'!$A$2:$A$2442,A3859)&gt;0,"بله","خیر")</f>
        <v/>
      </c>
    </row>
    <row r="3860" ht="15" customHeight="1" s="14">
      <c r="A3860" s="24" t="n">
        <v>53661</v>
      </c>
      <c r="B3860" s="24" t="inlineStr">
        <is>
          <t>اسلتاميوير   پودر براي تهيه محلول خوراکي 60 mg/5 mL 60 g - داروسازي امين</t>
        </is>
      </c>
      <c r="C3860" s="25">
        <f>IF(COUNTIF('کدهای پیام‌داروساز'!$A$2:$A$2442,A3860)&gt;0,"بله","خیر")</f>
        <v/>
      </c>
    </row>
    <row r="3861" ht="15" customHeight="1" s="14">
      <c r="A3861" s="24" t="n">
        <v>53662</v>
      </c>
      <c r="B3861" s="24" t="inlineStr">
        <is>
          <t>رنيودرم سل   سوسپانسيون تزريقي پرنترال 30000000 cells/3mL  cells - سل تک فارمد</t>
        </is>
      </c>
      <c r="C3861" s="25">
        <f>IF(COUNTIF('کدهای پیام‌داروساز'!$A$2:$A$2442,A3861)&gt;0,"بله","خیر")</f>
        <v/>
      </c>
    </row>
    <row r="3862" ht="15" customHeight="1" s="14">
      <c r="A3862" s="24" t="n">
        <v>53663</v>
      </c>
      <c r="B3862" s="24" t="inlineStr">
        <is>
          <t>وارتوسل   سوسپانسيون تزريقي پرنترال 30000000 cells/3mL  cells - سل تک فارمد</t>
        </is>
      </c>
      <c r="C3862" s="25">
        <f>IF(COUNTIF('کدهای پیام‌داروساز'!$A$2:$A$2442,A3862)&gt;0,"بله","خیر")</f>
        <v/>
      </c>
    </row>
    <row r="3863" ht="15" customHeight="1" s="14">
      <c r="A3863" s="24" t="n">
        <v>53664</v>
      </c>
      <c r="B3863" s="24" t="inlineStr">
        <is>
          <t>ربلوزيل   پودر براي تهيه محلول تزريقي پرنترال 25 mg  mg - کي بي سي</t>
        </is>
      </c>
      <c r="C3863" s="25">
        <f>IF(COUNTIF('کدهای پیام‌داروساز'!$A$2:$A$2442,A3863)&gt;0,"بله","خیر")</f>
        <v/>
      </c>
    </row>
    <row r="3864" ht="15" customHeight="1" s="14">
      <c r="A3864" s="24" t="n">
        <v>53665</v>
      </c>
      <c r="B3864" s="24" t="inlineStr">
        <is>
          <t>ديکلوفناک پتاسيم   پودر براي تهيه محلول خوراکي 50 mg  mg - بارن فارمد پارسيان</t>
        </is>
      </c>
      <c r="C3864" s="25">
        <f>IF(COUNTIF('کدهای پیام‌داروساز'!$A$2:$A$2442,A3864)&gt;0,"بله","خیر")</f>
        <v/>
      </c>
    </row>
    <row r="3865" ht="15" customHeight="1" s="14">
      <c r="A3865" s="24" t="n">
        <v>53666</v>
      </c>
      <c r="B3865" s="24" t="inlineStr">
        <is>
          <t>بلينسيتو   پودر براي تهيه فرآورده تزريقي پرنترال 35 ug  ug - رايان دارو ايرانيان</t>
        </is>
      </c>
      <c r="C3865" s="25">
        <f>IF(COUNTIF('کدهای پیام‌داروساز'!$A$2:$A$2442,A3865)&gt;0,"بله","خیر")</f>
        <v/>
      </c>
    </row>
    <row r="3866" ht="15" customHeight="1" s="14">
      <c r="A3866" s="24" t="n">
        <v>53667</v>
      </c>
      <c r="B3866" s="24" t="inlineStr">
        <is>
          <t>بتامتازون   لوسيون موضعي 0.1 % 30 mL - کيمياکالاي رازي</t>
        </is>
      </c>
      <c r="C3866" s="25">
        <f>IF(COUNTIF('کدهای پیام‌داروساز'!$A$2:$A$2442,A3866)&gt;0,"بله","خیر")</f>
        <v/>
      </c>
    </row>
    <row r="3867" ht="15" customHeight="1" s="14">
      <c r="A3867" s="24" t="n">
        <v>53668</v>
      </c>
      <c r="B3867" s="24" t="inlineStr">
        <is>
          <t>کلوتريمازول   محلول موضعي 1 % 30 mL - کيمياکالاي رازي</t>
        </is>
      </c>
      <c r="C3867" s="25">
        <f>IF(COUNTIF('کدهای پیام‌داروساز'!$A$2:$A$2442,A3867)&gt;0,"بله","خیر")</f>
        <v/>
      </c>
    </row>
    <row r="3868" ht="15" customHeight="1" s="14">
      <c r="A3868" s="24" t="n">
        <v>53669</v>
      </c>
      <c r="B3868" s="24" t="inlineStr">
        <is>
          <t>کورتيکووُيا   شامپو موضعي 0.05 % 150 mL - به سازان پژوهان اميد آريا</t>
        </is>
      </c>
      <c r="C3868" s="25">
        <f>IF(COUNTIF('کدهای پیام‌داروساز'!$A$2:$A$2442,A3868)&gt;0,"بله","خیر")</f>
        <v/>
      </c>
    </row>
    <row r="3869" ht="15" customHeight="1" s="14">
      <c r="A3869" s="24" t="n">
        <v>53670</v>
      </c>
      <c r="B3869" s="24" t="inlineStr">
        <is>
          <t>کوآگيت   پودر لئوفيليزه براي تهيه فرآورده تزريقي پرنترال 250 [iU]  [iU] - آريوژن فارمد</t>
        </is>
      </c>
      <c r="C3869" s="25">
        <f>IF(COUNTIF('کدهای پیام‌داروساز'!$A$2:$A$2442,A3869)&gt;0,"بله","خیر")</f>
        <v/>
      </c>
    </row>
    <row r="3870" ht="15" customHeight="1" s="14">
      <c r="A3870" s="24" t="n">
        <v>53671</v>
      </c>
      <c r="B3870" s="24" t="inlineStr">
        <is>
          <t>کتامين   تزريقي پرنترال 50 mg/1mL 5 mL - تحقيقاتي و توليدي واريان فارمد</t>
        </is>
      </c>
      <c r="C3870" s="25">
        <f>IF(COUNTIF('کدهای پیام‌داروساز'!$A$2:$A$2442,A3870)&gt;0,"بله","خیر")</f>
        <v/>
      </c>
    </row>
    <row r="3871" ht="15" customHeight="1" s="14">
      <c r="A3871" s="24" t="n">
        <v>53672</v>
      </c>
      <c r="B3871" s="24" t="inlineStr">
        <is>
          <t>وُزوري   پودر لئوفيليزه براي تهيه محلول تزريقي پرنترال 0.56 mg  mg - زيست دارو دانش</t>
        </is>
      </c>
      <c r="C3871" s="25">
        <f>IF(COUNTIF('کدهای پیام‌داروساز'!$A$2:$A$2442,A3871)&gt;0,"بله","خیر")</f>
        <v/>
      </c>
    </row>
    <row r="3872" ht="15" customHeight="1" s="14">
      <c r="A3872" s="24" t="n">
        <v>53674</v>
      </c>
      <c r="B3872" s="24" t="inlineStr">
        <is>
          <t>پنفورزا   کپسول خوراکي 10 mg - داروسازي دکتر عبيدي</t>
        </is>
      </c>
      <c r="C3872" s="25">
        <f>IF(COUNTIF('کدهای پیام‌داروساز'!$A$2:$A$2442,A3872)&gt;0,"بله","خیر")</f>
        <v/>
      </c>
    </row>
    <row r="3873" ht="15" customHeight="1" s="14">
      <c r="A3873" s="24" t="n">
        <v>53675</v>
      </c>
      <c r="B3873" s="24" t="inlineStr">
        <is>
          <t>پنفورزا   کپسول خوراکي 15 mg - داروسازي دکتر عبيدي</t>
        </is>
      </c>
      <c r="C3873" s="25">
        <f>IF(COUNTIF('کدهای پیام‌داروساز'!$A$2:$A$2442,A3873)&gt;0,"بله","خیر")</f>
        <v/>
      </c>
    </row>
    <row r="3874" ht="15" customHeight="1" s="14">
      <c r="A3874" s="24" t="n">
        <v>53676</v>
      </c>
      <c r="B3874" s="24" t="inlineStr">
        <is>
          <t>کيوالسودي   محلول تزريقي پرنترال 6.7 mg/1mL 15 mg - مرز گستران فناوري آينده</t>
        </is>
      </c>
      <c r="C3874" s="25">
        <f>IF(COUNTIF('کدهای پیام‌داروساز'!$A$2:$A$2442,A3874)&gt;0,"بله","خیر")</f>
        <v/>
      </c>
    </row>
    <row r="3875" ht="15" customHeight="1" s="14">
      <c r="A3875" s="24" t="n">
        <v>53677</v>
      </c>
      <c r="B3875" s="24" t="inlineStr">
        <is>
          <t>پرميلاتيک 10/20   قرص خوراکي - زيست اروند فارمد</t>
        </is>
      </c>
      <c r="C3875" s="25">
        <f>IF(COUNTIF('کدهای پیام‌داروساز'!$A$2:$A$2442,A3875)&gt;0,"بله","خیر")</f>
        <v/>
      </c>
    </row>
    <row r="3876" ht="15" customHeight="1" s="14">
      <c r="A3876" s="24" t="n">
        <v>53678</v>
      </c>
      <c r="B3876" s="24" t="inlineStr">
        <is>
          <t>کينوترم   قرص خوراکي 45 mg - زيست اروند فارمد</t>
        </is>
      </c>
      <c r="C3876" s="25">
        <f>IF(COUNTIF('کدهای پیام‌داروساز'!$A$2:$A$2442,A3876)&gt;0,"بله","خیر")</f>
        <v/>
      </c>
    </row>
    <row r="3877" ht="15" customHeight="1" s="14">
      <c r="A3877" s="24" t="n">
        <v>53679</v>
      </c>
      <c r="B3877" s="24" t="inlineStr">
        <is>
          <t>آفا مدرول   پودر براي تهيه محلول تزريقي پرنترال 125 mg  mg - آفا شيمي</t>
        </is>
      </c>
      <c r="C3877" s="25">
        <f>IF(COUNTIF('کدهای پیام‌داروساز'!$A$2:$A$2442,A3877)&gt;0,"بله","خیر")</f>
        <v/>
      </c>
    </row>
    <row r="3878" ht="15" customHeight="1" s="14">
      <c r="A3878" s="24" t="n">
        <v>53680</v>
      </c>
      <c r="B3878" s="24" t="inlineStr">
        <is>
          <t>زايناکورت   محلول خوراکي 15 mg/5mL 120 mL - اشبال شيمي</t>
        </is>
      </c>
      <c r="C3878" s="25">
        <f>IF(COUNTIF('کدهای پیام‌داروساز'!$A$2:$A$2442,A3878)&gt;0,"بله","خیر")</f>
        <v/>
      </c>
    </row>
    <row r="3879" ht="15" customHeight="1" s="14">
      <c r="A3879" s="24" t="n">
        <v>53681</v>
      </c>
      <c r="B3879" s="24" t="inlineStr">
        <is>
          <t>اونتوزري   قرص خوراکي 200 mg - مرز گستران فناوري آينده</t>
        </is>
      </c>
      <c r="C3879" s="25">
        <f>IF(COUNTIF('کدهای پیام‌داروساز'!$A$2:$A$2442,A3879)&gt;0,"بله","خیر")</f>
        <v/>
      </c>
    </row>
    <row r="3880" ht="15" customHeight="1" s="14">
      <c r="A3880" s="24" t="n">
        <v>53683</v>
      </c>
      <c r="B3880" s="24" t="inlineStr">
        <is>
          <t>نووترتين   پودر براي تهيه محلول تزريقي پرنترال 2500 TU/ML  [iU] - نوو نور ديسک پارس</t>
        </is>
      </c>
      <c r="C3880" s="25">
        <f>IF(COUNTIF('کدهای پیام‌داروساز'!$A$2:$A$2442,A3880)&gt;0,"بله","خیر")</f>
        <v/>
      </c>
    </row>
    <row r="3881" ht="15" customHeight="1" s="14">
      <c r="A3881" s="24" t="n">
        <v>53684</v>
      </c>
      <c r="B3881" s="24" t="inlineStr">
        <is>
          <t>لوسيپک   کپسول خوراکي 100 mg - مرز گستران فناوري آينده</t>
        </is>
      </c>
      <c r="C3881" s="25">
        <f>IF(COUNTIF('کدهای پیام‌داروساز'!$A$2:$A$2442,A3881)&gt;0,"بله","خیر")</f>
        <v/>
      </c>
    </row>
    <row r="3882" ht="15" customHeight="1" s="14">
      <c r="A3882" s="24" t="n">
        <v>53685</v>
      </c>
      <c r="B3882" s="24" t="inlineStr">
        <is>
          <t>اونيويد   تزريقي پرنترال 4.3 mg/1mL 10 mg - مرز گستران فناوري آينده</t>
        </is>
      </c>
      <c r="C3882" s="25">
        <f>IF(COUNTIF('کدهای پیام‌داروساز'!$A$2:$A$2442,A3882)&gt;0,"بله","خیر")</f>
        <v/>
      </c>
    </row>
    <row r="3883" ht="15" customHeight="1" s="14">
      <c r="A3883" s="24" t="n">
        <v>53686</v>
      </c>
      <c r="B3883" s="24" t="inlineStr">
        <is>
          <t>َسارکليسا   تزريقي پرنترال 100 mg/1mL  mg - مرز گستران فناوري آينده</t>
        </is>
      </c>
      <c r="C3883" s="25">
        <f>IF(COUNTIF('کدهای پیام‌داروساز'!$A$2:$A$2442,A3883)&gt;0,"بله","خیر")</f>
        <v/>
      </c>
    </row>
    <row r="3884" ht="15" customHeight="1" s="14">
      <c r="A3884" s="24" t="n">
        <v>53687</v>
      </c>
      <c r="B3884" s="24" t="inlineStr">
        <is>
          <t>لوسيمومل   قرص خوراکي 100 mg - مرز گستران فناوري آينده</t>
        </is>
      </c>
      <c r="C3884" s="25">
        <f>IF(COUNTIF('کدهای پیام‌داروساز'!$A$2:$A$2442,A3884)&gt;0,"بله","خیر")</f>
        <v/>
      </c>
    </row>
    <row r="3885" ht="15" customHeight="1" s="14">
      <c r="A3885" s="24" t="n">
        <v>53688</v>
      </c>
      <c r="B3885" s="24" t="inlineStr">
        <is>
          <t>نفروترنس   کپسول خوراکي 840 mg - تهران الکتريک</t>
        </is>
      </c>
      <c r="C3885" s="25">
        <f>IF(COUNTIF('کدهای پیام‌داروساز'!$A$2:$A$2442,A3885)&gt;0,"بله","خیر")</f>
        <v/>
      </c>
    </row>
    <row r="3886" ht="15" customHeight="1" s="14">
      <c r="A3886" s="24" t="n">
        <v>53689</v>
      </c>
      <c r="B3886" s="24" t="inlineStr">
        <is>
          <t>کلسيم فولينات   پودر براي تهيه فرآورده تزريقي پرنترال 50 mg  mg - تچرا دارو</t>
        </is>
      </c>
      <c r="C3886" s="25">
        <f>IF(COUNTIF('کدهای پیام‌داروساز'!$A$2:$A$2442,A3886)&gt;0,"بله","خیر")</f>
        <v/>
      </c>
    </row>
    <row r="3887" ht="15" customHeight="1" s="14">
      <c r="A3887" s="24" t="n">
        <v>53690</v>
      </c>
      <c r="B3887" s="24" t="inlineStr">
        <is>
          <t>کلسيم فولينات   پودر براي تهيه فرآورده تزريقي پرنترال 350 mg  mg - تچرا دارو</t>
        </is>
      </c>
      <c r="C3887" s="25">
        <f>IF(COUNTIF('کدهای پیام‌داروساز'!$A$2:$A$2442,A3887)&gt;0,"بله","خیر")</f>
        <v/>
      </c>
    </row>
    <row r="3888" ht="15" customHeight="1" s="14">
      <c r="A3888" s="24" t="n">
        <v>53693</v>
      </c>
      <c r="B3888" s="24" t="inlineStr">
        <is>
          <t>الوکيد   محلول تزريقي پرنترال 2.5 mg/1mL 1 mg - نانو فناوران داروئي الوند</t>
        </is>
      </c>
      <c r="C3888" s="25">
        <f>IF(COUNTIF('کدهای پیام‌داروساز'!$A$2:$A$2442,A3888)&gt;0,"بله","خیر")</f>
        <v/>
      </c>
    </row>
    <row r="3889" ht="15" customHeight="1" s="14">
      <c r="A3889" s="24" t="n">
        <v>53696</v>
      </c>
      <c r="B3889" s="24" t="inlineStr">
        <is>
          <t>اينوگا ساستنا   سوسپانسيون تزريقي پيوسته رهش پرنترال 78 mg/0.5 mL  mL - بهستان دارو</t>
        </is>
      </c>
      <c r="C3889" s="25">
        <f>IF(COUNTIF('کدهای پیام‌داروساز'!$A$2:$A$2442,A3889)&gt;0,"بله","خیر")</f>
        <v/>
      </c>
    </row>
    <row r="3890" ht="15" customHeight="1" s="14">
      <c r="A3890" s="24" t="n">
        <v>53697</v>
      </c>
      <c r="B3890" s="24" t="inlineStr">
        <is>
          <t>اينوگا ساستنا   سوسپانسيون تزريقي پيوسته رهش پرنترال 156 mg/1 mL  mL - بهستان دارو</t>
        </is>
      </c>
      <c r="C3890" s="25">
        <f>IF(COUNTIF('کدهای پیام‌داروساز'!$A$2:$A$2442,A3890)&gt;0,"بله","خیر")</f>
        <v/>
      </c>
    </row>
    <row r="3891" ht="15" customHeight="1" s="14">
      <c r="A3891" s="24" t="n">
        <v>53698</v>
      </c>
      <c r="B3891" s="24" t="inlineStr">
        <is>
          <t>اينوگا ساستنا   سوسپانسيون تزريقي پيوسته رهش پرنترال 234 mg/1.5 mL  mL - بهستان دارو</t>
        </is>
      </c>
      <c r="C3891" s="25">
        <f>IF(COUNTIF('کدهای پیام‌داروساز'!$A$2:$A$2442,A3891)&gt;0,"بله","خیر")</f>
        <v/>
      </c>
    </row>
    <row r="3892" ht="15" customHeight="1" s="14">
      <c r="A3892" s="24" t="n">
        <v>53700</v>
      </c>
      <c r="B3892" s="24" t="inlineStr">
        <is>
          <t>الاهيري   محلول غليظ تزريقي پرنترال 5 mg/1mL 20 mg - مرز گستران فناوري آينده</t>
        </is>
      </c>
      <c r="C3892" s="25">
        <f>IF(COUNTIF('کدهای پیام‌داروساز'!$A$2:$A$2442,A3892)&gt;0,"بله","خیر")</f>
        <v/>
      </c>
    </row>
    <row r="3893" ht="15" customHeight="1" s="14">
      <c r="A3893" s="24" t="n">
        <v>53701</v>
      </c>
      <c r="B3893" s="24" t="inlineStr">
        <is>
          <t>پريکان   محلول خوراکي 25 mg/5 mL 60 mL - رازان فارمد ايرانيان</t>
        </is>
      </c>
      <c r="C3893" s="25">
        <f>IF(COUNTIF('کدهای پیام‌داروساز'!$A$2:$A$2442,A3893)&gt;0,"بله","خیر")</f>
        <v/>
      </c>
    </row>
    <row r="3894" ht="15" customHeight="1" s="14">
      <c r="A3894" s="24" t="n">
        <v>53704</v>
      </c>
      <c r="B3894" s="24" t="inlineStr">
        <is>
          <t>تريموتايد   محلول تزريقي پرنترال 0.25 mg/0.5 mL  mg - تحقيقاتي وتوليدي سينا ژن</t>
        </is>
      </c>
      <c r="C3894" s="25">
        <f>IF(COUNTIF('کدهای پیام‌داروساز'!$A$2:$A$2442,A3894)&gt;0,"بله","خیر")</f>
        <v/>
      </c>
    </row>
    <row r="3895" ht="15" customHeight="1" s="14">
      <c r="A3895" s="24" t="n">
        <v>53705</v>
      </c>
      <c r="B3895" s="24" t="inlineStr">
        <is>
          <t>تريموتايد   محلول تزريقي پرنترال 0.5 mg/0.5 mL  mg - تحقيقاتي وتوليدي سينا ژن</t>
        </is>
      </c>
      <c r="C3895" s="25">
        <f>IF(COUNTIF('کدهای پیام‌داروساز'!$A$2:$A$2442,A3895)&gt;0,"بله","خیر")</f>
        <v/>
      </c>
    </row>
    <row r="3896" ht="15" customHeight="1" s="14">
      <c r="A3896" s="24" t="n">
        <v>53706</v>
      </c>
      <c r="B3896" s="24" t="inlineStr">
        <is>
          <t>تريموتايد   محلول تزريقي پرنترال 1 mg/0.5 mL  mg - تحقيقاتي وتوليدي سينا ژن</t>
        </is>
      </c>
      <c r="C3896" s="25">
        <f>IF(COUNTIF('کدهای پیام‌داروساز'!$A$2:$A$2442,A3896)&gt;0,"بله","خیر")</f>
        <v/>
      </c>
    </row>
    <row r="3897" ht="15" customHeight="1" s="14">
      <c r="A3897" s="24" t="n">
        <v>53707</v>
      </c>
      <c r="B3897" s="24" t="inlineStr">
        <is>
          <t>فوزان-بي   کرم موضعي 1 mg/20 mg/1 g 15 g - دارو سازي بهوزان</t>
        </is>
      </c>
      <c r="C3897" s="25">
        <f>IF(COUNTIF('کدهای پیام‌داروساز'!$A$2:$A$2442,A3897)&gt;0,"بله","خیر")</f>
        <v/>
      </c>
    </row>
    <row r="3898" ht="15" customHeight="1" s="14">
      <c r="A3898" s="24" t="n">
        <v>53708</v>
      </c>
      <c r="B3898" s="24" t="inlineStr">
        <is>
          <t>ويگووي   محلول تزريقي زير جلدي 1 mg/1.5 mL  mL - نوو نور ديسک پارس</t>
        </is>
      </c>
      <c r="C3898" s="25">
        <f>IF(COUNTIF('کدهای پیام‌داروساز'!$A$2:$A$2442,A3898)&gt;0,"بله","خیر")</f>
        <v/>
      </c>
    </row>
    <row r="3899" ht="15" customHeight="1" s="14">
      <c r="A3899" s="24" t="n">
        <v>53709</v>
      </c>
      <c r="B3899" s="24" t="inlineStr">
        <is>
          <t>ويگووي   محلول تزريقي زير جلدي 6.8 mg/3 mL  mL - نوو نور ديسک پارس</t>
        </is>
      </c>
      <c r="C3899" s="25">
        <f>IF(COUNTIF('کدهای پیام‌داروساز'!$A$2:$A$2442,A3899)&gt;0,"بله","خیر")</f>
        <v/>
      </c>
    </row>
    <row r="3900" ht="15" customHeight="1" s="14">
      <c r="A3900" s="24" t="n">
        <v>53710</v>
      </c>
      <c r="B3900" s="24" t="inlineStr">
        <is>
          <t>ويگووي   محلول تزريقي زير جلدي 9.6 mg/3 mL  mL - نوو نور ديسک پارس</t>
        </is>
      </c>
      <c r="C3900" s="25">
        <f>IF(COUNTIF('کدهای پیام‌داروساز'!$A$2:$A$2442,A3900)&gt;0,"بله","خیر")</f>
        <v/>
      </c>
    </row>
    <row r="3901" ht="15" customHeight="1" s="14">
      <c r="A3901" s="24" t="n">
        <v>53711</v>
      </c>
      <c r="B3901" s="24" t="inlineStr">
        <is>
          <t>ايميونيت   پودر لئوفيليزه براي تهيه محلول تزريقي پرنترال 250 [iU]/190 [iU]  [iU] - کار و انديشه</t>
        </is>
      </c>
      <c r="C3901" s="25">
        <f>IF(COUNTIF('کدهای پیام‌داروساز'!$A$2:$A$2442,A3901)&gt;0,"بله","خیر")</f>
        <v/>
      </c>
    </row>
    <row r="3902" ht="15" customHeight="1" s="14">
      <c r="A3902" s="24" t="n">
        <v>53712</v>
      </c>
      <c r="B3902" s="24" t="inlineStr">
        <is>
          <t>آفانات   قرص خوراکي 40 mg - مرز گستران فناوري آينده</t>
        </is>
      </c>
      <c r="C3902" s="25">
        <f>IF(COUNTIF('کدهای پیام‌داروساز'!$A$2:$A$2442,A3902)&gt;0,"بله","خیر")</f>
        <v/>
      </c>
    </row>
    <row r="3903" ht="15" customHeight="1" s="14">
      <c r="A3903" s="24" t="n">
        <v>53713</v>
      </c>
      <c r="B3903" s="24" t="inlineStr">
        <is>
          <t>تکوايلي   محلول تزريقي پرنترال 90 mg/1 mL 1.7 mg - مرز گستران فناوري آينده</t>
        </is>
      </c>
      <c r="C3903" s="25">
        <f>IF(COUNTIF('کدهای پیام‌داروساز'!$A$2:$A$2442,A3903)&gt;0,"بله","خیر")</f>
        <v/>
      </c>
    </row>
    <row r="3904" ht="15" customHeight="1" s="14">
      <c r="A3904" s="24" t="n">
        <v>53714</v>
      </c>
      <c r="B3904" s="24" t="inlineStr">
        <is>
          <t>آريکسنت   محلول تزريقي زير جلدي /1.14 mL  mg - آريوژن فارمد</t>
        </is>
      </c>
      <c r="C3904" s="25">
        <f>IF(COUNTIF('کدهای پیام‌داروساز'!$A$2:$A$2442,A3904)&gt;0,"بله","خیر")</f>
        <v/>
      </c>
    </row>
    <row r="3905" ht="15" customHeight="1" s="14">
      <c r="A3905" s="24" t="n">
        <v>53715</v>
      </c>
      <c r="B3905" s="24" t="inlineStr">
        <is>
          <t>آرو-ليدوکائين   تزريقي پرنترال 2 % 20 mg - دارو درمان آرنگ</t>
        </is>
      </c>
      <c r="C3905" s="25">
        <f>IF(COUNTIF('کدهای پیام‌داروساز'!$A$2:$A$2442,A3905)&gt;0,"بله","خیر")</f>
        <v/>
      </c>
    </row>
    <row r="3906" ht="15" customHeight="1" s="14">
      <c r="A3906" s="24" t="n">
        <v>53716</v>
      </c>
      <c r="B3906" s="24" t="inlineStr">
        <is>
          <t>هبيزون   قرص خوراکي 5 mg - داروسازي دکتر عبيدي</t>
        </is>
      </c>
      <c r="C3906" s="25">
        <f>IF(COUNTIF('کدهای پیام‌داروساز'!$A$2:$A$2442,A3906)&gt;0,"بله","خیر")</f>
        <v/>
      </c>
    </row>
    <row r="3907" ht="15" customHeight="1" s="14">
      <c r="A3907" s="24" t="n">
        <v>53717</v>
      </c>
      <c r="B3907" s="24" t="inlineStr">
        <is>
          <t>ورتيوکستين   قرص خوراکي 10 mg - روناک</t>
        </is>
      </c>
      <c r="C3907" s="25">
        <f>IF(COUNTIF('کدهای پیام‌داروساز'!$A$2:$A$2442,A3907)&gt;0,"بله","خیر")</f>
        <v/>
      </c>
    </row>
    <row r="3908" ht="15" customHeight="1" s="14">
      <c r="A3908" s="24" t="n">
        <v>53718</v>
      </c>
      <c r="B3908" s="24" t="inlineStr">
        <is>
          <t>ورتيوکستين   قرص خوراکي 20 mg - روناک</t>
        </is>
      </c>
      <c r="C3908" s="25">
        <f>IF(COUNTIF('کدهای پیام‌داروساز'!$A$2:$A$2442,A3908)&gt;0,"بله","خیر")</f>
        <v/>
      </c>
    </row>
    <row r="3909" ht="15" customHeight="1" s="14">
      <c r="A3909" s="24" t="n">
        <v>53720</v>
      </c>
      <c r="B3909" s="24" t="inlineStr">
        <is>
          <t>ام گاليتي   محلول تزريقي زير جلدي 120 mg/1mL  mg - تحقيقاتي وتوليدي سينا ژن</t>
        </is>
      </c>
      <c r="C3909" s="25">
        <f>IF(COUNTIF('کدهای پیام‌داروساز'!$A$2:$A$2442,A3909)&gt;0,"بله","خیر")</f>
        <v/>
      </c>
    </row>
    <row r="3910" ht="15" customHeight="1" s="14">
      <c r="A3910" s="24" t="n">
        <v>53721</v>
      </c>
      <c r="B3910" s="24" t="inlineStr">
        <is>
          <t>فروونتا   تزريقي پرنترال 100 mg/1mL 10 mL - زيست اروند فارمد</t>
        </is>
      </c>
      <c r="C3910" s="25">
        <f>IF(COUNTIF('کدهای پیام‌داروساز'!$A$2:$A$2442,A3910)&gt;0,"بله","خیر")</f>
        <v/>
      </c>
    </row>
    <row r="3911" ht="15" customHeight="1" s="14">
      <c r="A3911" s="24" t="n">
        <v>53722</v>
      </c>
      <c r="B3911" s="24" t="inlineStr">
        <is>
          <t>اچ اي دي پي   کيت پرنترال 40 mg  mg - پارس ايزوتوپ</t>
        </is>
      </c>
      <c r="C3911" s="25">
        <f>IF(COUNTIF('کدهای پیام‌داروساز'!$A$2:$A$2442,A3911)&gt;0,"بله","خیر")</f>
        <v/>
      </c>
    </row>
    <row r="3912" ht="15" customHeight="1" s="14">
      <c r="A3912" s="24" t="n">
        <v>53723</v>
      </c>
      <c r="B3912" s="24" t="inlineStr">
        <is>
          <t>ايميگو   تزريقي پرنترال 100 mg/1mL 200 mL - هيات امناي صرفه جويي ارزي در معالجه بيماران</t>
        </is>
      </c>
      <c r="C3912" s="25">
        <f>IF(COUNTIF('کدهای پیام‌داروساز'!$A$2:$A$2442,A3912)&gt;0,"بله","خیر")</f>
        <v/>
      </c>
    </row>
    <row r="3913" ht="15" customHeight="1" s="14">
      <c r="A3913" s="24" t="n">
        <v>53727</v>
      </c>
      <c r="B3913" s="24" t="inlineStr">
        <is>
          <t>اکالوکسن   کپسول خوراکي 100 mg - مرز گستران فناوري آينده</t>
        </is>
      </c>
      <c r="C3913" s="25">
        <f>IF(COUNTIF('کدهای پیام‌داروساز'!$A$2:$A$2442,A3913)&gt;0,"بله","خیر")</f>
        <v/>
      </c>
    </row>
    <row r="3914" ht="15" customHeight="1" s="14">
      <c r="A3914" s="24" t="n">
        <v>53728</v>
      </c>
      <c r="B3914" s="24" t="inlineStr">
        <is>
          <t>استيل سيستئين   تزريقي پرنترال 200 mg/1mL 1 mg - فرا درمان آذربايجان</t>
        </is>
      </c>
      <c r="C3914" s="25">
        <f>IF(COUNTIF('کدهای پیام‌داروساز'!$A$2:$A$2442,A3914)&gt;0,"بله","خیر")</f>
        <v/>
      </c>
    </row>
    <row r="3915" ht="15" customHeight="1" s="14">
      <c r="A3915" s="24" t="n">
        <v>53729</v>
      </c>
      <c r="B3915" s="24" t="inlineStr">
        <is>
          <t>نيتروگليسيرين   تزريقي پرنترال 5 mg/1mL 5 mL - فرا درمان آذربايجان</t>
        </is>
      </c>
      <c r="C3915" s="25">
        <f>IF(COUNTIF('کدهای پیام‌داروساز'!$A$2:$A$2442,A3915)&gt;0,"بله","خیر")</f>
        <v/>
      </c>
    </row>
    <row r="3916" ht="15" customHeight="1" s="14">
      <c r="A3916" s="24" t="n">
        <v>53730</v>
      </c>
      <c r="B3916" s="24" t="inlineStr">
        <is>
          <t>سلول هاي آلوژن کشنده طبيعي مشتق از خون محيطي انسان سالم   سوسپانسيون تزريقي پرنترال 200000000 cells/1 mL  cells - کيان ايمن سلول</t>
        </is>
      </c>
      <c r="C3916" s="25">
        <f>IF(COUNTIF('کدهای پیام‌داروساز'!$A$2:$A$2442,A3916)&gt;0,"بله","خیر")</f>
        <v/>
      </c>
    </row>
    <row r="3917" ht="15" customHeight="1" s="14">
      <c r="A3917" s="24" t="n">
        <v>53731</v>
      </c>
      <c r="B3917" s="24" t="inlineStr">
        <is>
          <t>آزلائيک اسيد   ژل موضعي 15 % 30 g - پارس دارو</t>
        </is>
      </c>
      <c r="C3917" s="25">
        <f>IF(COUNTIF('کدهای پیام‌داروساز'!$A$2:$A$2442,A3917)&gt;0,"بله","خیر")</f>
        <v/>
      </c>
    </row>
    <row r="3918" ht="15" customHeight="1" s="14">
      <c r="A3918" s="24" t="n">
        <v>53738</v>
      </c>
      <c r="B3918" s="24" t="inlineStr">
        <is>
          <t>متيل پردنيزولون سديم سوکسينات   پودر براي تهيه محلول تزريقي پرنترال 40 mg  mg - فرا درمان آذربايجان</t>
        </is>
      </c>
      <c r="C3918" s="25">
        <f>IF(COUNTIF('کدهای پیام‌داروساز'!$A$2:$A$2442,A3918)&gt;0,"بله","خیر")</f>
        <v/>
      </c>
    </row>
    <row r="3919" ht="15" customHeight="1" s="14">
      <c r="A3919" s="24" t="n">
        <v>53739</v>
      </c>
      <c r="B3919" s="24" t="inlineStr">
        <is>
          <t>تالازوپاريب   کپسول خوراکي 0.5 mg - مرز گستران فناوري آينده</t>
        </is>
      </c>
      <c r="C3919" s="25">
        <f>IF(COUNTIF('کدهای پیام‌داروساز'!$A$2:$A$2442,A3919)&gt;0,"بله","خیر")</f>
        <v/>
      </c>
    </row>
    <row r="3920" ht="15" customHeight="1" s="14">
      <c r="A3920" s="24" t="n">
        <v>53740</v>
      </c>
      <c r="B3920" s="24" t="inlineStr">
        <is>
          <t>لوسيزونگر   قرص خوراکي 60 mg - مرز گستران فناوري آينده</t>
        </is>
      </c>
      <c r="C3920" s="25">
        <f>IF(COUNTIF('کدهای پیام‌داروساز'!$A$2:$A$2442,A3920)&gt;0,"بله","خیر")</f>
        <v/>
      </c>
    </row>
    <row r="3921" ht="15" customHeight="1" s="14">
      <c r="A3921" s="24" t="n">
        <v>53742</v>
      </c>
      <c r="B3921" s="24" t="inlineStr">
        <is>
          <t>اوپاووک   قرص پيوسته رهش خوراکي 45 mg - دارويي البرز زاگرس</t>
        </is>
      </c>
      <c r="C3921" s="25">
        <f>IF(COUNTIF('کدهای پیام‌داروساز'!$A$2:$A$2442,A3921)&gt;0,"بله","خیر")</f>
        <v/>
      </c>
    </row>
    <row r="3922" ht="15" customHeight="1" s="14">
      <c r="A3922" s="24" t="n">
        <v>53743</v>
      </c>
      <c r="B3922" s="24" t="inlineStr">
        <is>
          <t>مصپورت   پودر لئوفيليزه براي تهيه محلول تزريقي پرنترال 150 [iU]  [iU] - داروسازي مصون دارو</t>
        </is>
      </c>
      <c r="C3922" s="25">
        <f>IF(COUNTIF('کدهای پیام‌داروساز'!$A$2:$A$2442,A3922)&gt;0,"بله","خیر")</f>
        <v/>
      </c>
    </row>
    <row r="3923" ht="15" customHeight="1" s="14">
      <c r="A3923" s="24" t="n">
        <v>53745</v>
      </c>
      <c r="B3923" s="24" t="inlineStr">
        <is>
          <t>اگزالوما   محلول تزريقي زير جلدي 94.5 mg/0.5mL  mg - مرز گستران فناوري آينده</t>
        </is>
      </c>
      <c r="C3923" s="25">
        <f>IF(COUNTIF('کدهای پیام‌داروساز'!$A$2:$A$2442,A3923)&gt;0,"بله","خیر")</f>
        <v/>
      </c>
    </row>
    <row r="3924" ht="15" customHeight="1" s="14">
      <c r="A3924" s="24" t="n">
        <v>53746</v>
      </c>
      <c r="B3924" s="24" t="inlineStr">
        <is>
          <t>سلنيکس   قرص خوراکي 20 mg - مرز گستران فناوري آينده</t>
        </is>
      </c>
      <c r="C3924" s="25">
        <f>IF(COUNTIF('کدهای پیام‌داروساز'!$A$2:$A$2442,A3924)&gt;0,"بله","خیر")</f>
        <v/>
      </c>
    </row>
    <row r="3925" ht="15" customHeight="1" s="14">
      <c r="A3925" s="24" t="n">
        <v>53747</v>
      </c>
      <c r="B3925" s="24" t="inlineStr">
        <is>
          <t>مولوتينيب   قرص خوراکي 200 mg - مرز گستران فناوري آينده</t>
        </is>
      </c>
      <c r="C3925" s="25">
        <f>IF(COUNTIF('کدهای پیام‌داروساز'!$A$2:$A$2442,A3925)&gt;0,"بله","خیر")</f>
        <v/>
      </c>
    </row>
    <row r="3926" ht="15" customHeight="1" s="14">
      <c r="A3926" s="24" t="n">
        <v>53748</v>
      </c>
      <c r="B3926" s="24" t="inlineStr">
        <is>
          <t>گازيوا   محلول غليظ تزريقي پرنترال 25 mg/1 mL 40 mg - مرز گستران فناوري آينده</t>
        </is>
      </c>
      <c r="C3926" s="25">
        <f>IF(COUNTIF('کدهای پیام‌داروساز'!$A$2:$A$2442,A3926)&gt;0,"بله","خیر")</f>
        <v/>
      </c>
    </row>
    <row r="3927" ht="15" customHeight="1" s="14">
      <c r="A3927" s="24" t="n">
        <v>53749</v>
      </c>
      <c r="B3927" s="24" t="inlineStr">
        <is>
          <t>فيبروگامين   پودر لئوفيليزه براي تهيه محلول تزريقي پرنترال 1250 [iU]  [iU] - فارماشيمي</t>
        </is>
      </c>
      <c r="C3927" s="25">
        <f>IF(COUNTIF('کدهای پیام‌داروساز'!$A$2:$A$2442,A3927)&gt;0,"بله","خیر")</f>
        <v/>
      </c>
    </row>
    <row r="3928" ht="15" customHeight="1" s="14">
      <c r="A3928" s="24" t="n">
        <v>53753</v>
      </c>
      <c r="B3928" s="24" t="inlineStr">
        <is>
          <t>تاواسيدال   محلول خوراکي 25 mg/1 mL 120 mL - الحاوي</t>
        </is>
      </c>
      <c r="C3928" s="25">
        <f>IF(COUNTIF('کدهای پیام‌داروساز'!$A$2:$A$2442,A3928)&gt;0,"بله","خیر")</f>
        <v/>
      </c>
    </row>
    <row r="3929" ht="15" customHeight="1" s="14">
      <c r="A3929" s="24" t="n">
        <v>53754</v>
      </c>
      <c r="B3929" s="24" t="inlineStr">
        <is>
          <t>همودياليز اسيدي اا   محلول غليظ   همودياليز 3710 meq/70 meq/35 meq/87.5 meq/70 g/122.5 meq/3902.5 meq/1L 4500 mL - تجهيزات پزشکي هلال ايران</t>
        </is>
      </c>
      <c r="C3929" s="25">
        <f>IF(COUNTIF('کدهای پیام‌داروساز'!$A$2:$A$2442,A3929)&gt;0,"بله","خیر")</f>
        <v/>
      </c>
    </row>
    <row r="3930" ht="15" customHeight="1" s="14">
      <c r="A3930" s="24" t="n">
        <v>53755</v>
      </c>
      <c r="B3930" s="24" t="inlineStr">
        <is>
          <t>داريدورکسانت   قرص خوراکي 25 mg - زيست اروند فارمد</t>
        </is>
      </c>
      <c r="C3930" s="25">
        <f>IF(COUNTIF('کدهای پیام‌داروساز'!$A$2:$A$2442,A3930)&gt;0,"بله","خیر")</f>
        <v/>
      </c>
    </row>
    <row r="3931" ht="15" customHeight="1" s="14">
      <c r="A3931" s="24" t="n">
        <v>53756</v>
      </c>
      <c r="B3931" s="24" t="inlineStr">
        <is>
          <t>داريدورکسانت   قرص خوراکي 50 mg - زيست اروند فارمد</t>
        </is>
      </c>
      <c r="C3931" s="25">
        <f>IF(COUNTIF('کدهای پیام‌داروساز'!$A$2:$A$2442,A3931)&gt;0,"بله","خیر")</f>
        <v/>
      </c>
    </row>
    <row r="3932" ht="15" customHeight="1" s="14">
      <c r="A3932" s="24" t="n">
        <v>53758</v>
      </c>
      <c r="B3932" s="24" t="inlineStr">
        <is>
          <t>آزيترومايسين اس زد   پودر براي تهيه سوسپانسيون   خوراکي 200 mg/5mL 20 mg - بهستان دارو</t>
        </is>
      </c>
      <c r="C3932" s="25">
        <f>IF(COUNTIF('کدهای پیام‌داروساز'!$A$2:$A$2442,A3932)&gt;0,"بله","خیر")</f>
        <v/>
      </c>
    </row>
    <row r="3933" ht="15" customHeight="1" s="14">
      <c r="A3933" s="24" t="n">
        <v>53764</v>
      </c>
      <c r="B3933" s="24" t="inlineStr">
        <is>
          <t>ويگووي   محلول تزريقي پرنترال 7.2 mg/0.75mL  mL - نوو نور ديسک پارس</t>
        </is>
      </c>
      <c r="C3933" s="25">
        <f>IF(COUNTIF('کدهای پیام‌داروساز'!$A$2:$A$2442,A3933)&gt;0,"بله","خیر")</f>
        <v/>
      </c>
    </row>
    <row r="3934" ht="15" customHeight="1" s="14">
      <c r="A3934" s="24" t="n">
        <v>53770</v>
      </c>
      <c r="B3934" s="24" t="inlineStr">
        <is>
          <t>دکسمدتوميدين اورفارما   محلول غليظ تزريقي پرنترال 100 ug/1mL 4 ug - کوبل دارو</t>
        </is>
      </c>
      <c r="C3934" s="25">
        <f>IF(COUNTIF('کدهای پیام‌داروساز'!$A$2:$A$2442,A3934)&gt;0,"بله","خیر")</f>
        <v/>
      </c>
    </row>
    <row r="3935" ht="15" customHeight="1" s="14">
      <c r="A3935" s="24" t="n">
        <v>53772</v>
      </c>
      <c r="B3935" s="24" t="inlineStr">
        <is>
          <t>دکسمدتوميدين اورفارما   محلول غليظ تزريقي پرنترال 100 ug/1mL 10 ug - کوبل دارو</t>
        </is>
      </c>
      <c r="C3935" s="25">
        <f>IF(COUNTIF('کدهای پیام‌داروساز'!$A$2:$A$2442,A3935)&gt;0,"بله","خیر")</f>
        <v/>
      </c>
    </row>
    <row r="3936" ht="15" customHeight="1" s="14">
      <c r="A3936" s="24" t="n">
        <v>53773</v>
      </c>
      <c r="B3936" s="24" t="inlineStr">
        <is>
          <t>ُکسل يوگو   کپسول خوراکي 10 mg - مرز گستران فناوري آينده</t>
        </is>
      </c>
      <c r="C3936" s="25">
        <f>IF(COUNTIF('کدهای پیام‌داروساز'!$A$2:$A$2442,A3936)&gt;0,"بله","خیر")</f>
        <v/>
      </c>
    </row>
    <row r="3937" ht="15" customHeight="1" s="14">
      <c r="A3937" s="24" t="n">
        <v>53774</v>
      </c>
      <c r="B3937" s="24" t="inlineStr">
        <is>
          <t>مارگنزا   تزريقي داخل وريدي 25 mg/1mL 10 mg - مرز گستران فناوري آينده</t>
        </is>
      </c>
      <c r="C3937" s="25">
        <f>IF(COUNTIF('کدهای پیام‌داروساز'!$A$2:$A$2442,A3937)&gt;0,"بله","خیر")</f>
        <v/>
      </c>
    </row>
    <row r="3938" ht="15" customHeight="1" s="14">
      <c r="A3938" s="24" t="n">
        <v>53778</v>
      </c>
      <c r="B3938" s="24" t="inlineStr">
        <is>
          <t>پوتليجيو   محلول غليظ تزريقي پرنترال 4 mg/1mL 5 mg - جوان آذر دارو</t>
        </is>
      </c>
      <c r="C3938" s="25">
        <f>IF(COUNTIF('کدهای پیام‌داروساز'!$A$2:$A$2442,A3938)&gt;0,"بله","خیر")</f>
        <v/>
      </c>
    </row>
    <row r="3939" ht="15" customHeight="1" s="14">
      <c r="A3939" s="24" t="n">
        <v>53779</v>
      </c>
      <c r="B3939" s="24" t="inlineStr">
        <is>
          <t>ترومنبا   سوسپانسيون تزريقي پرنترال 120 ug/0.5 mL 1 ug - بهستان دارو</t>
        </is>
      </c>
      <c r="C3939" s="25">
        <f>IF(COUNTIF('کدهای پیام‌داروساز'!$A$2:$A$2442,A3939)&gt;0,"بله","خیر")</f>
        <v/>
      </c>
    </row>
    <row r="3940" ht="15" customHeight="1" s="14">
      <c r="A3940" s="24" t="n">
        <v>53787</v>
      </c>
      <c r="B3940" s="24" t="inlineStr">
        <is>
          <t>پاناروژ   سوسپانسيون خوراکي 160 mg/5mL 120 mL - داروسازي روژين</t>
        </is>
      </c>
      <c r="C3940" s="25">
        <f>IF(COUNTIF('کدهای پیام‌داروساز'!$A$2:$A$2442,A3940)&gt;0,"بله","خیر")</f>
        <v/>
      </c>
    </row>
    <row r="3941" ht="15" customHeight="1" s="14">
      <c r="A3941" s="24" t="n">
        <v>60080</v>
      </c>
      <c r="B3941" s="24" t="inlineStr">
        <is>
          <t>گليسيرين فنيکه 10 م ل قطره گوش - کيمياگرطوس</t>
        </is>
      </c>
      <c r="C3941" s="25">
        <f>IF(COUNTIF('کدهای پیام‌داروساز'!$A$2:$A$2442,A3941)&gt;0,"بله","خیر")</f>
        <v/>
      </c>
    </row>
    <row r="3942" ht="15" customHeight="1" s="14">
      <c r="A3942" s="24" t="n">
        <v>66661</v>
      </c>
      <c r="B3942" s="24" t="inlineStr">
        <is>
          <t>دورنيکا ست سرم_طب و جراح</t>
        </is>
      </c>
      <c r="C3942" s="25">
        <f>IF(COUNTIF('کدهای پیام‌داروساز'!$A$2:$A$2442,A3942)&gt;0,"بله","خیر")</f>
        <v/>
      </c>
    </row>
    <row r="3943" ht="15" customHeight="1" s="14">
      <c r="A3943" s="24" t="n">
        <v>66669</v>
      </c>
      <c r="B3943" s="24" t="inlineStr">
        <is>
          <t>چي بزنم</t>
        </is>
      </c>
      <c r="C3943" s="25">
        <f>IF(COUNTIF('کدهای پیام‌داروساز'!$A$2:$A$2442,A3943)&gt;0,"بله","خیر")</f>
        <v/>
      </c>
    </row>
    <row r="3944" ht="15" customHeight="1" s="14">
      <c r="A3944" s="24" t="n">
        <v>92207</v>
      </c>
      <c r="B3944" s="24" t="inlineStr">
        <is>
          <t>سنالين 7/5 م گ قرص - گل دارو</t>
        </is>
      </c>
      <c r="C3944" s="25">
        <f>IF(COUNTIF('کدهای پیام‌داروساز'!$A$2:$A$2442,A3944)&gt;0,"بله","خیر")</f>
        <v/>
      </c>
    </row>
    <row r="3945" ht="15" customHeight="1" s="14">
      <c r="A3945" s="24" t="n">
        <v>98196</v>
      </c>
      <c r="B3945" s="24" t="inlineStr">
        <is>
          <t>آباساگلار 100(انسولين گلارژين)قلم آماده تزريق - LILLY</t>
        </is>
      </c>
      <c r="C3945" s="25">
        <f>IF(COUNTIF('کدهای پیام‌داروساز'!$A$2:$A$2442,A3945)&gt;0,"بله","خیر")</f>
        <v/>
      </c>
    </row>
    <row r="3946" ht="15" customHeight="1" s="14">
      <c r="A3946" s="24" t="n">
        <v>99870</v>
      </c>
      <c r="B3946" s="24" t="inlineStr">
        <is>
          <t>ونوسيف آنژوکت آبي 22</t>
        </is>
      </c>
      <c r="C3946" s="25">
        <f>IF(COUNTIF('کدهای پیام‌داروساز'!$A$2:$A$2442,A3946)&gt;0,"بله","خیر")</f>
        <v/>
      </c>
    </row>
    <row r="3947" ht="15" customHeight="1" s="14">
      <c r="A3947" s="24" t="n">
        <v>99880</v>
      </c>
      <c r="B3947" s="24" t="inlineStr">
        <is>
          <t>ارکتو (سيلدنافيل) 100 م گ قرص - سيپلا</t>
        </is>
      </c>
      <c r="C3947" s="25">
        <f>IF(COUNTIF('کدهای پیام‌داروساز'!$A$2:$A$2442,A3947)&gt;0,"بله","خیر")</f>
        <v/>
      </c>
    </row>
    <row r="3948" ht="15" customHeight="1" s="14">
      <c r="A3948" s="24" t="n">
        <v>99882</v>
      </c>
      <c r="B3948" s="24" t="inlineStr">
        <is>
          <t>آلتادين قرص -  دينه</t>
        </is>
      </c>
      <c r="C3948" s="25">
        <f>IF(COUNTIF('کدهای پیام‌داروساز'!$A$2:$A$2442,A3948)&gt;0,"بله","خیر")</f>
        <v/>
      </c>
    </row>
    <row r="3949" ht="15" customHeight="1" s="14">
      <c r="A3949" s="24" t="n">
        <v>99892</v>
      </c>
      <c r="B3949" s="24" t="inlineStr">
        <is>
          <t>آنتي فيشر 20 گرمي کرم مقعدي با 6 اپليکاتور - باريج اسانس</t>
        </is>
      </c>
      <c r="C3949" s="25">
        <f>IF(COUNTIF('کدهای پیام‌داروساز'!$A$2:$A$2442,A3949)&gt;0,"بله","خیر")</f>
        <v/>
      </c>
    </row>
    <row r="3950" ht="15" customHeight="1" s="14">
      <c r="A3950" s="24" t="n">
        <v>99899</v>
      </c>
      <c r="B3950" s="24" t="inlineStr">
        <is>
          <t>ليورگل 140 م گ قرص - گل دارو</t>
        </is>
      </c>
      <c r="C3950" s="25">
        <f>IF(COUNTIF('کدهای پیام‌داروساز'!$A$2:$A$2442,A3950)&gt;0,"بله","خیر")</f>
        <v/>
      </c>
    </row>
    <row r="3951" ht="15" customHeight="1" s="14">
      <c r="A3951" s="24" t="n">
        <v>99946</v>
      </c>
      <c r="B3951" s="24" t="inlineStr">
        <is>
          <t>وي مد سرنگ 20CC</t>
        </is>
      </c>
      <c r="C3951" s="25">
        <f>IF(COUNTIF('کدهای پیام‌داروساز'!$A$2:$A$2442,A3951)&gt;0,"بله","خیر")</f>
        <v/>
      </c>
    </row>
    <row r="3952" ht="15" customHeight="1" s="14">
      <c r="A3952" s="24" t="n">
        <v>99947</v>
      </c>
      <c r="B3952" s="24" t="inlineStr">
        <is>
          <t xml:space="preserve">پارس سرنگ 10 سي سي </t>
        </is>
      </c>
      <c r="C3952" s="25">
        <f>IF(COUNTIF('کدهای پیام‌داروساز'!$A$2:$A$2442,A3952)&gt;0,"بله","خیر")</f>
        <v/>
      </c>
    </row>
    <row r="3953" ht="15" customHeight="1" s="14">
      <c r="A3953" s="24" t="n">
        <v>99966</v>
      </c>
      <c r="B3953" s="24" t="inlineStr">
        <is>
          <t>گليسيرين فنيکه 6.4 گرم 10 ميلي ليتر قطره گوشي  - کيمياداروسپهر</t>
        </is>
      </c>
      <c r="C3953" s="25">
        <f>IF(COUNTIF('کدهای پیام‌داروساز'!$A$2:$A$2442,A3953)&gt;0,"بله","خیر")</f>
        <v/>
      </c>
    </row>
    <row r="3954" ht="15" customHeight="1" s="14">
      <c r="A3954" s="24" t="n">
        <v>99984</v>
      </c>
      <c r="B3954" s="24" t="inlineStr">
        <is>
          <t>الکل بوريکه قطره گوش 10ML- کيميا پک</t>
        </is>
      </c>
      <c r="C3954" s="25">
        <f>IF(COUNTIF('کدهای پیام‌داروساز'!$A$2:$A$2442,A3954)&gt;0,"بله","خیر")</f>
        <v/>
      </c>
    </row>
    <row r="3955" ht="15" customHeight="1" s="14">
      <c r="A3955" s="24" t="n">
        <v>99989</v>
      </c>
      <c r="B3955" s="24" t="inlineStr">
        <is>
          <t>سوپرمينت کپسول نرم - باريج اسانس</t>
        </is>
      </c>
      <c r="C3955" s="25">
        <f>IF(COUNTIF('کدهای پیام‌داروساز'!$A$2:$A$2442,A3955)&gt;0,"بله","خیر")</f>
        <v/>
      </c>
    </row>
    <row r="3956" ht="15" customHeight="1" s="14">
      <c r="A3956" s="24" t="n">
        <v>370011</v>
      </c>
      <c r="B3956" s="24" t="inlineStr">
        <is>
          <t>ليورکر قرص - هلث ايد</t>
        </is>
      </c>
      <c r="C3956" s="25">
        <f>IF(COUNTIF('کدهای پیام‌داروساز'!$A$2:$A$2442,A3956)&gt;0,"بله","خیر")</f>
        <v/>
      </c>
    </row>
    <row r="3957" ht="15" customHeight="1" s="14">
      <c r="A3957" s="24" t="n">
        <v>500986</v>
      </c>
      <c r="B3957" s="24" t="inlineStr">
        <is>
          <t>کپسول نرم کلسيم سوپريم باريويتال باريج اسانس 30 عددي</t>
        </is>
      </c>
      <c r="C3957" s="25">
        <f>IF(COUNTIF('کدهای پیام‌داروساز'!$A$2:$A$2442,A3957)&gt;0,"بله","خیر")</f>
        <v/>
      </c>
    </row>
    <row r="3958" ht="15" customHeight="1" s="14">
      <c r="A3958" s="24" t="n">
        <v>630299</v>
      </c>
      <c r="B3958" s="24" t="inlineStr">
        <is>
          <t xml:space="preserve">قرص آنژيپول 23.75  م گ ER (متوپرولول سوکسينات) رها </t>
        </is>
      </c>
      <c r="C3958" s="25">
        <f>IF(COUNTIF('کدهای پیام‌داروساز'!$A$2:$A$2442,A3958)&gt;0,"بله","خیر")</f>
        <v/>
      </c>
    </row>
    <row r="3959" ht="15" customHeight="1" s="14">
      <c r="A3959" s="24" t="n">
        <v>970095</v>
      </c>
      <c r="B3959" s="24" t="inlineStr">
        <is>
          <t>تائيد نسخه کاغذي</t>
        </is>
      </c>
      <c r="C3959" s="25">
        <f>IF(COUNTIF('کدهای پیام‌داروساز'!$A$2:$A$2442,A3959)&gt;0,"بله","خیر")</f>
        <v/>
      </c>
    </row>
    <row r="3960" ht="15" customHeight="1" s="14">
      <c r="A3960" s="24" t="n">
        <v>1007172</v>
      </c>
      <c r="B3960" s="24" t="inlineStr">
        <is>
          <t>کالمرز پلاس کا2 30 عدد قرص سيمر غ داروي عطار</t>
        </is>
      </c>
      <c r="C3960" s="25">
        <f>IF(COUNTIF('کدهای پیام‌داروساز'!$A$2:$A$2442,A3960)&gt;0,"بله","خیر")</f>
        <v/>
      </c>
    </row>
    <row r="3961" ht="15" customHeight="1" s="14">
      <c r="A3961" s="24" t="n">
        <v>2564646</v>
      </c>
      <c r="B3961" s="24" t="inlineStr">
        <is>
          <t>رژ لب مايع اکليلي ماي310</t>
        </is>
      </c>
      <c r="C3961" s="25">
        <f>IF(COUNTIF('کدهای پیام‌داروساز'!$A$2:$A$2442,A3961)&gt;0,"بله","خیر")</f>
        <v/>
      </c>
    </row>
    <row r="3962" ht="15" customHeight="1" s="14">
      <c r="A3962" s="24" t="n">
        <v>4998000</v>
      </c>
      <c r="B3962" s="24" t="inlineStr">
        <is>
          <t>سي بي پاريس کرم ضد جوش</t>
        </is>
      </c>
      <c r="C3962" s="25">
        <f>IF(COUNTIF('کدهای پیام‌داروساز'!$A$2:$A$2442,A3962)&gt;0,"بله","خیر")</f>
        <v/>
      </c>
    </row>
    <row r="3963" ht="15" customHeight="1" s="14">
      <c r="A3963" s="24" t="n">
        <v>6260000</v>
      </c>
      <c r="B3963" s="24" t="inlineStr">
        <is>
          <t>سرم مناسب پوست هاي جوشدار رويوال</t>
        </is>
      </c>
      <c r="C3963" s="25">
        <f>IF(COUNTIF('کدهای پیام‌داروساز'!$A$2:$A$2442,A3963)&gt;0,"بله","خیر")</f>
        <v/>
      </c>
    </row>
    <row r="3964" ht="15" customHeight="1" s="14">
      <c r="A3964" s="24" t="n">
        <v>6764634</v>
      </c>
      <c r="B3964" s="24" t="inlineStr">
        <is>
          <t>ادليو ژل شستشو پوست خشک</t>
        </is>
      </c>
      <c r="C3964" s="25">
        <f>IF(COUNTIF('کدهای پیام‌داروساز'!$A$2:$A$2442,A3964)&gt;0,"بله","خیر")</f>
        <v/>
      </c>
    </row>
    <row r="3965" ht="15" customHeight="1" s="14">
      <c r="A3965" s="24" t="n">
        <v>62602127</v>
      </c>
      <c r="B3965" s="24" t="inlineStr">
        <is>
          <t xml:space="preserve">فيروز پوآر بيني </t>
        </is>
      </c>
      <c r="C3965" s="25">
        <f>IF(COUNTIF('کدهای پیام‌داروساز'!$A$2:$A$2442,A3965)&gt;0,"بله","خیر")</f>
        <v/>
      </c>
    </row>
    <row r="3966" ht="15" customHeight="1" s="14">
      <c r="A3966" s="24" t="n">
        <v>62627073</v>
      </c>
      <c r="B3966" s="24" t="inlineStr">
        <is>
          <t>اسپري ژک ساف داوينچي 150ML</t>
        </is>
      </c>
      <c r="C3966" s="25">
        <f>IF(COUNTIF('کدهای پیام‌داروساز'!$A$2:$A$2442,A3966)&gt;0,"بله","خیر")</f>
        <v/>
      </c>
    </row>
    <row r="3967" ht="15" customHeight="1" s="14">
      <c r="A3967" s="24" t="n">
        <v>62627209</v>
      </c>
      <c r="B3967" s="24" t="inlineStr">
        <is>
          <t xml:space="preserve">فيس دوکس کرم ترميم کننده </t>
        </is>
      </c>
      <c r="C3967" s="25">
        <f>IF(COUNTIF('کدهای پیام‌داروساز'!$A$2:$A$2442,A3967)&gt;0,"بله","خیر")</f>
        <v/>
      </c>
    </row>
    <row r="3968" ht="15" customHeight="1" s="14">
      <c r="A3968" s="24" t="n">
        <v>62627923</v>
      </c>
      <c r="B3968" s="24" t="inlineStr">
        <is>
          <t>پستانک نوک گرد کيوتي 6تا12</t>
        </is>
      </c>
      <c r="C3968" s="25">
        <f>IF(COUNTIF('کدهای پیام‌داروساز'!$A$2:$A$2442,A3968)&gt;0,"بله","خیر")</f>
        <v/>
      </c>
    </row>
    <row r="3969" ht="15" customHeight="1" s="14">
      <c r="A3969" s="24" t="n">
        <v>62679274</v>
      </c>
      <c r="B3969" s="24" t="inlineStr">
        <is>
          <t xml:space="preserve">پرسيکا مسواک مديوم </t>
        </is>
      </c>
      <c r="C3969" s="25">
        <f>IF(COUNTIF('کدهای پیام‌داروساز'!$A$2:$A$2442,A3969)&gt;0,"بله","خیر")</f>
        <v/>
      </c>
    </row>
    <row r="3970" ht="15" customHeight="1" s="14">
      <c r="A3970" s="24" t="n">
        <v>62687021</v>
      </c>
      <c r="B3970" s="24" t="inlineStr">
        <is>
          <t xml:space="preserve">نوپريت تونيک موي سر </t>
        </is>
      </c>
      <c r="C3970" s="25">
        <f>IF(COUNTIF('کدهای پیام‌داروساز'!$A$2:$A$2442,A3970)&gt;0,"بله","خیر")</f>
        <v/>
      </c>
    </row>
    <row r="3971" ht="15" customHeight="1" s="14">
      <c r="A3971" s="24" t="n">
        <v>86902457</v>
      </c>
      <c r="B3971" s="24" t="inlineStr">
        <is>
          <t>ژل ليفت ابرو رنکل</t>
        </is>
      </c>
      <c r="C3971" s="25">
        <f>IF(COUNTIF('کدهای پیام‌داروساز'!$A$2:$A$2442,A3971)&gt;0,"بله","خیر")</f>
        <v/>
      </c>
    </row>
  </sheetData>
  <mergeCells count="2">
    <mergeCell ref="A1:D1"/>
    <mergeCell ref="A2:D3"/>
  </mergeCells>
  <conditionalFormatting sqref="C6:C3971">
    <cfRule type="cellIs" rank="0" priority="2" equalAverage="0" operator="equal" aboveAverage="0" dxfId="0" text="" percent="0" bottom="0">
      <formula>"بله"</formula>
    </cfRule>
    <cfRule type="cellIs" rank="0" priority="3" equalAverage="0" operator="equal" aboveAverage="0" dxfId="1" text="" percent="0" bottom="0">
      <formula>"خیر"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4" min="1" max="1"/>
    <col width="12" customWidth="1" style="14" min="2" max="2"/>
    <col width="62" customWidth="1" style="14" min="3" max="3"/>
    <col width="62" customWidth="1" style="14" min="4" max="4"/>
    <col width="16" customWidth="1" style="14" min="5" max="5"/>
    <col width="24" customWidth="1" style="14" min="6" max="6"/>
  </cols>
  <sheetData>
    <row r="1">
      <c r="A1" s="27" t="inlineStr">
        <is>
          <t>ردیف</t>
        </is>
      </c>
      <c r="B1" s="27" t="inlineStr">
        <is>
          <t>کد ژنریک</t>
        </is>
      </c>
      <c r="C1" s="27" t="inlineStr">
        <is>
          <t>نام ژنریک (تی‌تک)</t>
        </is>
      </c>
      <c r="D1" s="27" t="inlineStr">
        <is>
          <t>نام دارو (آریا)</t>
        </is>
      </c>
      <c r="E1" s="27" t="inlineStr">
        <is>
          <t>منبع</t>
        </is>
      </c>
      <c r="F1" s="27" t="inlineStr">
        <is>
          <t>نتیجه جستجو در پیام</t>
        </is>
      </c>
    </row>
    <row r="2">
      <c r="A2" t="n">
        <v>1</v>
      </c>
      <c r="B2" t="n">
        <v>9</v>
      </c>
      <c r="C2" t="inlineStr">
        <is>
          <t>ACETAMINOPHEN TABLET, ORALLY DISINTEGRATING ORAL 80 mg</t>
        </is>
      </c>
      <c r="D2" t="inlineStr">
        <is>
          <t>تايني فن   قرص بازشونده در دهان خوراکي 80 mg - تدبير کالاي جم</t>
        </is>
      </c>
      <c r="E2" t="inlineStr">
        <is>
          <t>تی‌تک و آریا</t>
        </is>
      </c>
    </row>
    <row r="3">
      <c r="A3" t="n">
        <v>2</v>
      </c>
      <c r="B3" t="n">
        <v>12</v>
      </c>
      <c r="C3" t="inlineStr">
        <is>
          <t>ACETAZOLAMIDE INJECTION, POWDER, FOR SOLUTION PARENTERAL 500 mg</t>
        </is>
      </c>
      <c r="D3" t="inlineStr">
        <is>
          <t>دياموکس   پودر براي تهيه محلول تزريقي پرنترال 500 mg  [Amb'a'1'U] - فوريتهاي سينا آرات گستر</t>
        </is>
      </c>
      <c r="E3" t="inlineStr">
        <is>
          <t>تی‌تک و آریا</t>
        </is>
      </c>
    </row>
    <row r="4">
      <c r="A4" t="n">
        <v>3</v>
      </c>
      <c r="B4" t="n">
        <v>15</v>
      </c>
      <c r="C4" t="inlineStr">
        <is>
          <t>ACETYLCHOLINE CHLORIDE INJECTION OPHTHALMIC 1 % 2 mL</t>
        </is>
      </c>
      <c r="D4" t="inlineStr">
        <is>
          <t>ميووزين   تزريقي چشمي 1 % 2 mg - تدبير کالاي جم</t>
        </is>
      </c>
      <c r="E4" t="inlineStr">
        <is>
          <t>تی‌تک و آریا</t>
        </is>
      </c>
    </row>
    <row r="5">
      <c r="A5" t="n">
        <v>4</v>
      </c>
      <c r="B5" t="n">
        <v>25</v>
      </c>
      <c r="D5" t="inlineStr">
        <is>
          <t>قرص گريپ کات کلد(سرماخوردگي بزرگسال)</t>
        </is>
      </c>
      <c r="E5" t="inlineStr">
        <is>
          <t>فقط آریا</t>
        </is>
      </c>
    </row>
    <row r="6">
      <c r="A6" t="n">
        <v>5</v>
      </c>
      <c r="B6" t="n">
        <v>28</v>
      </c>
      <c r="C6" t="inlineStr">
        <is>
          <t>ALBUMIN (HUMAN) INJECTION, SOLUTION PARENTERAL 5 % 100 mL</t>
        </is>
      </c>
      <c r="D6" t="inlineStr">
        <is>
          <t>ايمونوگلوبولين نرمال انساني   محلول تزريقي پرنترال 5 % 100 mL - اکسين دارو پارس</t>
        </is>
      </c>
      <c r="E6" t="inlineStr">
        <is>
          <t>تی‌تک و آریا</t>
        </is>
      </c>
    </row>
    <row r="7">
      <c r="A7" t="n">
        <v>6</v>
      </c>
      <c r="B7" t="n">
        <v>45</v>
      </c>
      <c r="C7" t="inlineStr">
        <is>
          <t>ALUMINIUM HYDROXIDE TABLET, CHEWABLE ORAL 300 mg</t>
        </is>
      </c>
      <c r="D7" t="inlineStr">
        <is>
          <t>آلومينيوم هيدروکسايد   قرص جويدني خوراکي 300 mg - لابراتوارهاي رازک</t>
        </is>
      </c>
      <c r="E7" t="inlineStr">
        <is>
          <t>تی‌تک و آریا</t>
        </is>
      </c>
    </row>
    <row r="8">
      <c r="A8" t="n">
        <v>7</v>
      </c>
      <c r="B8" t="n">
        <v>57</v>
      </c>
      <c r="C8" t="inlineStr">
        <is>
          <t>AMINO ACID 5% (1) INJECTION, SOLUTION INTRAVENOUS 2.25 mg/4.45 mg/3.5 mg/1.9 mg/2.55 mg/2.05 mg/0.9 mg/2.4 mg/4.6 mg/2.6 mg/6.85 mg/3.95 mg/1.86 mg/0.65 mg/0.36 mg/2.3 mg/1.6 mg/4.45 mg/1.2 mg/0.3 mg/0.43 mg/1 mL/1mL 500 mL</t>
        </is>
      </c>
      <c r="E8" t="inlineStr">
        <is>
          <t>فقط تی‌تک</t>
        </is>
      </c>
    </row>
    <row r="9">
      <c r="A9" t="n">
        <v>8</v>
      </c>
      <c r="B9" t="n">
        <v>88</v>
      </c>
      <c r="C9" t="inlineStr">
        <is>
          <t>ANTHOCYANOSIDE A TABLET ORAL 100 mg/5 mg</t>
        </is>
      </c>
      <c r="D9" t="inlineStr">
        <is>
          <t>آنتوسيانوزيد آ   قرص خوراکي 100 mg/5 mg - مهردارو</t>
        </is>
      </c>
      <c r="E9" t="inlineStr">
        <is>
          <t>تی‌تک و آریا</t>
        </is>
      </c>
    </row>
    <row r="10">
      <c r="A10" t="n">
        <v>9</v>
      </c>
      <c r="B10" t="n">
        <v>91</v>
      </c>
      <c r="C10" t="inlineStr">
        <is>
          <t>FACTOR IX INJECTION, POWDER, LYOPHILIZED, FOR SOLUTION PARENTERAL 1000 [iU]</t>
        </is>
      </c>
      <c r="D10" t="inlineStr">
        <is>
          <t>آيمافيکس   پودر لئوفيليزه براي تهيه محلول تزريقي پرنترال 1000 [iU]  [iU] - بهستان دارو</t>
        </is>
      </c>
      <c r="E10" t="inlineStr">
        <is>
          <t>تی‌تک و آریا</t>
        </is>
      </c>
    </row>
    <row r="11">
      <c r="A11" t="n">
        <v>10</v>
      </c>
      <c r="B11" t="n">
        <v>98</v>
      </c>
      <c r="D11" t="inlineStr">
        <is>
          <t>آنتي هيستامين دکونژستات قرص - جالينوس</t>
        </is>
      </c>
      <c r="E11" t="inlineStr">
        <is>
          <t>فقط آریا</t>
        </is>
      </c>
    </row>
    <row r="12">
      <c r="A12" t="n">
        <v>11</v>
      </c>
      <c r="B12" t="n">
        <v>105</v>
      </c>
      <c r="D12" t="inlineStr">
        <is>
          <t xml:space="preserve">تيرلوز (اشک مصنوعي) 10 م ل قطره چشمي - سينا دارو </t>
        </is>
      </c>
      <c r="E12" t="inlineStr">
        <is>
          <t>فقط آریا</t>
        </is>
      </c>
    </row>
    <row r="13">
      <c r="A13" t="n">
        <v>12</v>
      </c>
      <c r="B13" t="n">
        <v>110</v>
      </c>
      <c r="C13" t="inlineStr">
        <is>
          <t>ASA / CODEINE PHOSPHATE TABLET ORAL 500 mg/10 mg</t>
        </is>
      </c>
      <c r="E13" t="inlineStr">
        <is>
          <t>فقط تی‌تک</t>
        </is>
      </c>
    </row>
    <row r="14">
      <c r="A14" t="n">
        <v>13</v>
      </c>
      <c r="B14" t="n">
        <v>112</v>
      </c>
      <c r="C14" t="inlineStr">
        <is>
          <t>ASA (ACETYLSALICYLIC ACID) TABLET ORAL 500 mg</t>
        </is>
      </c>
      <c r="D14" t="inlineStr">
        <is>
          <t>آ اس آ   قرص خوراکي 500 mg - پارس دارو</t>
        </is>
      </c>
      <c r="E14" t="inlineStr">
        <is>
          <t>تی‌تک و آریا</t>
        </is>
      </c>
    </row>
    <row r="15">
      <c r="A15" t="n">
        <v>14</v>
      </c>
      <c r="B15" t="n">
        <v>124</v>
      </c>
      <c r="D15" t="inlineStr">
        <is>
          <t>ب کمپلکس 60 م ل شربت - ايران دارو</t>
        </is>
      </c>
      <c r="E15" t="inlineStr">
        <is>
          <t>فقط آریا</t>
        </is>
      </c>
    </row>
    <row r="16">
      <c r="A16" t="n">
        <v>15</v>
      </c>
      <c r="B16" t="n">
        <v>135</v>
      </c>
      <c r="C16" t="inlineStr">
        <is>
          <t>BELLADONNA PB ELIXIR ORAL 19.4 ug/6.5 ug/103.7 ug/16.2 mg/5mL 60 mL</t>
        </is>
      </c>
      <c r="D16" t="inlineStr">
        <is>
          <t>بلادونا پي بي   الگزير خوراکي 60 mL - لابراتوارهاي شهردارو</t>
        </is>
      </c>
      <c r="E16" t="inlineStr">
        <is>
          <t>تی‌تک و آریا</t>
        </is>
      </c>
    </row>
    <row r="17">
      <c r="A17" t="n">
        <v>16</v>
      </c>
      <c r="B17" t="n">
        <v>138</v>
      </c>
      <c r="C17" t="inlineStr">
        <is>
          <t>BENZOYL PEROXIDE LOTION TOPICAL 10 % 30 mL</t>
        </is>
      </c>
      <c r="E17" t="inlineStr">
        <is>
          <t>فقط تی‌تک</t>
        </is>
      </c>
    </row>
    <row r="18">
      <c r="A18" t="n">
        <v>17</v>
      </c>
      <c r="B18" t="n">
        <v>181</v>
      </c>
      <c r="C18" t="inlineStr">
        <is>
          <t>BUPIVACAINE HYDROCHLORIDE INJECTION PARENTERAL 0.25 % 20 mL</t>
        </is>
      </c>
      <c r="E18" t="inlineStr">
        <is>
          <t>فقط تی‌تک</t>
        </is>
      </c>
    </row>
    <row r="19">
      <c r="A19" t="n">
        <v>18</v>
      </c>
      <c r="B19" t="n">
        <v>186</v>
      </c>
      <c r="C19" t="inlineStr">
        <is>
          <t>BUSULFAN TABLET ORAL 2 mg</t>
        </is>
      </c>
      <c r="D19" t="inlineStr">
        <is>
          <t>بوسلون   قرص خوراکي 2 mg - رايان دارو ايرانيان</t>
        </is>
      </c>
      <c r="E19" t="inlineStr">
        <is>
          <t>تی‌تک و آریا</t>
        </is>
      </c>
    </row>
    <row r="20">
      <c r="A20" t="n">
        <v>19</v>
      </c>
      <c r="B20" t="n">
        <v>187</v>
      </c>
      <c r="D20" t="inlineStr">
        <is>
          <t>سي-لاکس قرص-دينه (قوطي)</t>
        </is>
      </c>
      <c r="E20" t="inlineStr">
        <is>
          <t>فقط آریا</t>
        </is>
      </c>
    </row>
    <row r="21">
      <c r="A21" t="n">
        <v>20</v>
      </c>
      <c r="B21" t="n">
        <v>197</v>
      </c>
      <c r="D21" t="inlineStr">
        <is>
          <t>کلسيم سيترات قرص - آپوويتال</t>
        </is>
      </c>
      <c r="E21" t="inlineStr">
        <is>
          <t>فقط آریا</t>
        </is>
      </c>
    </row>
    <row r="22">
      <c r="A22" t="n">
        <v>21</v>
      </c>
      <c r="B22" t="n">
        <v>199</v>
      </c>
      <c r="D22" t="inlineStr">
        <is>
          <t>کلسيم فورت 500 م گ جوشان - مينو</t>
        </is>
      </c>
      <c r="E22" t="inlineStr">
        <is>
          <t>فقط آریا</t>
        </is>
      </c>
    </row>
    <row r="23">
      <c r="A23" t="n">
        <v>22</v>
      </c>
      <c r="B23" t="n">
        <v>202</v>
      </c>
      <c r="D23" t="inlineStr">
        <is>
          <t xml:space="preserve"> کالاندولا کرم موضعي 15 گرم -  دينه</t>
        </is>
      </c>
      <c r="E23" t="inlineStr">
        <is>
          <t>فقط آریا</t>
        </is>
      </c>
    </row>
    <row r="24">
      <c r="A24" t="n">
        <v>23</v>
      </c>
      <c r="B24" t="n">
        <v>204</v>
      </c>
      <c r="C24" t="inlineStr">
        <is>
          <t>CAPREOMYCIN (AS SULFATE) INJECTION, POWDER, FOR SUSPENSION INTRAMUSCULAR 1 g</t>
        </is>
      </c>
      <c r="E24" t="inlineStr">
        <is>
          <t>فقط تی‌تک</t>
        </is>
      </c>
    </row>
    <row r="25">
      <c r="A25" t="n">
        <v>24</v>
      </c>
      <c r="B25" t="n">
        <v>219</v>
      </c>
      <c r="C25" t="inlineStr">
        <is>
          <t>CARMUSTINE INJECTION, POWDER, FOR SOLUTION PARENTERAL 100 mg</t>
        </is>
      </c>
      <c r="D25" t="inlineStr">
        <is>
          <t>بيکنو   پودر براي تهيه محلول تزريقي پرنترال 100 mg  mg - بازرگاني سها کيش</t>
        </is>
      </c>
      <c r="E25" t="inlineStr">
        <is>
          <t>تی‌تک و آریا</t>
        </is>
      </c>
    </row>
    <row r="26">
      <c r="A26" t="n">
        <v>25</v>
      </c>
      <c r="B26" t="n">
        <v>228</v>
      </c>
      <c r="C26" t="inlineStr">
        <is>
          <t>CEFIXIME POWDER, FOR SUSPENSION ORAL 50 mg/5 mL 30 mL</t>
        </is>
      </c>
      <c r="D26" t="inlineStr">
        <is>
          <t>اي- سف   پودر براي تهيه سوسپانسيون   خوراکي 50 mg/5 mL 30 mg - بازرگاني سها کيش</t>
        </is>
      </c>
      <c r="E26" t="inlineStr">
        <is>
          <t>تی‌تک و آریا</t>
        </is>
      </c>
    </row>
    <row r="27">
      <c r="A27" t="n">
        <v>26</v>
      </c>
      <c r="B27" t="n">
        <v>238</v>
      </c>
      <c r="C27" t="inlineStr">
        <is>
          <t>CEFTRIAXONE (AS SODIUM) INJECTION, POWDER, FOR SOLUTION PARENTERAL 250 mg</t>
        </is>
      </c>
      <c r="D27" t="inlineStr">
        <is>
          <t>سفتريانا   پودر براي تهيه محلول تزريقي پرنترال 250 mg  mg - داروسازي دانا</t>
        </is>
      </c>
      <c r="E27" t="inlineStr">
        <is>
          <t>تی‌تک و آریا</t>
        </is>
      </c>
    </row>
    <row r="28">
      <c r="A28" t="n">
        <v>27</v>
      </c>
      <c r="B28" t="n">
        <v>260</v>
      </c>
      <c r="C28" t="inlineStr">
        <is>
          <t>CHILDREN COLD TABLET, CHEWABLE ORAL 80 mg/0.5 mg/7.5 mg</t>
        </is>
      </c>
      <c r="E28" t="inlineStr">
        <is>
          <t>فقط تی‌تک</t>
        </is>
      </c>
    </row>
    <row r="29">
      <c r="A29" t="n">
        <v>28</v>
      </c>
      <c r="B29" t="n">
        <v>270</v>
      </c>
      <c r="D29" t="inlineStr">
        <is>
          <t>ايرشا (کلرهگزيدين) 0.2%  250 م ل دهانشويه  - شفا</t>
        </is>
      </c>
      <c r="E29" t="inlineStr">
        <is>
          <t>فقط آریا</t>
        </is>
      </c>
    </row>
    <row r="30">
      <c r="A30" t="n">
        <v>29</v>
      </c>
      <c r="B30" t="n">
        <v>302</v>
      </c>
      <c r="C30" t="inlineStr">
        <is>
          <t>CISPLATIN INJECTION, SOLUTION, CONCENTRATE INTRAVENOUS 0.5 mg/1mL 100 mL</t>
        </is>
      </c>
      <c r="E30" t="inlineStr">
        <is>
          <t>فقط تی‌تک</t>
        </is>
      </c>
    </row>
    <row r="31">
      <c r="A31" t="n">
        <v>30</v>
      </c>
      <c r="B31" t="n">
        <v>315</v>
      </c>
      <c r="C31" t="inlineStr">
        <is>
          <t>CLOBUTINOL HYDROCHLORIDE TABLET ORAL 40 mg</t>
        </is>
      </c>
      <c r="E31" t="inlineStr">
        <is>
          <t>فقط تی‌تک</t>
        </is>
      </c>
    </row>
    <row r="32">
      <c r="A32" t="n">
        <v>31</v>
      </c>
      <c r="B32" t="n">
        <v>316</v>
      </c>
      <c r="C32" t="inlineStr">
        <is>
          <t>CLOBUTINOL HYDROCHLORIDE SOLUTION, DROPS ORAL 60 mg/1mL 15 mL</t>
        </is>
      </c>
      <c r="E32" t="inlineStr">
        <is>
          <t>فقط تی‌تک</t>
        </is>
      </c>
    </row>
    <row r="33">
      <c r="A33" t="n">
        <v>32</v>
      </c>
      <c r="B33" t="n">
        <v>330</v>
      </c>
      <c r="C33" t="inlineStr">
        <is>
          <t>CLOXACILLIN (AS SODIUM) INJECTION, POWDER, FOR SOLUTION PARENTERAL 250 mg</t>
        </is>
      </c>
      <c r="D33" t="inlineStr">
        <is>
          <t>کلوگزاسيل   پودر براي تهيه محلول تزريقي پرنترال 250 mg  mg - داروسازي جابرابن حيان</t>
        </is>
      </c>
      <c r="E33" t="inlineStr">
        <is>
          <t>تی‌تک و آریا</t>
        </is>
      </c>
    </row>
    <row r="34">
      <c r="A34" t="n">
        <v>33</v>
      </c>
      <c r="B34" t="n">
        <v>344</v>
      </c>
      <c r="D34" t="inlineStr">
        <is>
          <t>کل تار (درمين) 1 درصد 150 م ل شامپو - گيلارانکو</t>
        </is>
      </c>
      <c r="E34" t="inlineStr">
        <is>
          <t>فقط آریا</t>
        </is>
      </c>
    </row>
    <row r="35">
      <c r="A35" t="n">
        <v>34</v>
      </c>
      <c r="B35" t="n">
        <v>346</v>
      </c>
      <c r="C35" t="inlineStr">
        <is>
          <t>COAL TAR LOTION TOPICAL 5 % 60 mL</t>
        </is>
      </c>
      <c r="D35" t="inlineStr">
        <is>
          <t>تاروزيس   لوسيون موضعي 5 % 60 mL - گيلارانکو</t>
        </is>
      </c>
      <c r="E35" t="inlineStr">
        <is>
          <t>تی‌تک و آریا</t>
        </is>
      </c>
    </row>
    <row r="36">
      <c r="A36" t="n">
        <v>35</v>
      </c>
      <c r="B36" t="n">
        <v>364</v>
      </c>
      <c r="C36" t="inlineStr">
        <is>
          <t>CROMOLYN SODIUM CAPSULE RESPIRATORY 20 mg</t>
        </is>
      </c>
      <c r="D36" t="inlineStr">
        <is>
          <t>لومودال   کپسول استنشاقي 20 mg</t>
        </is>
      </c>
      <c r="E36" t="inlineStr">
        <is>
          <t>تی‌تک و آریا</t>
        </is>
      </c>
    </row>
    <row r="37">
      <c r="A37" t="n">
        <v>36</v>
      </c>
      <c r="B37" t="n">
        <v>371</v>
      </c>
      <c r="C37" t="inlineStr">
        <is>
          <t>CYCLOSERINE CAPSULE ORAL 250 mg</t>
        </is>
      </c>
      <c r="D37" t="inlineStr">
        <is>
          <t>سيکلوسرين   کپسول خوراکي 250 mg - بازرگاني سها کيش</t>
        </is>
      </c>
      <c r="E37" t="inlineStr">
        <is>
          <t>تی‌تک و آریا</t>
        </is>
      </c>
    </row>
    <row r="38">
      <c r="A38" t="n">
        <v>37</v>
      </c>
      <c r="B38" t="n">
        <v>382</v>
      </c>
      <c r="C38" t="inlineStr">
        <is>
          <t>DANTROLENE SODIUM INJECTION, POWDER, FOR SOLUTION PARENTERAL 20 mg</t>
        </is>
      </c>
      <c r="D38" t="inlineStr">
        <is>
          <t>دانتروالس   پودر براي تهيه محلول تزريقي پرنترال 20 mg  mg - فرفيون دارو</t>
        </is>
      </c>
      <c r="E38" t="inlineStr">
        <is>
          <t>تی‌تک و آریا</t>
        </is>
      </c>
    </row>
    <row r="39">
      <c r="A39" t="n">
        <v>38</v>
      </c>
      <c r="B39" t="n">
        <v>383</v>
      </c>
      <c r="C39" t="inlineStr">
        <is>
          <t>DAPSONE TABLET ORAL 100 mg</t>
        </is>
      </c>
      <c r="D39" t="inlineStr">
        <is>
          <t>قرص داپسون  100 ميلي گرم</t>
        </is>
      </c>
      <c r="E39" t="inlineStr">
        <is>
          <t>تی‌تک و آریا</t>
        </is>
      </c>
    </row>
    <row r="40">
      <c r="A40" t="n">
        <v>39</v>
      </c>
      <c r="B40" t="n">
        <v>384</v>
      </c>
      <c r="C40" t="inlineStr">
        <is>
          <t>DAUNORUBICIN (AS HYDROCHLORIDE) INJECTION, POWDER, FOR SOLUTION PARENTERAL 20 mg</t>
        </is>
      </c>
      <c r="D40" t="inlineStr">
        <is>
          <t>دائنئون   پودر براي تهيه محلول تزريقي پرنترال 20 mg  mg - آرام کيمياي کاسپين</t>
        </is>
      </c>
      <c r="E40" t="inlineStr">
        <is>
          <t>تی‌تک و آریا</t>
        </is>
      </c>
    </row>
    <row r="41">
      <c r="A41" t="n">
        <v>40</v>
      </c>
      <c r="B41" t="n">
        <v>394</v>
      </c>
      <c r="C41" t="inlineStr">
        <is>
          <t>DEXTROSE / ETHANOL INJECTION, SOLUTION INTRAVENOUS 5 %/5 % 1000 mL</t>
        </is>
      </c>
      <c r="D41" t="inlineStr">
        <is>
          <t>دکستروز/اتانول   محلول تزريقي داخل وريدي 5 %/5 % 1000 mL - داروسازي شهيد قاضي</t>
        </is>
      </c>
      <c r="E41" t="inlineStr">
        <is>
          <t>تی‌تک و آریا</t>
        </is>
      </c>
    </row>
    <row r="42">
      <c r="A42" t="n">
        <v>41</v>
      </c>
      <c r="B42" t="n">
        <v>396</v>
      </c>
      <c r="D42" t="inlineStr">
        <is>
          <t>دکستروز3/33درصد و سديم کلرايد0/3درصد سرم تزريقي 500 م ل- ثامن</t>
        </is>
      </c>
      <c r="E42" t="inlineStr">
        <is>
          <t>فقط آریا</t>
        </is>
      </c>
    </row>
    <row r="43">
      <c r="A43" t="n">
        <v>42</v>
      </c>
      <c r="B43" t="n">
        <v>414</v>
      </c>
      <c r="D43" t="inlineStr">
        <is>
          <t>دکستروز   محلول تزريقي داخل وريدي 5 % 500 mL</t>
        </is>
      </c>
      <c r="E43" t="inlineStr">
        <is>
          <t>فقط آریا</t>
        </is>
      </c>
    </row>
    <row r="44">
      <c r="A44" t="n">
        <v>43</v>
      </c>
      <c r="B44" t="n">
        <v>415</v>
      </c>
      <c r="D44" t="inlineStr">
        <is>
          <t>دکستروز   محلول غليظ تزريقي داخل وريدي 50 % 50 mL</t>
        </is>
      </c>
      <c r="E44" t="inlineStr">
        <is>
          <t>فقط آریا</t>
        </is>
      </c>
    </row>
    <row r="45">
      <c r="A45" t="n">
        <v>44</v>
      </c>
      <c r="B45" t="n">
        <v>442</v>
      </c>
      <c r="C45" t="inlineStr">
        <is>
          <t>DIHYDROERGOTAMINE MESYLATE TABLET ORAL 2.5 mg</t>
        </is>
      </c>
      <c r="D45" t="inlineStr">
        <is>
          <t>دي هيدروارگوتامين-مينو   قرص خوراکي 2.5 mg - داروئي ارايشي وبهداشتي مينو</t>
        </is>
      </c>
      <c r="E45" t="inlineStr">
        <is>
          <t>تی‌تک و آریا</t>
        </is>
      </c>
    </row>
    <row r="46">
      <c r="A46" t="n">
        <v>45</v>
      </c>
      <c r="B46" t="n">
        <v>450</v>
      </c>
      <c r="C46" t="inlineStr">
        <is>
          <t>DIMETHYL SULFOXIDE SOLUTION PARENTERAL 50 % 50 mL</t>
        </is>
      </c>
      <c r="D46" t="inlineStr">
        <is>
          <t>دي متيل سولفوکسايد   محلول پرنترال 50 % 50 % - تامين آوا سلامت</t>
        </is>
      </c>
      <c r="E46" t="inlineStr">
        <is>
          <t>تی‌تک و آریا</t>
        </is>
      </c>
    </row>
    <row r="47">
      <c r="A47" t="n">
        <v>46</v>
      </c>
      <c r="B47" t="n">
        <v>451</v>
      </c>
      <c r="C47" t="inlineStr">
        <is>
          <t>PROSTAGLANDIN E2 TABLET VAGINAL 3 mg</t>
        </is>
      </c>
      <c r="E47" t="inlineStr">
        <is>
          <t>فقط تی‌تک</t>
        </is>
      </c>
    </row>
    <row r="48">
      <c r="A48" t="n">
        <v>47</v>
      </c>
      <c r="B48" t="n">
        <v>452</v>
      </c>
      <c r="C48" t="inlineStr">
        <is>
          <t>PROSTAGLANDIN E2 INJECTION PARENTERAL 10 mg/1mL 0.5 mL</t>
        </is>
      </c>
      <c r="E48" t="inlineStr">
        <is>
          <t>فقط تی‌تک</t>
        </is>
      </c>
    </row>
    <row r="49">
      <c r="A49" t="n">
        <v>48</v>
      </c>
      <c r="B49" t="n">
        <v>478</v>
      </c>
      <c r="C49" t="inlineStr">
        <is>
          <t>ECHOTHIOPHATE IODIDE SOLUTION, DROPS OPHTHALMIC 0.25 %</t>
        </is>
      </c>
      <c r="E49" t="inlineStr">
        <is>
          <t>فقط تی‌تک</t>
        </is>
      </c>
    </row>
    <row r="50">
      <c r="A50" t="n">
        <v>49</v>
      </c>
      <c r="B50" t="n">
        <v>486</v>
      </c>
      <c r="C50" t="inlineStr">
        <is>
          <t>EPHEDRINE SULFATE INJECTION PARENTERAL 50 mg/1mL 1 mL</t>
        </is>
      </c>
      <c r="D50" t="inlineStr">
        <is>
          <t>افدرين آمپول - اوتروپ</t>
        </is>
      </c>
      <c r="E50" t="inlineStr">
        <is>
          <t>تی‌تک و آریا</t>
        </is>
      </c>
    </row>
    <row r="51">
      <c r="A51" t="n">
        <v>50</v>
      </c>
      <c r="B51" t="n">
        <v>487</v>
      </c>
      <c r="C51" t="inlineStr">
        <is>
          <t>EPHEDRINE HYDROCHLORIDE TABLET ORAL 20 mg</t>
        </is>
      </c>
      <c r="D51" t="inlineStr">
        <is>
          <t>افدرين   قرص خوراکي 20 mg - فوريتهاي سينا آرات گستر</t>
        </is>
      </c>
      <c r="E51" t="inlineStr">
        <is>
          <t>تی‌تک و آریا</t>
        </is>
      </c>
    </row>
    <row r="52">
      <c r="A52" t="n">
        <v>51</v>
      </c>
      <c r="B52" t="n">
        <v>491</v>
      </c>
      <c r="C52" t="inlineStr">
        <is>
          <t>EPIRUBICIN HYDROCHLORIDE INJECTION, POWDER, FOR SOLUTION PARENTERAL 10 mg</t>
        </is>
      </c>
      <c r="E52" t="inlineStr">
        <is>
          <t>فقط تی‌تک</t>
        </is>
      </c>
    </row>
    <row r="53">
      <c r="A53" t="n">
        <v>52</v>
      </c>
      <c r="B53" t="n">
        <v>492</v>
      </c>
      <c r="C53" t="inlineStr">
        <is>
          <t>EPIRUBICIN HYDROCHLORIDE INJECTION, POWDER, FOR SOLUTION PARENTERAL 50 mg</t>
        </is>
      </c>
      <c r="D53" t="inlineStr">
        <is>
          <t>اپي زين   پودر براي تهيه محلول تزريقي پرنترال 50 mg  mg - تجهيزات پزشکي دوستکام</t>
        </is>
      </c>
      <c r="E53" t="inlineStr">
        <is>
          <t>تی‌تک و آریا</t>
        </is>
      </c>
    </row>
    <row r="54">
      <c r="A54" t="n">
        <v>53</v>
      </c>
      <c r="B54" t="n">
        <v>500</v>
      </c>
      <c r="C54" t="inlineStr">
        <is>
          <t>ERYTHROMYCIN INJECTION, POWDER, FOR SOLUTION PARENTERAL 1 g</t>
        </is>
      </c>
      <c r="D54" t="inlineStr">
        <is>
          <t>اريتروسل   پودر براي تهيه محلول تزريقي پرنترال 1 g  g - پويش دارو گستر برتر فارس</t>
        </is>
      </c>
      <c r="E54" t="inlineStr">
        <is>
          <t>تی‌تک و آریا</t>
        </is>
      </c>
    </row>
    <row r="55">
      <c r="A55" t="n">
        <v>54</v>
      </c>
      <c r="B55" t="n">
        <v>501</v>
      </c>
      <c r="C55" t="inlineStr">
        <is>
          <t>EPOETIN INJECTION PARENTERAL 2000 [iU]/1mL</t>
        </is>
      </c>
      <c r="D55" t="inlineStr">
        <is>
          <t>اپولي رک   تزريقي پرنترال 2000 [iU]/1mL  [iU] - توليد مواد داروئي درسا دارو</t>
        </is>
      </c>
      <c r="E55" t="inlineStr">
        <is>
          <t>تی‌تک و آریا</t>
        </is>
      </c>
    </row>
    <row r="56">
      <c r="A56" t="n">
        <v>55</v>
      </c>
      <c r="B56" t="n">
        <v>505</v>
      </c>
      <c r="C56" t="inlineStr">
        <is>
          <t>ESTRAMUSTINE SODIUM PHOSPHATE CAPSULE ORAL 140 mg</t>
        </is>
      </c>
      <c r="D56" t="inlineStr">
        <is>
          <t>استراسيت   کپسول خوراکي 140 mg  [Amb'a'1'U] - فوريتهاي سينا آرات گستر</t>
        </is>
      </c>
      <c r="E56" t="inlineStr">
        <is>
          <t>تی‌تک و آریا</t>
        </is>
      </c>
    </row>
    <row r="57">
      <c r="A57" t="n">
        <v>56</v>
      </c>
      <c r="B57" t="n">
        <v>508</v>
      </c>
      <c r="C57" t="inlineStr">
        <is>
          <t>ETHAMBUTOL HYDROCHLORIDE TABLET ORAL 400 mg</t>
        </is>
      </c>
      <c r="D57" t="inlineStr">
        <is>
          <t>اتامبوتول   قرص خوراکي 400 mg  mg - ايران دارو</t>
        </is>
      </c>
      <c r="E57" t="inlineStr">
        <is>
          <t>تی‌تک و آریا</t>
        </is>
      </c>
    </row>
    <row r="58">
      <c r="A58" t="n">
        <v>57</v>
      </c>
      <c r="B58" t="n">
        <v>514</v>
      </c>
      <c r="C58" t="inlineStr">
        <is>
          <t>ETHOSUXIMIDE CAPSULE ORAL 250 mg</t>
        </is>
      </c>
      <c r="D58" t="inlineStr">
        <is>
          <t>اتام   کپسول خوراکي 250 mg - دارويي پرسون بام بين الملل</t>
        </is>
      </c>
      <c r="E58" t="inlineStr">
        <is>
          <t>تی‌تک و آریا</t>
        </is>
      </c>
    </row>
    <row r="59">
      <c r="A59" t="n">
        <v>58</v>
      </c>
      <c r="B59" t="n">
        <v>517</v>
      </c>
      <c r="C59" t="inlineStr">
        <is>
          <t>ETOPOSIDE CAPSULE ORAL 100 mg</t>
        </is>
      </c>
      <c r="D59" t="inlineStr">
        <is>
          <t>اتو اسپال   کپسول خوراکي 100 mg  mg - رضا دارو پارس</t>
        </is>
      </c>
      <c r="E59" t="inlineStr">
        <is>
          <t>تی‌تک و آریا</t>
        </is>
      </c>
    </row>
    <row r="60">
      <c r="A60" t="n">
        <v>59</v>
      </c>
      <c r="B60" t="n">
        <v>530</v>
      </c>
      <c r="D60" t="inlineStr">
        <is>
          <t>فربولين(فروس سولفات)قطره 15 ميلي ليتر - شهردارو</t>
        </is>
      </c>
      <c r="E60" t="inlineStr">
        <is>
          <t>فقط آریا</t>
        </is>
      </c>
    </row>
    <row r="61">
      <c r="A61" t="n">
        <v>60</v>
      </c>
      <c r="B61" t="n">
        <v>531</v>
      </c>
      <c r="D61" t="inlineStr">
        <is>
          <t>آمي فر-اس (فروس سولفات) قرص - امين</t>
        </is>
      </c>
      <c r="E61" t="inlineStr">
        <is>
          <t>فقط آریا</t>
        </is>
      </c>
    </row>
    <row r="62">
      <c r="A62" t="n">
        <v>61</v>
      </c>
      <c r="B62" t="n">
        <v>534</v>
      </c>
      <c r="C62" t="inlineStr">
        <is>
          <t>FILGRASTIM INJECTION PARENTERAL 300 ug/1mL</t>
        </is>
      </c>
      <c r="E62" t="inlineStr">
        <is>
          <t>فقط تی‌تک</t>
        </is>
      </c>
    </row>
    <row r="63">
      <c r="A63" t="n">
        <v>62</v>
      </c>
      <c r="B63" t="n">
        <v>541</v>
      </c>
      <c r="C63" t="inlineStr">
        <is>
          <t>FLUCYTOSINE TABLET ORAL 500 mg</t>
        </is>
      </c>
      <c r="D63" t="inlineStr">
        <is>
          <t>انکتيل   قرص خوراکي 500 mg - دارو اثرت گستر</t>
        </is>
      </c>
      <c r="E63" t="inlineStr">
        <is>
          <t>تی‌تک و آریا</t>
        </is>
      </c>
    </row>
    <row r="64">
      <c r="A64" t="n">
        <v>63</v>
      </c>
      <c r="B64" t="n">
        <v>542</v>
      </c>
      <c r="C64" t="inlineStr">
        <is>
          <t>FLUDARABINE PHOSPHATE INJECTION, POWDER, FOR SOLUTION INTRAVENOUS 50 mg</t>
        </is>
      </c>
      <c r="D64" t="inlineStr">
        <is>
          <t>فلودارا   پودر براي تهيه محلول تزريقي داخل وريدي 50 mg  mg - پويش دارو گستر برتر فارس</t>
        </is>
      </c>
      <c r="E64" t="inlineStr">
        <is>
          <t>تی‌تک و آریا</t>
        </is>
      </c>
    </row>
    <row r="65">
      <c r="A65" t="n">
        <v>64</v>
      </c>
      <c r="B65" t="n">
        <v>570</v>
      </c>
      <c r="D65" t="inlineStr">
        <is>
          <t>فوروزمايد 20 م گ / 2 م ل آمپول - البرز دارو</t>
        </is>
      </c>
      <c r="E65" t="inlineStr">
        <is>
          <t>فقط آریا</t>
        </is>
      </c>
    </row>
    <row r="66">
      <c r="A66" t="n">
        <v>65</v>
      </c>
      <c r="B66" t="n">
        <v>578</v>
      </c>
      <c r="C66" t="inlineStr">
        <is>
          <t>LINDANE SHAMPOO TOPICAL 1 % 60 mL</t>
        </is>
      </c>
      <c r="D66" t="inlineStr">
        <is>
          <t>ليندالايس   شامپو موضعي 1 % 60 mL - گيلارانکو</t>
        </is>
      </c>
      <c r="E66" t="inlineStr">
        <is>
          <t>تی‌تک و آریا</t>
        </is>
      </c>
    </row>
    <row r="67">
      <c r="A67" t="n">
        <v>66</v>
      </c>
      <c r="B67" t="n">
        <v>583</v>
      </c>
      <c r="C67" t="inlineStr">
        <is>
          <t>GELATIN MODIFIED INJECTION, SOLUTION INTRAVENOUS 3 % 500 mL</t>
        </is>
      </c>
      <c r="D67" t="inlineStr">
        <is>
          <t>ژلاتين مديفايد   محلول تزريقي داخل وريدي 3 % 500 L - داروسازي ثامن</t>
        </is>
      </c>
      <c r="E67" t="inlineStr">
        <is>
          <t>تی‌تک و آریا</t>
        </is>
      </c>
    </row>
    <row r="68">
      <c r="A68" t="n">
        <v>67</v>
      </c>
      <c r="B68" t="n">
        <v>597</v>
      </c>
      <c r="C68" t="inlineStr">
        <is>
          <t>GLUCAGON INJECTION, POWDER, FOR SOLUTION PARENTERAL 1 mg</t>
        </is>
      </c>
      <c r="D68" t="inlineStr">
        <is>
          <t>گلوکاژن   پودر براي تهيه محلول تزريقي پرنترال 1 mg  mg - جوان آذر دارو</t>
        </is>
      </c>
      <c r="E68" t="inlineStr">
        <is>
          <t>تی‌تک و آریا</t>
        </is>
      </c>
    </row>
    <row r="69">
      <c r="A69" t="n">
        <v>68</v>
      </c>
      <c r="B69" t="n">
        <v>604</v>
      </c>
      <c r="C69" t="inlineStr">
        <is>
          <t>GONADORELIN INJECTION, POWDER, FOR SOLUTION PARENTERAL 100 ug</t>
        </is>
      </c>
      <c r="D69" t="inlineStr">
        <is>
          <t>ال اچ-آر اچ فرينگ   پودر براي تهيه محلول تزريقي پرنترال 100 ug  mg - پويش دارو گستر برتر فارس</t>
        </is>
      </c>
      <c r="E69" t="inlineStr">
        <is>
          <t>تی‌تک و آریا</t>
        </is>
      </c>
    </row>
    <row r="70">
      <c r="A70" t="n">
        <v>69</v>
      </c>
      <c r="B70" t="n">
        <v>612</v>
      </c>
      <c r="D70" t="inlineStr">
        <is>
          <t>نرس هارويز (گريپ ميکسچر) شربت 145 ميلي ليتر - HARVEY SCRUTON</t>
        </is>
      </c>
      <c r="E70" t="inlineStr">
        <is>
          <t>فقط آریا</t>
        </is>
      </c>
    </row>
    <row r="71">
      <c r="A71" t="n">
        <v>70</v>
      </c>
      <c r="B71" t="n">
        <v>613</v>
      </c>
      <c r="C71" t="inlineStr">
        <is>
          <t>GRISEOFULVIN TABLET ORAL 125 mg</t>
        </is>
      </c>
      <c r="D71" t="inlineStr">
        <is>
          <t>گريزئوفولوين   قرص خوراکي 125 mg - يارا طب خاورميانه</t>
        </is>
      </c>
      <c r="E71" t="inlineStr">
        <is>
          <t>تی‌تک و آریا</t>
        </is>
      </c>
    </row>
    <row r="72">
      <c r="A72" t="n">
        <v>71</v>
      </c>
      <c r="B72" t="n">
        <v>616</v>
      </c>
      <c r="C72" t="inlineStr">
        <is>
          <t>HALOPERIDOL (AS DECANOATE) INJECTION PARENTERAL 50 mg/1mL 1 mL</t>
        </is>
      </c>
      <c r="D72" t="inlineStr">
        <is>
          <t>دکالدول   تزريقي پرنترال 50 mg/1mL 1 mg - فوريتهاي سينا آرات گستر</t>
        </is>
      </c>
      <c r="E72" t="inlineStr">
        <is>
          <t>تی‌تک و آریا</t>
        </is>
      </c>
    </row>
    <row r="73">
      <c r="A73" t="n">
        <v>72</v>
      </c>
      <c r="B73" t="n">
        <v>634</v>
      </c>
      <c r="C73" t="inlineStr">
        <is>
          <t>HYDRALAZINE HYDROCHLORIDE TABLET ORAL 50 mg</t>
        </is>
      </c>
      <c r="D73" t="inlineStr">
        <is>
          <t>آپو - هيدرالازين   قرص خوراکي 50 mg</t>
        </is>
      </c>
      <c r="E73" t="inlineStr">
        <is>
          <t>تی‌تک و آریا</t>
        </is>
      </c>
    </row>
    <row r="74">
      <c r="A74" t="n">
        <v>73</v>
      </c>
      <c r="B74" t="n">
        <v>661</v>
      </c>
      <c r="C74" t="inlineStr">
        <is>
          <t>IDOXURIDINE SOLUTION, DROPS OPHTHALMIC 0.1 % 10 mL</t>
        </is>
      </c>
      <c r="D74" t="inlineStr">
        <is>
          <t>ريدينوکس   محلول، قطره چشمي 0.1 % 10 mL - يارا طب خاورميانه</t>
        </is>
      </c>
      <c r="E74" t="inlineStr">
        <is>
          <t>تی‌تک و آریا</t>
        </is>
      </c>
    </row>
    <row r="75">
      <c r="A75" t="n">
        <v>74</v>
      </c>
      <c r="B75" t="n">
        <v>667</v>
      </c>
      <c r="D75" t="inlineStr">
        <is>
          <t>اينفلوواک تترا(واکسن آنفلوانزا)سرنگ آماده تزريق - ابوت</t>
        </is>
      </c>
      <c r="E75" t="inlineStr">
        <is>
          <t>فقط آریا</t>
        </is>
      </c>
    </row>
    <row r="76">
      <c r="A76" t="n">
        <v>75</v>
      </c>
      <c r="B76" t="n">
        <v>700</v>
      </c>
      <c r="C76" t="inlineStr">
        <is>
          <t>IOHEXOL INJECTION PARENTERAL 300 mg/1mL 10 mL</t>
        </is>
      </c>
      <c r="E76" t="inlineStr">
        <is>
          <t>فقط تی‌تک</t>
        </is>
      </c>
    </row>
    <row r="77">
      <c r="A77" t="n">
        <v>76</v>
      </c>
      <c r="B77" t="n">
        <v>703</v>
      </c>
      <c r="C77" t="inlineStr">
        <is>
          <t>IOPROMIDE INJECTION PARENTERAL 300 mg/1mL 20 mL</t>
        </is>
      </c>
      <c r="D77" t="inlineStr">
        <is>
          <t>اولتراويست   تزريقي پرنترال 300 mg/1mL 20 mL - باير پارسيان</t>
        </is>
      </c>
      <c r="E77" t="inlineStr">
        <is>
          <t>تی‌تک و آریا</t>
        </is>
      </c>
    </row>
    <row r="78">
      <c r="A78" t="n">
        <v>77</v>
      </c>
      <c r="B78" t="n">
        <v>704</v>
      </c>
      <c r="C78" t="inlineStr">
        <is>
          <t>IOPROMIDE INJECTION PARENTERAL 300 mg/1mL 50 mL</t>
        </is>
      </c>
      <c r="D78" t="inlineStr">
        <is>
          <t>آيوپرومايد   تزريقي پرنترال 300 mg/1mL 50 mL - داروسازي شهيد قاضي</t>
        </is>
      </c>
      <c r="E78" t="inlineStr">
        <is>
          <t>تی‌تک و آریا</t>
        </is>
      </c>
    </row>
    <row r="79">
      <c r="A79" t="n">
        <v>78</v>
      </c>
      <c r="B79" t="n">
        <v>711</v>
      </c>
      <c r="C79" t="inlineStr">
        <is>
          <t>ISOCARBOXAZID TABLET ORAL 10 mg</t>
        </is>
      </c>
      <c r="D79" t="inlineStr">
        <is>
          <t>مارپلان   قرص خوراکي 10 mg  mg - نوآوران فخر دارو</t>
        </is>
      </c>
      <c r="E79" t="inlineStr">
        <is>
          <t>تی‌تک و آریا</t>
        </is>
      </c>
    </row>
    <row r="80">
      <c r="A80" t="n">
        <v>79</v>
      </c>
      <c r="B80" t="n">
        <v>719</v>
      </c>
      <c r="C80" t="inlineStr">
        <is>
          <t>ISOSORBIDE DINITRATE TABLET ORAL 5 mg</t>
        </is>
      </c>
      <c r="E80" t="inlineStr">
        <is>
          <t>فقط تی‌تک</t>
        </is>
      </c>
    </row>
    <row r="81">
      <c r="A81" t="n">
        <v>80</v>
      </c>
      <c r="B81" t="n">
        <v>739</v>
      </c>
      <c r="C81" t="inlineStr">
        <is>
          <t>CALCIUM FOLINATE TABLET ORAL 25 mg</t>
        </is>
      </c>
      <c r="D81" t="inlineStr">
        <is>
          <t>روفولين   قرص خوراکي 25 mg - روناک</t>
        </is>
      </c>
      <c r="E81" t="inlineStr">
        <is>
          <t>تی‌تک و آریا</t>
        </is>
      </c>
    </row>
    <row r="82">
      <c r="A82" t="n">
        <v>81</v>
      </c>
      <c r="B82" t="n">
        <v>740</v>
      </c>
      <c r="C82" t="inlineStr">
        <is>
          <t>CALCIUM FOLINATE TABLET ORAL 5 mg</t>
        </is>
      </c>
      <c r="D82" t="inlineStr">
        <is>
          <t>روفولين   قرص خوراکي 5 mg - روناک</t>
        </is>
      </c>
      <c r="E82" t="inlineStr">
        <is>
          <t>تی‌تک و آریا</t>
        </is>
      </c>
    </row>
    <row r="83">
      <c r="A83" t="n">
        <v>82</v>
      </c>
      <c r="B83" t="n">
        <v>744</v>
      </c>
      <c r="C83" t="inlineStr">
        <is>
          <t>L-CARNITINE TABLET, CHEWABLE ORAL 1 g</t>
        </is>
      </c>
      <c r="E83" t="inlineStr">
        <is>
          <t>فقط تی‌تک</t>
        </is>
      </c>
    </row>
    <row r="84">
      <c r="A84" t="n">
        <v>83</v>
      </c>
      <c r="B84" t="n">
        <v>768</v>
      </c>
      <c r="C84" t="inlineStr">
        <is>
          <t>LITHIUM CARBONATE TABLET, EXTENDED RELEASE ORAL 400 mg</t>
        </is>
      </c>
      <c r="D84" t="inlineStr">
        <is>
          <t>پريادل   قرص پيوسته رهش خوراکي 400 mg - بازرگاني سها کيش</t>
        </is>
      </c>
      <c r="E84" t="inlineStr">
        <is>
          <t>تی‌تک و آریا</t>
        </is>
      </c>
    </row>
    <row r="85">
      <c r="A85" t="n">
        <v>84</v>
      </c>
      <c r="B85" t="n">
        <v>790</v>
      </c>
      <c r="D85" t="inlineStr">
        <is>
          <t>دپو پروورا 500(مدروکسي پروژسترون)  ويال  - فايزر</t>
        </is>
      </c>
      <c r="E85" t="inlineStr">
        <is>
          <t>فقط آریا</t>
        </is>
      </c>
    </row>
    <row r="86">
      <c r="A86" t="n">
        <v>85</v>
      </c>
      <c r="B86" t="n">
        <v>796</v>
      </c>
      <c r="C86" t="inlineStr">
        <is>
          <t>MEFLOQUINE TABLET ORAL 250 mg</t>
        </is>
      </c>
      <c r="D86" t="inlineStr">
        <is>
          <t>الوکوين   قرص خوراکي 250 mg - بازرگاني سها کيش</t>
        </is>
      </c>
      <c r="E86" t="inlineStr">
        <is>
          <t>تی‌تک و آریا</t>
        </is>
      </c>
    </row>
    <row r="87">
      <c r="A87" t="n">
        <v>86</v>
      </c>
      <c r="B87" t="n">
        <v>798</v>
      </c>
      <c r="C87" t="inlineStr">
        <is>
          <t>MEGLUMINE COMPOUND INJECTION PARENTERAL 66 %/10 % 100 mL</t>
        </is>
      </c>
      <c r="D87" t="inlineStr">
        <is>
          <t>آمپول يوروگرافين ® 76%    100 ميلي ليتر   تزريقي پرنترال 66 %/10 % 100</t>
        </is>
      </c>
      <c r="E87" t="inlineStr">
        <is>
          <t>تی‌تک و آریا</t>
        </is>
      </c>
    </row>
    <row r="88">
      <c r="A88" t="n">
        <v>87</v>
      </c>
      <c r="B88" t="n">
        <v>801</v>
      </c>
      <c r="C88" t="inlineStr">
        <is>
          <t>MEGLUMINE COMPOUND SOLUTION ORAL 66 %/10 % 100 mL</t>
        </is>
      </c>
      <c r="D88" t="inlineStr">
        <is>
          <t>اوروگرافين   محلول خوراکي 66 %/10 % 100 mL - رايان دارو ايرانيان</t>
        </is>
      </c>
      <c r="E88" t="inlineStr">
        <is>
          <t>تی‌تک و آریا</t>
        </is>
      </c>
    </row>
    <row r="89">
      <c r="A89" t="n">
        <v>88</v>
      </c>
      <c r="B89" t="n">
        <v>802</v>
      </c>
      <c r="C89" t="inlineStr">
        <is>
          <t>MEGLUMINE COMPOUND INJECTION PARENTERAL 52.1 %/7.9 % 20 mL</t>
        </is>
      </c>
      <c r="D89" t="inlineStr">
        <is>
          <t>دي پي گرافين   تزريقي پرنترال 52.1 %/7.9 % 20 mL - کارخانجات دارو پخش</t>
        </is>
      </c>
      <c r="E89" t="inlineStr">
        <is>
          <t>تی‌تک و آریا</t>
        </is>
      </c>
    </row>
    <row r="90">
      <c r="A90" t="n">
        <v>89</v>
      </c>
      <c r="B90" t="n">
        <v>828</v>
      </c>
      <c r="C90" t="inlineStr">
        <is>
          <t>METHOTREXATE SODIUM INJECTION PARENTERAL 5 mg/1mL 1 mL</t>
        </is>
      </c>
      <c r="E90" t="inlineStr">
        <is>
          <t>فقط تی‌تک</t>
        </is>
      </c>
    </row>
    <row r="91">
      <c r="A91" t="n">
        <v>90</v>
      </c>
      <c r="B91" t="n">
        <v>858</v>
      </c>
      <c r="C91" t="inlineStr">
        <is>
          <t>MITOTANE TABLET ORAL 500 mg</t>
        </is>
      </c>
      <c r="D91" t="inlineStr">
        <is>
          <t>لايزودرن   قرص خوراکي 500 mg - اريکه تجارت ويستا</t>
        </is>
      </c>
      <c r="E91" t="inlineStr">
        <is>
          <t>تی‌تک و آریا</t>
        </is>
      </c>
    </row>
    <row r="92">
      <c r="A92" t="n">
        <v>91</v>
      </c>
      <c r="B92" t="n">
        <v>865</v>
      </c>
      <c r="C92" t="inlineStr">
        <is>
          <t>MORPHINE HYDROCHOLORIDE INJECTION PARENTERAL 10 mg/1mL 1 mL</t>
        </is>
      </c>
      <c r="D92" t="inlineStr">
        <is>
          <t>مورفينا بازي   تزريقي پرنترال 10 mg/1mL 1 mg - سامان دارو سلامت</t>
        </is>
      </c>
      <c r="E92" t="inlineStr">
        <is>
          <t>تی‌تک و آریا</t>
        </is>
      </c>
    </row>
    <row r="93">
      <c r="A93" t="n">
        <v>92</v>
      </c>
      <c r="B93" t="n">
        <v>868</v>
      </c>
      <c r="D93" t="inlineStr">
        <is>
          <t>دورتامينا (مولتي ويتامين مينرال) کپسول - دورنا</t>
        </is>
      </c>
      <c r="E93" t="inlineStr">
        <is>
          <t>فقط آریا</t>
        </is>
      </c>
    </row>
    <row r="94">
      <c r="A94" t="n">
        <v>93</v>
      </c>
      <c r="B94" t="n">
        <v>869</v>
      </c>
      <c r="D94" t="inlineStr">
        <is>
          <t>مولتي ويتامين قرص - ايران دارو</t>
        </is>
      </c>
      <c r="E94" t="inlineStr">
        <is>
          <t>فقط آریا</t>
        </is>
      </c>
    </row>
    <row r="95">
      <c r="A95" t="n">
        <v>94</v>
      </c>
      <c r="B95" t="n">
        <v>870</v>
      </c>
      <c r="D95" t="inlineStr">
        <is>
          <t>مولتي ويتامين 60 م ل شربت - ايران دارو</t>
        </is>
      </c>
      <c r="E95" t="inlineStr">
        <is>
          <t>فقط آریا</t>
        </is>
      </c>
    </row>
    <row r="96">
      <c r="A96" t="n">
        <v>95</v>
      </c>
      <c r="B96" t="n">
        <v>871</v>
      </c>
      <c r="D96" t="inlineStr">
        <is>
          <t>پديابست قطره خوراکي مولتي ويتامين30 م ل - پدوريفمپ</t>
        </is>
      </c>
      <c r="E96" t="inlineStr">
        <is>
          <t>فقط آریا</t>
        </is>
      </c>
    </row>
    <row r="97">
      <c r="A97" t="n">
        <v>96</v>
      </c>
      <c r="B97" t="n">
        <v>879</v>
      </c>
      <c r="C97" t="inlineStr">
        <is>
          <t>IMMUNE GLOBULIN INJECTION, POWDER, LYOPHILIZED, FOR SOLUTION INTRAVENOUS 6 g</t>
        </is>
      </c>
      <c r="E97" t="inlineStr">
        <is>
          <t>فقط تی‌تک</t>
        </is>
      </c>
    </row>
    <row r="98">
      <c r="A98" t="n">
        <v>97</v>
      </c>
      <c r="B98" t="n">
        <v>890</v>
      </c>
      <c r="C98" t="inlineStr">
        <is>
          <t>NATAMYCIN SOLUTION, DROPS OPHTHALMIC 5 % 3 mL</t>
        </is>
      </c>
      <c r="D98" t="inlineStr">
        <is>
          <t>ناتامت   محلول، قطره چشمي 5 % 3 % - فوريتهاي سينا آرات گستر</t>
        </is>
      </c>
      <c r="E98" t="inlineStr">
        <is>
          <t>تی‌تک و آریا</t>
        </is>
      </c>
    </row>
    <row r="99">
      <c r="A99" t="n">
        <v>98</v>
      </c>
      <c r="B99" t="n">
        <v>905</v>
      </c>
      <c r="C99" t="inlineStr">
        <is>
          <t>NIMODIPINE TABLET ORAL 30 mg</t>
        </is>
      </c>
      <c r="D99" t="inlineStr">
        <is>
          <t>برينوکس   قرص خوراکي 30 mg</t>
        </is>
      </c>
      <c r="E99" t="inlineStr">
        <is>
          <t>تی‌تک و آریا</t>
        </is>
      </c>
    </row>
    <row r="100">
      <c r="A100" t="n">
        <v>99</v>
      </c>
      <c r="B100" t="n">
        <v>916</v>
      </c>
      <c r="C100" t="inlineStr">
        <is>
          <t>NITROPRUSSIDE SODIUM INJECTION, POWDER, FOR SOLUTION PARENTERAL 50 mg</t>
        </is>
      </c>
      <c r="D100" t="inlineStr">
        <is>
          <t>نيپرس   پودر براي تهيه محلول تزريقي پرنترال 50 mg  mg - توسعه مکانيزه نوين آوران</t>
        </is>
      </c>
      <c r="E100" t="inlineStr">
        <is>
          <t>تی‌تک و آریا</t>
        </is>
      </c>
    </row>
    <row r="101">
      <c r="A101" t="n">
        <v>100</v>
      </c>
      <c r="B101" t="n">
        <v>932</v>
      </c>
      <c r="C101" t="inlineStr">
        <is>
          <t>OPHTHALMIC BATH-1 SOLUTION OPHTHALMIC 1610 mg/100 mL 20 mL</t>
        </is>
      </c>
      <c r="E101" t="inlineStr">
        <is>
          <t>فقط تی‌تک</t>
        </is>
      </c>
    </row>
    <row r="102">
      <c r="A102" t="n">
        <v>101</v>
      </c>
      <c r="B102" t="n">
        <v>933</v>
      </c>
      <c r="C102" t="inlineStr">
        <is>
          <t>ORS POWDER, FOR SOLUTION ORAL</t>
        </is>
      </c>
      <c r="D102" t="inlineStr">
        <is>
          <t>ساشه او آر اس فلورا</t>
        </is>
      </c>
      <c r="E102" t="inlineStr">
        <is>
          <t>تی‌تک و آریا</t>
        </is>
      </c>
    </row>
    <row r="103">
      <c r="A103" t="n">
        <v>102</v>
      </c>
      <c r="B103" t="n">
        <v>945</v>
      </c>
      <c r="D103" t="inlineStr">
        <is>
          <t>کرون 25000 (پانکراتين) کپسول - ابوت</t>
        </is>
      </c>
      <c r="E103" t="inlineStr">
        <is>
          <t>فقط آریا</t>
        </is>
      </c>
    </row>
    <row r="104">
      <c r="A104" t="n">
        <v>103</v>
      </c>
      <c r="B104" t="n">
        <v>949</v>
      </c>
      <c r="C104" t="inlineStr">
        <is>
          <t>PARA AMINOBENZOIC ACID (PABA) LOTION TOPICAL 5 % 120 mL</t>
        </is>
      </c>
      <c r="D104" t="inlineStr">
        <is>
          <t>پوتابا   لوسيون موضعي 5 % 120 g - پويش دارو گستر برتر فارس</t>
        </is>
      </c>
      <c r="E104" t="inlineStr">
        <is>
          <t>تی‌تک و آریا</t>
        </is>
      </c>
    </row>
    <row r="105">
      <c r="A105" t="n">
        <v>104</v>
      </c>
      <c r="B105" t="n">
        <v>954</v>
      </c>
      <c r="C105" t="inlineStr">
        <is>
          <t>PAROMOMYCIN CAPSULE ORAL 250 mg</t>
        </is>
      </c>
      <c r="D105" t="inlineStr">
        <is>
          <t>پارومومايسين   کپسول خوراکي 250 mg - دارو گستران مبين</t>
        </is>
      </c>
      <c r="E105" t="inlineStr">
        <is>
          <t>تی‌تک و آریا</t>
        </is>
      </c>
    </row>
    <row r="106">
      <c r="A106" t="n">
        <v>105</v>
      </c>
      <c r="B106" t="n">
        <v>955</v>
      </c>
      <c r="C106" t="inlineStr">
        <is>
          <t>PATENT BLUE V INJECTION PARENTERAL 25 mg/1mL 2 mL</t>
        </is>
      </c>
      <c r="D106" t="inlineStr">
        <is>
          <t>پتنت بلو وي   تزريقي پرنترال 25 mg/1mL 2 mg - سينا پيشگام دارو نوين</t>
        </is>
      </c>
      <c r="E106" t="inlineStr">
        <is>
          <t>تی‌تک و آریا</t>
        </is>
      </c>
    </row>
    <row r="107">
      <c r="A107" t="n">
        <v>106</v>
      </c>
      <c r="B107" t="n">
        <v>959</v>
      </c>
      <c r="C107" t="inlineStr">
        <is>
          <t>PENICILLIN G POTASSIUM INJECTION, POWDER PARENTERAL 1000000 [iU]</t>
        </is>
      </c>
      <c r="D107" t="inlineStr">
        <is>
          <t>پن پتاسيم   پودر براي تهيه فرآورده تزريقي پرنترال 1000000 [iU]  mg - داروسازي جابرابن حيان</t>
        </is>
      </c>
      <c r="E107" t="inlineStr">
        <is>
          <t>تی‌تک و آریا</t>
        </is>
      </c>
    </row>
    <row r="108">
      <c r="A108" t="n">
        <v>107</v>
      </c>
      <c r="B108" t="n">
        <v>960</v>
      </c>
      <c r="C108" t="inlineStr">
        <is>
          <t>PENICILLIN G POTASSIUM INJECTION, POWDER PARENTERAL 5000000 [iU]</t>
        </is>
      </c>
      <c r="D108" t="inlineStr">
        <is>
          <t>پن پتاسيم   پودر براي تهيه فرآورده تزريقي پرنترال 5000000 [iU]  mg - داروسازي جابرابن حيان</t>
        </is>
      </c>
      <c r="E108" t="inlineStr">
        <is>
          <t>تی‌تک و آریا</t>
        </is>
      </c>
    </row>
    <row r="109">
      <c r="A109" t="n">
        <v>108</v>
      </c>
      <c r="B109" t="n">
        <v>963</v>
      </c>
      <c r="C109" t="inlineStr">
        <is>
          <t>PENICILLIN V BENZATHINE POWDER, FOR SUSPENSION ORAL 400000 [iU]/5mL 100 mL</t>
        </is>
      </c>
      <c r="D109" t="inlineStr">
        <is>
          <t>پني سيلين وي بنزاتين   پودر براي تهيه سوسپانسيون   خوراکي 400000 [iU]/5mL 100 mL - دارو سازي فارابي</t>
        </is>
      </c>
      <c r="E109" t="inlineStr">
        <is>
          <t>تی‌تک و آریا</t>
        </is>
      </c>
    </row>
    <row r="110">
      <c r="A110" t="n">
        <v>109</v>
      </c>
      <c r="B110" t="n">
        <v>964</v>
      </c>
      <c r="C110" t="inlineStr">
        <is>
          <t>PENICILLIN V BENZATHINE POWDER, FOR SUSPENSION ORAL 200000 [iU]/5mL 100 mL</t>
        </is>
      </c>
      <c r="D110" t="inlineStr">
        <is>
          <t>پني سيلين وي بنزاتين 200000 واحد / 5 م ل سوسپانسيون - فارابي</t>
        </is>
      </c>
      <c r="E110" t="inlineStr">
        <is>
          <t>تی‌تک و آریا</t>
        </is>
      </c>
    </row>
    <row r="111">
      <c r="A111" t="n">
        <v>110</v>
      </c>
      <c r="B111" t="n">
        <v>965</v>
      </c>
      <c r="D111" t="inlineStr">
        <is>
          <t>پني سيلين وي 400000 سوسپانسيون 100م ل - فارابي</t>
        </is>
      </c>
      <c r="E111" t="inlineStr">
        <is>
          <t>فقط آریا</t>
        </is>
      </c>
    </row>
    <row r="112">
      <c r="A112" t="n">
        <v>111</v>
      </c>
      <c r="B112" t="n">
        <v>986</v>
      </c>
      <c r="C112" t="inlineStr">
        <is>
          <t>PHENTOLAMINE MESYLATE INJECTION PARENTERAL 10 mg/1mL 1 mL</t>
        </is>
      </c>
      <c r="D112" t="inlineStr">
        <is>
          <t>فنتانور   تزريقي پرنترال 10 mg/1mL 1 mg - راسا طب ورنا</t>
        </is>
      </c>
      <c r="E112" t="inlineStr">
        <is>
          <t>تی‌تک و آریا</t>
        </is>
      </c>
    </row>
    <row r="113">
      <c r="A113" t="n">
        <v>112</v>
      </c>
      <c r="B113" t="n">
        <v>998</v>
      </c>
      <c r="C113" t="inlineStr">
        <is>
          <t>PHOSPHATE, POTASSIUM MONOBASIC TABLET ORAL 500 mg</t>
        </is>
      </c>
      <c r="D113" t="inlineStr">
        <is>
          <t>فسفات پتاسيم مونوبازيک   قرص خوراکي 500 mg - تامين آوا سلامت</t>
        </is>
      </c>
      <c r="E113" t="inlineStr">
        <is>
          <t>تی‌تک و آریا</t>
        </is>
      </c>
    </row>
    <row r="114">
      <c r="A114" t="n">
        <v>113</v>
      </c>
      <c r="B114" t="n">
        <v>1012</v>
      </c>
      <c r="C114" t="inlineStr">
        <is>
          <t>PIPERAZINE SYRUP ORAL 750 mg/5 mL 100 mL</t>
        </is>
      </c>
      <c r="D114" t="inlineStr">
        <is>
          <t>پي پرازين 60 م ل شربت - فارماشيمي</t>
        </is>
      </c>
      <c r="E114" t="inlineStr">
        <is>
          <t>تی‌تک و آریا</t>
        </is>
      </c>
    </row>
    <row r="115">
      <c r="A115" t="n">
        <v>114</v>
      </c>
      <c r="B115" t="n">
        <v>1019</v>
      </c>
      <c r="D115" t="inlineStr">
        <is>
          <t>پلانتاژل(گرانول)ساشه -  دينه</t>
        </is>
      </c>
      <c r="E115" t="inlineStr">
        <is>
          <t>فقط آریا</t>
        </is>
      </c>
    </row>
    <row r="116">
      <c r="A116" t="n">
        <v>115</v>
      </c>
      <c r="B116" t="n">
        <v>1023</v>
      </c>
      <c r="C116" t="inlineStr">
        <is>
          <t>POLYMYXIN B INJECTION PARENTERAL 500000 U</t>
        </is>
      </c>
      <c r="D116" t="inlineStr">
        <is>
          <t>پلي- ام اکس بي   تزريقي پرنترال 500000 U  [iU] - تدبير کالاي جم</t>
        </is>
      </c>
      <c r="E116" t="inlineStr">
        <is>
          <t>تی‌تک و آریا</t>
        </is>
      </c>
    </row>
    <row r="117">
      <c r="A117" t="n">
        <v>116</v>
      </c>
      <c r="B117" t="n">
        <v>1028</v>
      </c>
      <c r="C117" t="inlineStr">
        <is>
          <t>POTASSIUM CITRATE POWDER ORAL 10 meq</t>
        </is>
      </c>
      <c r="D117" t="inlineStr">
        <is>
          <t>پتاسيم سيترات   پودر خوراکي 10 meq  g - ايران دارو</t>
        </is>
      </c>
      <c r="E117" t="inlineStr">
        <is>
          <t>تی‌تک و آریا</t>
        </is>
      </c>
    </row>
    <row r="118">
      <c r="A118" t="n">
        <v>117</v>
      </c>
      <c r="B118" t="n">
        <v>1041</v>
      </c>
      <c r="C118" t="inlineStr">
        <is>
          <t>PRAZIQUANTEL TABLET ORAL 600 mg</t>
        </is>
      </c>
      <c r="D118" t="inlineStr">
        <is>
          <t>پرازيکوانتل   قرص خوراکي 600 mg - ماه داروي حکيم</t>
        </is>
      </c>
      <c r="E118" t="inlineStr">
        <is>
          <t>تی‌تک و آریا</t>
        </is>
      </c>
    </row>
    <row r="119">
      <c r="A119" t="n">
        <v>118</v>
      </c>
      <c r="B119" t="n">
        <v>1061</v>
      </c>
      <c r="D119" t="inlineStr">
        <is>
          <t>پرومتازين 50 ميلي گرم آمپول - کاسپين</t>
        </is>
      </c>
      <c r="E119" t="inlineStr">
        <is>
          <t>فقط آریا</t>
        </is>
      </c>
    </row>
    <row r="120">
      <c r="A120" t="n">
        <v>119</v>
      </c>
      <c r="B120" t="n">
        <v>1074</v>
      </c>
      <c r="C120" t="inlineStr">
        <is>
          <t>PROTIRELIN INJECTION PARENTERAL 0.2 mg/1mL</t>
        </is>
      </c>
      <c r="E120" t="inlineStr">
        <is>
          <t>فقط تی‌تک</t>
        </is>
      </c>
    </row>
    <row r="121">
      <c r="A121" t="n">
        <v>120</v>
      </c>
      <c r="B121" t="n">
        <v>1078</v>
      </c>
      <c r="C121" t="inlineStr">
        <is>
          <t>PYRAZINAMIDE TABLET ORAL 500 mg</t>
        </is>
      </c>
      <c r="D121" t="inlineStr">
        <is>
          <t>پيرازيناميد   قرص خوراکي 500 mg - بازرگاني سها کيش</t>
        </is>
      </c>
      <c r="E121" t="inlineStr">
        <is>
          <t>تی‌تک و آریا</t>
        </is>
      </c>
    </row>
    <row r="122">
      <c r="A122" t="n">
        <v>121</v>
      </c>
      <c r="B122" t="n">
        <v>1083</v>
      </c>
      <c r="C122" t="inlineStr">
        <is>
          <t>PYRIMETHAMINE TABLET ORAL 25 mg</t>
        </is>
      </c>
      <c r="D122" t="inlineStr">
        <is>
          <t>پيريمتامين   قرص خوراکي 25 mg - تامين آوا سلامت</t>
        </is>
      </c>
      <c r="E122" t="inlineStr">
        <is>
          <t>تی‌تک و آریا</t>
        </is>
      </c>
    </row>
    <row r="123">
      <c r="A123" t="n">
        <v>122</v>
      </c>
      <c r="B123" t="n">
        <v>1084</v>
      </c>
      <c r="C123" t="inlineStr">
        <is>
          <t>PYRITHIONE ZINC SHAMPOO TOPICAL 2 % 140 mL</t>
        </is>
      </c>
      <c r="D123" t="inlineStr">
        <is>
          <t>پيريتيون زينک-شفا   شامپو موضعي 2 % 140 mL - لابراتوار داروسازي و بهداشتي شفا</t>
        </is>
      </c>
      <c r="E123" t="inlineStr">
        <is>
          <t>تی‌تک و آریا</t>
        </is>
      </c>
    </row>
    <row r="124">
      <c r="A124" t="n">
        <v>123</v>
      </c>
      <c r="B124" t="n">
        <v>1085</v>
      </c>
      <c r="C124" t="inlineStr">
        <is>
          <t>PYRVINIUM SUSPENSION ORAL 50 mg/5mL 60 mL</t>
        </is>
      </c>
      <c r="D124" t="inlineStr">
        <is>
          <t>پيروي سايد (پيروينيوم) 50 م گ / 5 م ل 50 م ل سوسپانسيون  - دارو پخش</t>
        </is>
      </c>
      <c r="E124" t="inlineStr">
        <is>
          <t>تی‌تک و آریا</t>
        </is>
      </c>
    </row>
    <row r="125">
      <c r="A125" t="n">
        <v>124</v>
      </c>
      <c r="B125" t="n">
        <v>1088</v>
      </c>
      <c r="C125" t="inlineStr">
        <is>
          <t>QUINIDINE SULFATE TABLET ORAL 200 mg</t>
        </is>
      </c>
      <c r="D125" t="inlineStr">
        <is>
          <t>کنيدين سولفات 200 م گ قرص - اسنوفارما</t>
        </is>
      </c>
      <c r="E125" t="inlineStr">
        <is>
          <t>تی‌تک و آریا</t>
        </is>
      </c>
    </row>
    <row r="126">
      <c r="A126" t="n">
        <v>125</v>
      </c>
      <c r="B126" t="n">
        <v>1091</v>
      </c>
      <c r="C126" t="inlineStr">
        <is>
          <t>QUININE DIHYDROCHLORIDE INJECTION PARENTERAL 250 mg/1mL 2 mL</t>
        </is>
      </c>
      <c r="D126" t="inlineStr">
        <is>
          <t>کينين دي هيدرو کلرايد   تزريقي پرنترال 250 mg/1mL 2 mg - ماه داروي حکيم</t>
        </is>
      </c>
      <c r="E126" t="inlineStr">
        <is>
          <t>تی‌تک و آریا</t>
        </is>
      </c>
    </row>
    <row r="127">
      <c r="A127" t="n">
        <v>126</v>
      </c>
      <c r="B127" t="n">
        <v>1092</v>
      </c>
      <c r="C127" t="inlineStr">
        <is>
          <t>RABIES IMMUNE GLOBULIN (HUMAN) INJECTION PARENTERAL 150 [iU]/1mL 2 mL</t>
        </is>
      </c>
      <c r="D127" t="inlineStr">
        <is>
          <t>ايمونوگلوبولين هاري انساني   تزريقي پرنترال 150 [iU]/1mL 2 [iU] - نوژين زيست فارمد</t>
        </is>
      </c>
      <c r="E127" t="inlineStr">
        <is>
          <t>تی‌تک و آریا</t>
        </is>
      </c>
    </row>
    <row r="128">
      <c r="A128" t="n">
        <v>127</v>
      </c>
      <c r="B128" t="n">
        <v>1093</v>
      </c>
      <c r="C128" t="inlineStr">
        <is>
          <t>RANITIDINE TABLET ORAL 150 mg</t>
        </is>
      </c>
      <c r="D128" t="inlineStr">
        <is>
          <t>آري-تک   قرص خوراکي 150 mg</t>
        </is>
      </c>
      <c r="E128" t="inlineStr">
        <is>
          <t>تی‌تک و آریا</t>
        </is>
      </c>
    </row>
    <row r="129">
      <c r="A129" t="n">
        <v>128</v>
      </c>
      <c r="B129" t="n">
        <v>1094</v>
      </c>
      <c r="C129" t="inlineStr">
        <is>
          <t>RANITIDINE INJECTION PARENTERAL 25 mg/1mL 2 mL</t>
        </is>
      </c>
      <c r="D129" t="inlineStr">
        <is>
          <t>راني جکتين   تزريقي پرنترال 25 mg/1mL 2 mL</t>
        </is>
      </c>
      <c r="E129" t="inlineStr">
        <is>
          <t>تی‌تک و آریا</t>
        </is>
      </c>
    </row>
    <row r="130">
      <c r="A130" t="n">
        <v>129</v>
      </c>
      <c r="B130" t="n">
        <v>1098</v>
      </c>
      <c r="C130" t="inlineStr">
        <is>
          <t>ANTI-D IMMUNOGLOBULIN INJECTION INTRAMUSCULAR 250 ug</t>
        </is>
      </c>
      <c r="D130" t="inlineStr">
        <is>
          <t>رزوناتيو   تزريقي عضلاني 250 ug  [iU] - تجهيزات پزشکي و دارويي پورا طب</t>
        </is>
      </c>
      <c r="E130" t="inlineStr">
        <is>
          <t>تی‌تک و آریا</t>
        </is>
      </c>
    </row>
    <row r="131">
      <c r="A131" t="n">
        <v>130</v>
      </c>
      <c r="B131" t="n">
        <v>1099</v>
      </c>
      <c r="C131" t="inlineStr">
        <is>
          <t>ANTI-D IMMUNOGLOBULIN INJECTION, POWDER, LYOPHILIZED, FOR SUSPENSION INTRAMUSCULAR 300 ug</t>
        </is>
      </c>
      <c r="D131" t="inlineStr">
        <is>
          <t>آنتي دي   پودر لئوفيليزه براي تهيه سوسپانسيون تزريقي عضلاني 300 ug  ug - ان بي اس کيش</t>
        </is>
      </c>
      <c r="E131" t="inlineStr">
        <is>
          <t>تی‌تک و آریا</t>
        </is>
      </c>
    </row>
    <row r="132">
      <c r="A132" t="n">
        <v>131</v>
      </c>
      <c r="B132" t="n">
        <v>1100</v>
      </c>
      <c r="C132" t="inlineStr">
        <is>
          <t>RIFAMPICIN INJECTION, POWDER, FOR SOLUTION PARENTERAL 600 mg</t>
        </is>
      </c>
      <c r="D132" t="inlineStr">
        <is>
          <t>ريفادين   پودر براي تهيه محلول تزريقي پرنترال 600 mg  mg - سينا پيشگام دارو نوين</t>
        </is>
      </c>
      <c r="E132" t="inlineStr">
        <is>
          <t>تی‌تک و آریا</t>
        </is>
      </c>
    </row>
    <row r="133">
      <c r="A133" t="n">
        <v>132</v>
      </c>
      <c r="B133" t="n">
        <v>1105</v>
      </c>
      <c r="D133" t="inlineStr">
        <is>
          <t>رينگر    محلول تزريقي داخل وريدي 500 mL</t>
        </is>
      </c>
      <c r="E133" t="inlineStr">
        <is>
          <t>فقط آریا</t>
        </is>
      </c>
    </row>
    <row r="134">
      <c r="A134" t="n">
        <v>133</v>
      </c>
      <c r="B134" t="n">
        <v>1108</v>
      </c>
      <c r="C134" t="inlineStr">
        <is>
          <t>RITODRINE TABLET ORAL 10 mg</t>
        </is>
      </c>
      <c r="D134" t="inlineStr">
        <is>
          <t>توکوپار   قرص خوراکي 10 mg - پويش دارو گستر برتر فارس</t>
        </is>
      </c>
      <c r="E134" t="inlineStr">
        <is>
          <t>تی‌تک و آریا</t>
        </is>
      </c>
    </row>
    <row r="135">
      <c r="A135" t="n">
        <v>134</v>
      </c>
      <c r="B135" t="n">
        <v>1109</v>
      </c>
      <c r="C135" t="inlineStr">
        <is>
          <t>RITODRINE INJECTION PARENTERAL 10 mg/1mL</t>
        </is>
      </c>
      <c r="D135" t="inlineStr">
        <is>
          <t>ريتودرين   تزريقي پرنترال 10 mg/1mL  mg - گسترش بازرگاني دارو پخش</t>
        </is>
      </c>
      <c r="E135" t="inlineStr">
        <is>
          <t>تی‌تک و آریا</t>
        </is>
      </c>
    </row>
    <row r="136">
      <c r="A136" t="n">
        <v>135</v>
      </c>
      <c r="B136" t="n">
        <v>1115</v>
      </c>
      <c r="D136" t="inlineStr">
        <is>
          <t>آزماسول (سالبوتامول) 100 م ک گ 200 پاف اسپري دهاني - سيپلا</t>
        </is>
      </c>
      <c r="E136" t="inlineStr">
        <is>
          <t>فقط آریا</t>
        </is>
      </c>
    </row>
    <row r="137">
      <c r="A137" t="n">
        <v>136</v>
      </c>
      <c r="B137" t="n">
        <v>1123</v>
      </c>
      <c r="D137" t="inlineStr">
        <is>
          <t>سلنيوم سولفايد 1 درصد 150 م ل شامپو - شهردارو</t>
        </is>
      </c>
      <c r="E137" t="inlineStr">
        <is>
          <t>فقط آریا</t>
        </is>
      </c>
    </row>
    <row r="138">
      <c r="A138" t="n">
        <v>137</v>
      </c>
      <c r="B138" t="n">
        <v>1134</v>
      </c>
      <c r="C138" t="inlineStr">
        <is>
          <t>SIMPLE EYE OINTMENT OPHTHALMIC  3 g</t>
        </is>
      </c>
      <c r="D138" t="inlineStr">
        <is>
          <t>ساده چشمي   پماد چشمي  3 g</t>
        </is>
      </c>
      <c r="E138" t="inlineStr">
        <is>
          <t>تی‌تک و آریا</t>
        </is>
      </c>
    </row>
    <row r="139">
      <c r="A139" t="n">
        <v>138</v>
      </c>
      <c r="B139" t="n">
        <v>1139</v>
      </c>
      <c r="C139" t="inlineStr">
        <is>
          <t>BICARBONATE CONCENTRATE POWDER NOT APPLICABLE 650 g</t>
        </is>
      </c>
      <c r="D139" t="inlineStr">
        <is>
          <t>رنا بگ   پودر غير قابل مصرف 650 g  g - صنايع پزشکي فارمد</t>
        </is>
      </c>
      <c r="E139" t="inlineStr">
        <is>
          <t>تی‌تک و آریا</t>
        </is>
      </c>
    </row>
    <row r="140">
      <c r="A140" t="n">
        <v>139</v>
      </c>
      <c r="B140" t="n">
        <v>1155</v>
      </c>
      <c r="C140" t="inlineStr">
        <is>
          <t>FLUORIDE SODIUM MOUTHWASH DENTAL 0.2 % 250 mL</t>
        </is>
      </c>
      <c r="D140" t="inlineStr">
        <is>
          <t>فلورايد 0.2% دهانشويه 250 ميلي ليتر - بهسا</t>
        </is>
      </c>
      <c r="E140" t="inlineStr">
        <is>
          <t>تی‌تک و آریا</t>
        </is>
      </c>
    </row>
    <row r="141">
      <c r="A141" t="n">
        <v>140</v>
      </c>
      <c r="B141" t="n">
        <v>1158</v>
      </c>
      <c r="C141" t="inlineStr">
        <is>
          <t>SODIUM THIOSULFATE INJECTION PARENTERAL 250 mg/1mL 50 mL</t>
        </is>
      </c>
      <c r="D141" t="inlineStr">
        <is>
          <t>سديم تيوسولفات   تزريقي پرنترال 250 mg/1mL 50 g - فرا درمان آذربايجان</t>
        </is>
      </c>
      <c r="E141" t="inlineStr">
        <is>
          <t>تی‌تک و آریا</t>
        </is>
      </c>
    </row>
    <row r="142">
      <c r="A142" t="n">
        <v>141</v>
      </c>
      <c r="B142" t="n">
        <v>1160</v>
      </c>
      <c r="C142" t="inlineStr">
        <is>
          <t>SOMATOSTATIN INJECTION, POWDER, FOR SOLUTION PARENTERAL 0.25 mg</t>
        </is>
      </c>
      <c r="E142" t="inlineStr">
        <is>
          <t>فقط تی‌تک</t>
        </is>
      </c>
    </row>
    <row r="143">
      <c r="A143" t="n">
        <v>142</v>
      </c>
      <c r="B143" t="n">
        <v>1163</v>
      </c>
      <c r="C143" t="inlineStr">
        <is>
          <t>SOTALOL HYDROCHLORIDE TABLET ORAL 40 mg</t>
        </is>
      </c>
      <c r="D143" t="inlineStr">
        <is>
          <t>سوتالول   قرص خوراکي 40 mg - مهردارو</t>
        </is>
      </c>
      <c r="E143" t="inlineStr">
        <is>
          <t>تی‌تک و آریا</t>
        </is>
      </c>
    </row>
    <row r="144">
      <c r="A144" t="n">
        <v>143</v>
      </c>
      <c r="B144" t="n">
        <v>1166</v>
      </c>
      <c r="C144" t="inlineStr">
        <is>
          <t>SPECTINOMYCIN INJECTION, POWDER, FOR SOLUTION PARENTERAL 2 g</t>
        </is>
      </c>
      <c r="D144" t="inlineStr">
        <is>
          <t>اسپکتينومايسين   پودر براي تهيه محلول تزريقي پرنترال 2 g  g</t>
        </is>
      </c>
      <c r="E144" t="inlineStr">
        <is>
          <t>تی‌تک و آریا</t>
        </is>
      </c>
    </row>
    <row r="145">
      <c r="A145" t="n">
        <v>144</v>
      </c>
      <c r="B145" t="n">
        <v>1168</v>
      </c>
      <c r="C145" t="inlineStr">
        <is>
          <t>SPIRAMYCIN TABLET ORAL 500 mg</t>
        </is>
      </c>
      <c r="D145" t="inlineStr">
        <is>
          <t>روامايسين   قرص خوراکي 500 mg - پويش دارو گستر برتر فارس</t>
        </is>
      </c>
      <c r="E145" t="inlineStr">
        <is>
          <t>تی‌تک و آریا</t>
        </is>
      </c>
    </row>
    <row r="146">
      <c r="A146" t="n">
        <v>145</v>
      </c>
      <c r="B146" t="n">
        <v>1172</v>
      </c>
      <c r="C146" t="inlineStr">
        <is>
          <t>STREPTOKINASE INJECTION, POWDER, FOR SOLUTION PARENTERAL 750000 [iU]</t>
        </is>
      </c>
      <c r="E146" t="inlineStr">
        <is>
          <t>فقط تی‌تک</t>
        </is>
      </c>
    </row>
    <row r="147">
      <c r="A147" t="n">
        <v>146</v>
      </c>
      <c r="B147" t="n">
        <v>1174</v>
      </c>
      <c r="C147" t="inlineStr">
        <is>
          <t>STREPTOZOCIN INJECTION, POWDER, FOR SOLUTION PARENTERAL 1 g</t>
        </is>
      </c>
      <c r="D147" t="inlineStr">
        <is>
          <t>استرپتوزوسين کيوسيت   پودر براي تهيه محلول تزريقي پرنترال 1 g  g - سينا پيشگام دارو نوين</t>
        </is>
      </c>
      <c r="E147" t="inlineStr">
        <is>
          <t>تی‌تک و آریا</t>
        </is>
      </c>
    </row>
    <row r="148">
      <c r="A148" t="n">
        <v>147</v>
      </c>
      <c r="B148" t="n">
        <v>1187</v>
      </c>
      <c r="C148" t="inlineStr">
        <is>
          <t>SULPIRIDE TABLET ORAL 200 mg</t>
        </is>
      </c>
      <c r="D148" t="inlineStr">
        <is>
          <t>دوگماتيل   قرص خوراکي 200 mg  mg - شفا گستر آرنگ</t>
        </is>
      </c>
      <c r="E148" t="inlineStr">
        <is>
          <t>تی‌تک و آریا</t>
        </is>
      </c>
    </row>
    <row r="149">
      <c r="A149" t="n">
        <v>148</v>
      </c>
      <c r="B149" t="n">
        <v>1198</v>
      </c>
      <c r="C149" t="inlineStr">
        <is>
          <t>TERBUTALINE SULFATE TABLET ORAL 5 mg</t>
        </is>
      </c>
      <c r="D149" t="inlineStr">
        <is>
          <t>بريکانيل   قرص خوراکي 5 mg - بازرگاني سها کيش</t>
        </is>
      </c>
      <c r="E149" t="inlineStr">
        <is>
          <t>تی‌تک و آریا</t>
        </is>
      </c>
    </row>
    <row r="150">
      <c r="A150" t="n">
        <v>149</v>
      </c>
      <c r="B150" t="n">
        <v>1210</v>
      </c>
      <c r="C150" t="inlineStr">
        <is>
          <t>THEOPHYLLINE TABLET ORAL 200 mg</t>
        </is>
      </c>
      <c r="D150" t="inlineStr">
        <is>
          <t>زانتيوم   قرص خوراکي 200 mg - پويش دارو گستر برتر فارس</t>
        </is>
      </c>
      <c r="E150" t="inlineStr">
        <is>
          <t>تی‌تک و آریا</t>
        </is>
      </c>
    </row>
    <row r="151">
      <c r="A151" t="n">
        <v>150</v>
      </c>
      <c r="B151" t="n">
        <v>1217</v>
      </c>
      <c r="C151" t="inlineStr">
        <is>
          <t>THIOGUANINE TABLET ORAL 40 mg</t>
        </is>
      </c>
      <c r="D151" t="inlineStr">
        <is>
          <t>تيوگوانين اسپن   قرص خوراکي 40 mg - کيان رخسار قشم</t>
        </is>
      </c>
      <c r="E151" t="inlineStr">
        <is>
          <t>تی‌تک و آریا</t>
        </is>
      </c>
    </row>
    <row r="152">
      <c r="A152" t="n">
        <v>151</v>
      </c>
      <c r="B152" t="n">
        <v>1229</v>
      </c>
      <c r="C152" t="inlineStr">
        <is>
          <t>TOBRAMYCIN (AS SULFATE) INJECTION PARENTERAL 40 mg/1mL 2 mL</t>
        </is>
      </c>
      <c r="D152" t="inlineStr">
        <is>
          <t>نبيسينا   تزريقي پرنترال 40 mg/1mL 2 mg - نوآوران فخر دارو</t>
        </is>
      </c>
      <c r="E152" t="inlineStr">
        <is>
          <t>تی‌تک و آریا</t>
        </is>
      </c>
    </row>
    <row r="153">
      <c r="A153" t="n">
        <v>152</v>
      </c>
      <c r="B153" t="n">
        <v>1236</v>
      </c>
      <c r="C153" t="inlineStr">
        <is>
          <t>TOLNAFTATE SOLUTION TOPICAL 1 % 10 mL</t>
        </is>
      </c>
      <c r="D153" t="inlineStr">
        <is>
          <t>ميکودرم    محلول موضعي 1 % 10 mL - درمان ياب آنا</t>
        </is>
      </c>
      <c r="E153" t="inlineStr">
        <is>
          <t>تی‌تک و آریا</t>
        </is>
      </c>
    </row>
    <row r="154">
      <c r="A154" t="n">
        <v>153</v>
      </c>
      <c r="B154" t="n">
        <v>1241</v>
      </c>
      <c r="C154" t="inlineStr">
        <is>
          <t>TRANYLCYPROMINE TABLET ORAL 10 mg</t>
        </is>
      </c>
      <c r="D154" t="inlineStr">
        <is>
          <t>پارنيت   قرص خوراکي 10 mg - يارا طب خاورميانه</t>
        </is>
      </c>
      <c r="E154" t="inlineStr">
        <is>
          <t>تی‌تک و آریا</t>
        </is>
      </c>
    </row>
    <row r="155">
      <c r="A155" t="n">
        <v>154</v>
      </c>
      <c r="B155" t="n">
        <v>1265</v>
      </c>
      <c r="C155" t="inlineStr">
        <is>
          <t>TRIPLE SULFA TABLET VAGINAL 172.5 mg/143.75 mg/184 mg</t>
        </is>
      </c>
      <c r="D155" t="inlineStr">
        <is>
          <t>تريپل سولفا قرص واژينال - پارس دارو</t>
        </is>
      </c>
      <c r="E155" t="inlineStr">
        <is>
          <t>تی‌تک و آریا</t>
        </is>
      </c>
    </row>
    <row r="156">
      <c r="A156" t="n">
        <v>155</v>
      </c>
      <c r="B156" t="n">
        <v>1278</v>
      </c>
      <c r="C156" t="inlineStr">
        <is>
          <t>VERAPAMIL HYDROCHLORIDE TABLET, EXTENDED RELEASE ORAL 240 mg</t>
        </is>
      </c>
      <c r="D156" t="inlineStr">
        <is>
          <t>وراپاميل   قرص پيوسته رهش خوراکي 240 mg - بازرگاني سها کيش</t>
        </is>
      </c>
      <c r="E156" t="inlineStr">
        <is>
          <t>تی‌تک و آریا</t>
        </is>
      </c>
    </row>
    <row r="157">
      <c r="A157" t="n">
        <v>156</v>
      </c>
      <c r="B157" t="n">
        <v>1284</v>
      </c>
      <c r="C157" t="inlineStr">
        <is>
          <t>VINCRISTINE SULFATE INJECTION, POWDER, FOR SOLUTION PARENTERAL 1 mg</t>
        </is>
      </c>
      <c r="D157" t="inlineStr">
        <is>
          <t>وينکريستين   پودر براي تهيه محلول تزريقي پرنترال 1 mg  mg - بازرگاني سها کيش</t>
        </is>
      </c>
      <c r="E157" t="inlineStr">
        <is>
          <t>تی‌تک و آریا</t>
        </is>
      </c>
    </row>
    <row r="158">
      <c r="A158" t="n">
        <v>157</v>
      </c>
      <c r="B158" t="n">
        <v>1290</v>
      </c>
      <c r="D158" t="inlineStr">
        <is>
          <t>آدسول (ويتامين آ+د) قطره 15 م ل - خوارزمي</t>
        </is>
      </c>
      <c r="E158" t="inlineStr">
        <is>
          <t>فقط آریا</t>
        </is>
      </c>
    </row>
    <row r="159">
      <c r="A159" t="n">
        <v>158</v>
      </c>
      <c r="B159" t="n">
        <v>1297</v>
      </c>
      <c r="D159" t="inlineStr">
        <is>
          <t>ويتامين ب6 / 40 م گ قرص - ايران هورمون</t>
        </is>
      </c>
      <c r="E159" t="inlineStr">
        <is>
          <t>فقط آریا</t>
        </is>
      </c>
    </row>
    <row r="160">
      <c r="A160" t="n">
        <v>159</v>
      </c>
      <c r="B160" t="n">
        <v>1305</v>
      </c>
      <c r="D160" t="inlineStr">
        <is>
          <t>ويتامين اي 100 قرص جويدني - اسوه</t>
        </is>
      </c>
      <c r="E160" t="inlineStr">
        <is>
          <t>فقط آریا</t>
        </is>
      </c>
    </row>
    <row r="161">
      <c r="A161" t="n">
        <v>160</v>
      </c>
      <c r="B161" t="n">
        <v>1310</v>
      </c>
      <c r="C161" t="inlineStr">
        <is>
          <t>WATER INJECTION PARENTERAL 2 mL</t>
        </is>
      </c>
      <c r="D161" t="inlineStr">
        <is>
          <t>آب سترون قابل تزريق   تزريقي پرنترال 2 mL  mm - آفا شيمي</t>
        </is>
      </c>
      <c r="E161" t="inlineStr">
        <is>
          <t>تی‌تک و آریا</t>
        </is>
      </c>
    </row>
    <row r="162">
      <c r="A162" t="n">
        <v>161</v>
      </c>
      <c r="B162" t="n">
        <v>1313</v>
      </c>
      <c r="C162" t="inlineStr">
        <is>
          <t>YELLOW FEVER VACCINE INJECTION PARENTERAL 1 {dose}</t>
        </is>
      </c>
      <c r="D162" t="inlineStr">
        <is>
          <t>استاماريل   تزريقي پرنترال 1 {dose}  {dose} - روژين دارو</t>
        </is>
      </c>
      <c r="E162" t="inlineStr">
        <is>
          <t>تی‌تک و آریا</t>
        </is>
      </c>
    </row>
    <row r="163">
      <c r="A163" t="n">
        <v>162</v>
      </c>
      <c r="B163" t="n">
        <v>1318</v>
      </c>
      <c r="C163" t="inlineStr">
        <is>
          <t>ZINC CAPSULE ORAL 220 mg</t>
        </is>
      </c>
      <c r="D163" t="inlineStr">
        <is>
          <t>سوزين 25 ميلي گرم 30 عدد کپسول الحاوي</t>
        </is>
      </c>
      <c r="E163" t="inlineStr">
        <is>
          <t>تی‌تک و آریا</t>
        </is>
      </c>
    </row>
    <row r="164">
      <c r="A164" t="n">
        <v>163</v>
      </c>
      <c r="B164" t="n">
        <v>1320</v>
      </c>
      <c r="D164" t="inlineStr">
        <is>
          <t>کارمينت 30 م ل قطره - پورسينا</t>
        </is>
      </c>
      <c r="E164" t="inlineStr">
        <is>
          <t>فقط آریا</t>
        </is>
      </c>
    </row>
    <row r="165">
      <c r="A165" t="n">
        <v>164</v>
      </c>
      <c r="B165" t="n">
        <v>1322</v>
      </c>
      <c r="D165" t="inlineStr">
        <is>
          <t>هايپيران قطره 30 م ل - پورسينا</t>
        </is>
      </c>
      <c r="E165" t="inlineStr">
        <is>
          <t>فقط آریا</t>
        </is>
      </c>
    </row>
    <row r="166">
      <c r="A166" t="n">
        <v>165</v>
      </c>
      <c r="B166" t="n">
        <v>1338</v>
      </c>
      <c r="C166" t="inlineStr">
        <is>
          <t>DESMOPRESSIN (AS ACETATE) INJECTION PARENTERAL 4 ug/1mL</t>
        </is>
      </c>
      <c r="D166" t="inlineStr">
        <is>
          <t>دسموپرسين   تزريقي پرنترال 4 ug/1mL  ug - بين المللي ياقوت دارو درمان</t>
        </is>
      </c>
      <c r="E166" t="inlineStr">
        <is>
          <t>تی‌تک و آریا</t>
        </is>
      </c>
    </row>
    <row r="167">
      <c r="A167" t="n">
        <v>166</v>
      </c>
      <c r="B167" t="n">
        <v>1339</v>
      </c>
      <c r="C167" t="inlineStr">
        <is>
          <t>DROPERIDOL INJECTION PARENTERAL 2.5 mg/1mL 1 mL</t>
        </is>
      </c>
      <c r="D167" t="inlineStr">
        <is>
          <t>دروپريدول پن فارما   تزريقي پرنترال 2.5 mg/1mL 1 mg - درمان ياب دارو</t>
        </is>
      </c>
      <c r="E167" t="inlineStr">
        <is>
          <t>تی‌تک و آریا</t>
        </is>
      </c>
    </row>
    <row r="168">
      <c r="A168" t="n">
        <v>167</v>
      </c>
      <c r="B168" t="n">
        <v>1342</v>
      </c>
      <c r="D168" t="inlineStr">
        <is>
          <t>آنتي ميگرن 30 ميل قطره  - گل دارو</t>
        </is>
      </c>
      <c r="E168" t="inlineStr">
        <is>
          <t>فقط آریا</t>
        </is>
      </c>
    </row>
    <row r="169">
      <c r="A169" t="n">
        <v>168</v>
      </c>
      <c r="B169" t="n">
        <v>1343</v>
      </c>
      <c r="D169" t="inlineStr">
        <is>
          <t>پروستاتان 30 م ل  قطره - گل دارو</t>
        </is>
      </c>
      <c r="E169" t="inlineStr">
        <is>
          <t>فقط آریا</t>
        </is>
      </c>
    </row>
    <row r="170">
      <c r="A170" t="n">
        <v>169</v>
      </c>
      <c r="B170" t="n">
        <v>1345</v>
      </c>
      <c r="D170" t="inlineStr">
        <is>
          <t>سنکل  30 م ل قطره - گل دارو</t>
        </is>
      </c>
      <c r="E170" t="inlineStr">
        <is>
          <t>فقط آریا</t>
        </is>
      </c>
    </row>
    <row r="171">
      <c r="A171" t="n">
        <v>170</v>
      </c>
      <c r="B171" t="n">
        <v>1365</v>
      </c>
      <c r="C171" t="inlineStr">
        <is>
          <t>ALFENTANIL INJECTION PARENTERAL 0.5 mg/1mL 10 mL</t>
        </is>
      </c>
      <c r="D171" t="inlineStr">
        <is>
          <t>راپيفن   تزريقي پرنترال 0.5 mg/1mL 10 mL - بهستان دارو</t>
        </is>
      </c>
      <c r="E171" t="inlineStr">
        <is>
          <t>تی‌تک و آریا</t>
        </is>
      </c>
    </row>
    <row r="172">
      <c r="A172" t="n">
        <v>171</v>
      </c>
      <c r="B172" t="n">
        <v>1369</v>
      </c>
      <c r="C172" t="inlineStr">
        <is>
          <t>SULFUR SOAP TOPICAL 10 % 75 g</t>
        </is>
      </c>
      <c r="D172" t="inlineStr">
        <is>
          <t>گوگرد   صابون موضعي 10 % 75 g - ساپونين ايران</t>
        </is>
      </c>
      <c r="E172" t="inlineStr">
        <is>
          <t>تی‌تک و آریا</t>
        </is>
      </c>
    </row>
    <row r="173">
      <c r="A173" t="n">
        <v>172</v>
      </c>
      <c r="B173" t="n">
        <v>1381</v>
      </c>
      <c r="D173" t="inlineStr">
        <is>
          <t>آلفا 30 گرم پماد موضعي - توسعه آلفا</t>
        </is>
      </c>
      <c r="E173" t="inlineStr">
        <is>
          <t>فقط آریا</t>
        </is>
      </c>
    </row>
    <row r="174">
      <c r="A174" t="n">
        <v>173</v>
      </c>
      <c r="B174" t="n">
        <v>1389</v>
      </c>
      <c r="D174" t="inlineStr">
        <is>
          <t>آنتوم قرص -  ايران داروک</t>
        </is>
      </c>
      <c r="E174" t="inlineStr">
        <is>
          <t>فقط آریا</t>
        </is>
      </c>
    </row>
    <row r="175">
      <c r="A175" t="n">
        <v>174</v>
      </c>
      <c r="B175" t="n">
        <v>1392</v>
      </c>
      <c r="C175" t="inlineStr">
        <is>
          <t>ANTISCORPION VENOM SERUM INJECTION PARENTERAL  5 mL</t>
        </is>
      </c>
      <c r="D175" t="inlineStr">
        <is>
          <t>اسکوفب   تزريقي پرنترال  5 mL - پادرا سرم البرز</t>
        </is>
      </c>
      <c r="E175" t="inlineStr">
        <is>
          <t>تی‌تک و آریا</t>
        </is>
      </c>
    </row>
    <row r="176">
      <c r="A176" t="n">
        <v>175</v>
      </c>
      <c r="B176" t="n">
        <v>1393</v>
      </c>
      <c r="C176" t="inlineStr">
        <is>
          <t>ANTISNAKE VENOM SERUM, PENTAVALENT INJECTION PARENTERAL  10 mL</t>
        </is>
      </c>
      <c r="D176" t="inlineStr">
        <is>
          <t>اسنافب 5   تزريقي پرنترال  10 mL - پادرا سرم البرز</t>
        </is>
      </c>
      <c r="E176" t="inlineStr">
        <is>
          <t>تی‌تک و آریا</t>
        </is>
      </c>
    </row>
    <row r="177">
      <c r="A177" t="n">
        <v>176</v>
      </c>
      <c r="B177" t="n">
        <v>1400</v>
      </c>
      <c r="D177" t="inlineStr">
        <is>
          <t>زيتروماکس 300 ( آزيترومايسين ) سوسپانسيون - فايزر</t>
        </is>
      </c>
      <c r="E177" t="inlineStr">
        <is>
          <t>فقط آریا</t>
        </is>
      </c>
    </row>
    <row r="178">
      <c r="A178" t="n">
        <v>177</v>
      </c>
      <c r="B178" t="n">
        <v>1403</v>
      </c>
      <c r="C178" t="inlineStr">
        <is>
          <t>BCG INJECTION, POWDER, LYOPHILIZED, FOR SUSPENSION PERCUTANEOUS 1.5 mg</t>
        </is>
      </c>
      <c r="D178" t="inlineStr">
        <is>
          <t>واکسن  ب ث ژ   پودر لئوفيليزه براي تهيه سوسپانسيون تزريقي پرکوتانئوس 1.5 mg  mg - انستيتو پاستور ايران</t>
        </is>
      </c>
      <c r="E178" t="inlineStr">
        <is>
          <t>تی‌تک و آریا</t>
        </is>
      </c>
    </row>
    <row r="179">
      <c r="A179" t="n">
        <v>178</v>
      </c>
      <c r="B179" t="n">
        <v>1405</v>
      </c>
      <c r="D179" t="inlineStr">
        <is>
          <t>دي بي نازال کورت (بکلومتازون) 0.05 درصد 200 پاف 20 م ل اسپري بيني - دنياي بهداشت</t>
        </is>
      </c>
      <c r="E179" t="inlineStr">
        <is>
          <t>فقط آریا</t>
        </is>
      </c>
    </row>
    <row r="180">
      <c r="A180" t="n">
        <v>179</v>
      </c>
      <c r="B180" t="n">
        <v>1406</v>
      </c>
      <c r="C180" t="inlineStr">
        <is>
          <t>BENZYDAMINE HYDROCHLORIDE MOUTHWASH IRRIGATION 0.15 % 120 mL</t>
        </is>
      </c>
      <c r="D180" t="inlineStr">
        <is>
          <t>بنزيدآمين   دهانشويه جهت شستشو 0.15 % 120 mL - زاگرس بهداشت درمان دارو آفرند</t>
        </is>
      </c>
      <c r="E180" t="inlineStr">
        <is>
          <t>تی‌تک و آریا</t>
        </is>
      </c>
    </row>
    <row r="181">
      <c r="A181" t="n">
        <v>180</v>
      </c>
      <c r="B181" t="n">
        <v>1425</v>
      </c>
      <c r="C181" t="inlineStr">
        <is>
          <t>CHARCOAL ACTIVATED TABLET ORAL 250 mg</t>
        </is>
      </c>
      <c r="D181" t="inlineStr">
        <is>
          <t>بيوکربن   قرص خوراکي 250 mg - کيميا گستر صبا</t>
        </is>
      </c>
      <c r="E181" t="inlineStr">
        <is>
          <t>تی‌تک و آریا</t>
        </is>
      </c>
    </row>
    <row r="182">
      <c r="A182" t="n">
        <v>181</v>
      </c>
      <c r="B182" t="n">
        <v>1427</v>
      </c>
      <c r="C182" t="inlineStr">
        <is>
          <t>CHARCOAL ACTIVATED POWDER, FOR SUSPENSION ORAL 50 g</t>
        </is>
      </c>
      <c r="D182" t="inlineStr">
        <is>
          <t>نوريت کربوميکس   پودر براي تهيه سوسپانسيون   خوراکي 50 g  g - بهار نگين توسعه</t>
        </is>
      </c>
      <c r="E182" t="inlineStr">
        <is>
          <t>تی‌تک و آریا</t>
        </is>
      </c>
    </row>
    <row r="183">
      <c r="A183" t="n">
        <v>182</v>
      </c>
      <c r="B183" t="n">
        <v>1435</v>
      </c>
      <c r="C183" t="inlineStr">
        <is>
          <t>CLINDAMYCIN (AS PALMITATE HYDROCHLORIDE) SUSPENSION ORAL 75 mg/5mL 80 mL</t>
        </is>
      </c>
      <c r="D183" t="inlineStr">
        <is>
          <t>داتيسين (کليندامايسين) شربت 80ML- تهران شيمي</t>
        </is>
      </c>
      <c r="E183" t="inlineStr">
        <is>
          <t>تی‌تک و آریا</t>
        </is>
      </c>
    </row>
    <row r="184">
      <c r="A184" t="n">
        <v>183</v>
      </c>
      <c r="B184" t="n">
        <v>1436</v>
      </c>
      <c r="C184" t="inlineStr">
        <is>
          <t>CLOFAZIMINE CAPSULE ORAL 100 mg</t>
        </is>
      </c>
      <c r="D184" t="inlineStr">
        <is>
          <t>کلوفازمين   کپسول خوراکي 100 mg - ماه داروي حکيم</t>
        </is>
      </c>
      <c r="E184" t="inlineStr">
        <is>
          <t>تی‌تک و آریا</t>
        </is>
      </c>
    </row>
    <row r="185">
      <c r="A185" t="n">
        <v>184</v>
      </c>
      <c r="B185" t="n">
        <v>1437</v>
      </c>
      <c r="C185" t="inlineStr">
        <is>
          <t>CLOFAZIMINE CAPSULE ORAL 50 mg</t>
        </is>
      </c>
      <c r="D185" t="inlineStr">
        <is>
          <t>کلبريکس   کپسول خوراکي 50 mg - دارو اثرت گستر</t>
        </is>
      </c>
      <c r="E185" t="inlineStr">
        <is>
          <t>تی‌تک و آریا</t>
        </is>
      </c>
    </row>
    <row r="186">
      <c r="A186" t="n">
        <v>185</v>
      </c>
      <c r="B186" t="n">
        <v>1442</v>
      </c>
      <c r="C186" t="inlineStr">
        <is>
          <t>CONTRACEPTIVE DE TABLET ORAL 0.15 mg/20 ug</t>
        </is>
      </c>
      <c r="D186" t="inlineStr">
        <is>
          <t>دايسينل   قرص خوراکي 0.15 mg/20 ug</t>
        </is>
      </c>
      <c r="E186" t="inlineStr">
        <is>
          <t>تی‌تک و آریا</t>
        </is>
      </c>
    </row>
    <row r="187">
      <c r="A187" t="n">
        <v>186</v>
      </c>
      <c r="B187" t="n">
        <v>1449</v>
      </c>
      <c r="C187" t="inlineStr">
        <is>
          <t>CROMOLYN SODIUM INHALANT RESPIRATORY 1 mg/1{dose} 120 {dose}</t>
        </is>
      </c>
      <c r="D187" t="inlineStr">
        <is>
          <t>لومودال   اينهالر استنشاقي 1 mg/1{dose} 120 {dose} - گسترش بازرگاني دارو پخش</t>
        </is>
      </c>
      <c r="E187" t="inlineStr">
        <is>
          <t>تی‌تک و آریا</t>
        </is>
      </c>
    </row>
    <row r="188">
      <c r="A188" t="n">
        <v>187</v>
      </c>
      <c r="B188" t="n">
        <v>1452</v>
      </c>
      <c r="C188" t="inlineStr">
        <is>
          <t>CICLOSPORIN INJECTION, SOLUTION INTRAVENOUS 50 mg/1mL 1 mL</t>
        </is>
      </c>
      <c r="D188" t="inlineStr">
        <is>
          <t>سانديمون   محلول تزريقي داخل وريدي 50 mg/1mL 1 mg - رايان دارو ايرانيان</t>
        </is>
      </c>
      <c r="E188" t="inlineStr">
        <is>
          <t>تی‌تک و آریا</t>
        </is>
      </c>
    </row>
    <row r="189">
      <c r="A189" t="n">
        <v>188</v>
      </c>
      <c r="B189" t="n">
        <v>1454</v>
      </c>
      <c r="C189" t="inlineStr">
        <is>
          <t>CYTARABINE INJECTION, POWDER, FOR SOLUTION PARENTERAL 1 g</t>
        </is>
      </c>
      <c r="D189" t="inlineStr">
        <is>
          <t>سيتارين   پودر براي تهيه محلول تزريقي پرنترال 1 g  g - آريا طب آذر</t>
        </is>
      </c>
      <c r="E189" t="inlineStr">
        <is>
          <t>تی‌تک و آریا</t>
        </is>
      </c>
    </row>
    <row r="190">
      <c r="A190" t="n">
        <v>189</v>
      </c>
      <c r="B190" t="n">
        <v>1456</v>
      </c>
      <c r="C190" t="inlineStr">
        <is>
          <t>DAPSONE TABLET ORAL 50 mg</t>
        </is>
      </c>
      <c r="D190" t="inlineStr">
        <is>
          <t>داپسون اسکن فارم   قرص خوراکي 50 mg - نسيم دارو سلامت</t>
        </is>
      </c>
      <c r="E190" t="inlineStr">
        <is>
          <t>تی‌تک و آریا</t>
        </is>
      </c>
    </row>
    <row r="191">
      <c r="A191" t="n">
        <v>190</v>
      </c>
      <c r="B191" t="n">
        <v>1457</v>
      </c>
      <c r="C191" t="inlineStr">
        <is>
          <t>DESMOPRESSIN (AS ACETATE) INJECTION PARENTERAL 15 ug/1mL</t>
        </is>
      </c>
      <c r="E191" t="inlineStr">
        <is>
          <t>فقط تی‌تک</t>
        </is>
      </c>
    </row>
    <row r="192">
      <c r="A192" t="n">
        <v>191</v>
      </c>
      <c r="B192" t="n">
        <v>1461</v>
      </c>
      <c r="C192" t="inlineStr">
        <is>
          <t>DIAZEPAM SUPPOSITORY RECTAL 10 mg</t>
        </is>
      </c>
      <c r="D192" t="inlineStr">
        <is>
          <t>ديازپام دستين   شياف مقعدي 10 mg  mg - مهبان دارو گستر پارس</t>
        </is>
      </c>
      <c r="E192" t="inlineStr">
        <is>
          <t>تی‌تک و آریا</t>
        </is>
      </c>
    </row>
    <row r="193">
      <c r="A193" t="n">
        <v>192</v>
      </c>
      <c r="B193" t="n">
        <v>1463</v>
      </c>
      <c r="C193" t="inlineStr">
        <is>
          <t>DIAZOXIDE CAPSULE ORAL 50 mg</t>
        </is>
      </c>
      <c r="D193" t="inlineStr">
        <is>
          <t>اودمين   کپسول خوراکي 50 mg  mg - شفا گستر تسنيم</t>
        </is>
      </c>
      <c r="E193" t="inlineStr">
        <is>
          <t>تی‌تک و آریا</t>
        </is>
      </c>
    </row>
    <row r="194">
      <c r="A194" t="n">
        <v>193</v>
      </c>
      <c r="B194" t="n">
        <v>1474</v>
      </c>
      <c r="C194" t="inlineStr">
        <is>
          <t>DIPHTHERIA TOXOID / TETANUS TOXOID / PERTUSSIS VACCINE INJECTION, SUSPENSION PARENTERAL 10 {dose} 5 mL</t>
        </is>
      </c>
      <c r="D194" t="inlineStr">
        <is>
          <t>دي تي پي   سوسپانسيون تزريقي پرنترال 10 {dose} 5 {dose} - دارو درمان آرنگ</t>
        </is>
      </c>
      <c r="E194" t="inlineStr">
        <is>
          <t>تی‌تک و آریا</t>
        </is>
      </c>
    </row>
    <row r="195">
      <c r="A195" t="n">
        <v>194</v>
      </c>
      <c r="B195" t="n">
        <v>1485</v>
      </c>
      <c r="C195" t="inlineStr">
        <is>
          <t>EDETATE CALCIUM DISODIUM INJECTION PARENTERAL 50 mg/1mL 10 mL</t>
        </is>
      </c>
      <c r="D195" t="inlineStr">
        <is>
          <t>ادتات کلسيم دي سديم   تزريقي پرنترال 50 mg/1mL 10 mL - دارويي پرسون بام بين الملل</t>
        </is>
      </c>
      <c r="E195" t="inlineStr">
        <is>
          <t>تی‌تک و آریا</t>
        </is>
      </c>
    </row>
    <row r="196">
      <c r="A196" t="n">
        <v>195</v>
      </c>
      <c r="B196" t="n">
        <v>1494</v>
      </c>
      <c r="C196" t="inlineStr">
        <is>
          <t>ESMOLOL HYDROCHLORIDE INJECTION, SOLUTION, CONCENTRATE PARENTERAL 250 mg/1mL 10 mL</t>
        </is>
      </c>
      <c r="D196" t="inlineStr">
        <is>
          <t>اسمولول   محلول غليظ تزريقي پرنترال 250 mg/1mL 10 g - عرفان طب پارس</t>
        </is>
      </c>
      <c r="E196" t="inlineStr">
        <is>
          <t>تی‌تک و آریا</t>
        </is>
      </c>
    </row>
    <row r="197">
      <c r="A197" t="n">
        <v>196</v>
      </c>
      <c r="B197" t="n">
        <v>1506</v>
      </c>
      <c r="C197" t="inlineStr">
        <is>
          <t>FERROUS SULFATE SYRUP ORAL 40 mg/1mL 60 mL</t>
        </is>
      </c>
      <c r="D197" t="inlineStr">
        <is>
          <t>فربولين شربت (فروس سولفات) 60 م ل - شهردارو</t>
        </is>
      </c>
      <c r="E197" t="inlineStr">
        <is>
          <t>تی‌تک و آریا</t>
        </is>
      </c>
    </row>
    <row r="198">
      <c r="A198" t="n">
        <v>197</v>
      </c>
      <c r="B198" t="n">
        <v>1509</v>
      </c>
      <c r="C198" t="inlineStr">
        <is>
          <t>FLUORIDE GEL ORAL 1.23 % 150 g</t>
        </is>
      </c>
      <c r="E198" t="inlineStr">
        <is>
          <t>فقط تی‌تک</t>
        </is>
      </c>
    </row>
    <row r="199">
      <c r="A199" t="n">
        <v>198</v>
      </c>
      <c r="B199" t="n">
        <v>1530</v>
      </c>
      <c r="C199" t="inlineStr">
        <is>
          <t>HEPATITIS B IMMUNE GLOBULIN INJECTION PARENTERAL 200 [iU]/1mL 1 mL</t>
        </is>
      </c>
      <c r="D199" t="inlineStr">
        <is>
          <t>هپاتيت بي ايمونوگلوبولين   تزريقي پرنترال 200 [iU]/1mL 1 [iU] - بازرگاني سها کيش</t>
        </is>
      </c>
      <c r="E199" t="inlineStr">
        <is>
          <t>تی‌تک و آریا</t>
        </is>
      </c>
    </row>
    <row r="200">
      <c r="A200" t="n">
        <v>199</v>
      </c>
      <c r="B200" t="n">
        <v>1537</v>
      </c>
      <c r="C200" t="inlineStr">
        <is>
          <t>IDARUBICIN HYDROCHLORIDE INJECTION, POWDER, LYOPHILIZED, FOR SOLUTION PARENTERAL 5 mg</t>
        </is>
      </c>
      <c r="D200" t="inlineStr">
        <is>
          <t>زاودوز   پودر لئوفيليزه براي تهيه محلول تزريقي پرنترال 5 mg  mg - بهستان دارو</t>
        </is>
      </c>
      <c r="E200" t="inlineStr">
        <is>
          <t>تی‌تک و آریا</t>
        </is>
      </c>
    </row>
    <row r="201">
      <c r="A201" t="n">
        <v>200</v>
      </c>
      <c r="B201" t="n">
        <v>1538</v>
      </c>
      <c r="C201" t="inlineStr">
        <is>
          <t>IDARUBICIN HYDROCHLORIDE INJECTION, POWDER, LYOPHILIZED, FOR SOLUTION PARENTERAL 10 mg</t>
        </is>
      </c>
      <c r="D201" t="inlineStr">
        <is>
          <t>ايداروب   پودر لئوفيليزه براي تهيه محلول تزريقي پرنترال 10 mg  mg - رايان دارو ايرانيان</t>
        </is>
      </c>
      <c r="E201" t="inlineStr">
        <is>
          <t>تی‌تک و آریا</t>
        </is>
      </c>
    </row>
    <row r="202">
      <c r="A202" t="n">
        <v>201</v>
      </c>
      <c r="B202" t="n">
        <v>1558</v>
      </c>
      <c r="C202" t="inlineStr">
        <is>
          <t>ISOPROTERENOL HYDROCHLORIDE INJECTION PARENTERAL 0.2 mg/1mL</t>
        </is>
      </c>
      <c r="D202" t="inlineStr">
        <is>
          <t>آلودرينا   تزريقي پرنترال 0.2 mg/1mL  mg - تامين آوا سلامت</t>
        </is>
      </c>
      <c r="E202" t="inlineStr">
        <is>
          <t>تی‌تک و آریا</t>
        </is>
      </c>
    </row>
    <row r="203">
      <c r="A203" t="n">
        <v>202</v>
      </c>
      <c r="B203" t="n">
        <v>1563</v>
      </c>
      <c r="D203" t="inlineStr">
        <is>
          <t>ساپو-کتوکونازول 2درصد 100 م ل شامپو-ساپونين</t>
        </is>
      </c>
      <c r="E203" t="inlineStr">
        <is>
          <t>فقط آریا</t>
        </is>
      </c>
    </row>
    <row r="204">
      <c r="A204" t="n">
        <v>203</v>
      </c>
      <c r="B204" t="n">
        <v>1578</v>
      </c>
      <c r="C204" t="inlineStr">
        <is>
          <t>MEASLES / MUMPS / RUBELLA VACCINE INJECTION, POWDER, LYOPHILIZED, FOR SOLUTION PARENTERAL 10 {dose}</t>
        </is>
      </c>
      <c r="D204" t="inlineStr">
        <is>
          <t>واکسن سرخک/اوريون/سرخجه   پودر لئوفيليزه براي تهيه محلول تزريقي پرنترال 10 {dose}  {dose} - اوين دارو</t>
        </is>
      </c>
      <c r="E204" t="inlineStr">
        <is>
          <t>تی‌تک و آریا</t>
        </is>
      </c>
    </row>
    <row r="205">
      <c r="A205" t="n">
        <v>204</v>
      </c>
      <c r="B205" t="n">
        <v>1589</v>
      </c>
      <c r="C205" t="inlineStr">
        <is>
          <t>METHYLENE BLUE INJECTION PARENTERAL 10 mg/1mL 10 mL</t>
        </is>
      </c>
      <c r="D205" t="inlineStr">
        <is>
          <t>متيبلو   تزريقي پرنترال 10 mg/1mL 10 mg - سينا پيشگام دارو نوين</t>
        </is>
      </c>
      <c r="E205" t="inlineStr">
        <is>
          <t>تی‌تک و آریا</t>
        </is>
      </c>
    </row>
    <row r="206">
      <c r="A206" t="n">
        <v>205</v>
      </c>
      <c r="B206" t="n">
        <v>1595</v>
      </c>
      <c r="C206" t="inlineStr">
        <is>
          <t>MOCLOBEMIDE TABLET ORAL 150 mg</t>
        </is>
      </c>
      <c r="D206" t="inlineStr">
        <is>
          <t>اوروريکس   قرص خوراکي 150 mg - تامين آوا سلامت</t>
        </is>
      </c>
      <c r="E206" t="inlineStr">
        <is>
          <t>تی‌تک و آریا</t>
        </is>
      </c>
    </row>
    <row r="207">
      <c r="A207" t="n">
        <v>206</v>
      </c>
      <c r="B207" t="n">
        <v>1604</v>
      </c>
      <c r="C207" t="inlineStr">
        <is>
          <t>NADOLOL TABLET ORAL 80 mg</t>
        </is>
      </c>
      <c r="D207" t="inlineStr">
        <is>
          <t>کورگارد   قرص خوراکي 80 mg - بازرگاني سها کيش</t>
        </is>
      </c>
      <c r="E207" t="inlineStr">
        <is>
          <t>تی‌تک و آریا</t>
        </is>
      </c>
    </row>
    <row r="208">
      <c r="A208" t="n">
        <v>207</v>
      </c>
      <c r="B208" t="n">
        <v>1608</v>
      </c>
      <c r="C208" t="inlineStr">
        <is>
          <t>NICOTINE GUM, CHEWING ORAL 2 mg</t>
        </is>
      </c>
      <c r="D208" t="inlineStr">
        <is>
          <t>نيکلايف   آدامس خوراکي 2 mg - کيميا آفرينان البرز</t>
        </is>
      </c>
      <c r="E208" t="inlineStr">
        <is>
          <t>تی‌تک و آریا</t>
        </is>
      </c>
    </row>
    <row r="209">
      <c r="A209" t="n">
        <v>208</v>
      </c>
      <c r="B209" t="n">
        <v>1642</v>
      </c>
      <c r="C209" t="inlineStr">
        <is>
          <t>POVIDONE IODINE SHAMPOO TOPICAL 7.5 % 140 mL</t>
        </is>
      </c>
      <c r="D209" t="inlineStr">
        <is>
          <t>پوويدون آيداين 7.5 درصد 140 م ل شامپو - ساپونين</t>
        </is>
      </c>
      <c r="E209" t="inlineStr">
        <is>
          <t>تی‌تک و آریا</t>
        </is>
      </c>
    </row>
    <row r="210">
      <c r="A210" t="n">
        <v>209</v>
      </c>
      <c r="B210" t="n">
        <v>1657</v>
      </c>
      <c r="C210" t="inlineStr">
        <is>
          <t>PROTHIONAMIDE TABLET ORAL 250 mg</t>
        </is>
      </c>
      <c r="E210" t="inlineStr">
        <is>
          <t>فقط تی‌تک</t>
        </is>
      </c>
    </row>
    <row r="211">
      <c r="A211" t="n">
        <v>210</v>
      </c>
      <c r="B211" t="n">
        <v>1667</v>
      </c>
      <c r="D211" t="inlineStr">
        <is>
          <t>آستالين 4*5*2.5 ميلي ليتر (سالبوتامول) محلول استنشاقي (رسپيول) - CIPLA(کوشان فارمد)</t>
        </is>
      </c>
      <c r="E211" t="inlineStr">
        <is>
          <t>فقط آریا</t>
        </is>
      </c>
    </row>
    <row r="212">
      <c r="A212" t="n">
        <v>211</v>
      </c>
      <c r="B212" t="n">
        <v>1679</v>
      </c>
      <c r="C212" t="inlineStr">
        <is>
          <t>SODIUM NITRITE INJECTION PARENTERAL 30 mg/1mL</t>
        </is>
      </c>
      <c r="D212" t="inlineStr">
        <is>
          <t>سديم نيتريت   تزريقي پرنترال 30 mg/1mL  [Amb'a'1'U] - فوريتهاي سينا آرات گستر</t>
        </is>
      </c>
      <c r="E212" t="inlineStr">
        <is>
          <t>تی‌تک و آریا</t>
        </is>
      </c>
    </row>
    <row r="213">
      <c r="A213" t="n">
        <v>212</v>
      </c>
      <c r="B213" t="n">
        <v>1680</v>
      </c>
      <c r="C213" t="inlineStr">
        <is>
          <t>SODIUM SALICYLATE TABLET, DELAYED RELEASE ORAL 300 mg</t>
        </is>
      </c>
      <c r="E213" t="inlineStr">
        <is>
          <t>فقط تی‌تک</t>
        </is>
      </c>
    </row>
    <row r="214">
      <c r="A214" t="n">
        <v>213</v>
      </c>
      <c r="B214" t="n">
        <v>1682</v>
      </c>
      <c r="C214" t="inlineStr">
        <is>
          <t>PYRIMETHAMINE / SULFADOXINE TABLET ORAL 500 mg/25 mg</t>
        </is>
      </c>
      <c r="E214" t="inlineStr">
        <is>
          <t>فقط تی‌تک</t>
        </is>
      </c>
    </row>
    <row r="215">
      <c r="A215" t="n">
        <v>214</v>
      </c>
      <c r="B215" t="n">
        <v>1697</v>
      </c>
      <c r="C215" t="inlineStr">
        <is>
          <t>TRICLABENDAZOLE TABLET ORAL 250 mg</t>
        </is>
      </c>
      <c r="D215" t="inlineStr">
        <is>
          <t>اگاتن   قرص خوراکي 250 mg - بازرگاني سها کيش</t>
        </is>
      </c>
      <c r="E215" t="inlineStr">
        <is>
          <t>تی‌تک و آریا</t>
        </is>
      </c>
    </row>
    <row r="216">
      <c r="A216" t="n">
        <v>215</v>
      </c>
      <c r="B216" t="n">
        <v>1702</v>
      </c>
      <c r="C216" t="inlineStr">
        <is>
          <t>VANCOMYCIN (AS HYDROCHLORIDE) CAPSULE, LIQUID FILLED ORAL 250 mg</t>
        </is>
      </c>
      <c r="D216" t="inlineStr">
        <is>
          <t>ونکومايسين   کپسول حاوي مايع خوراکي 250 mg - آريا ديبا دارو</t>
        </is>
      </c>
      <c r="E216" t="inlineStr">
        <is>
          <t>تی‌تک و آریا</t>
        </is>
      </c>
    </row>
    <row r="217">
      <c r="A217" t="n">
        <v>216</v>
      </c>
      <c r="B217" t="n">
        <v>1706</v>
      </c>
      <c r="C217" t="inlineStr">
        <is>
          <t>VERAPAMIL HYDROCHLORIDE TABLET ORAL 80 mg</t>
        </is>
      </c>
      <c r="D217" t="inlineStr">
        <is>
          <t>وراپاميل   قرص خوراکي 80 mg  [Amb'a'1'U] - فوريتهاي سينا آرات گستر</t>
        </is>
      </c>
      <c r="E217" t="inlineStr">
        <is>
          <t>تی‌تک و آریا</t>
        </is>
      </c>
    </row>
    <row r="218">
      <c r="A218" t="n">
        <v>217</v>
      </c>
      <c r="B218" t="n">
        <v>1712</v>
      </c>
      <c r="C218" t="inlineStr">
        <is>
          <t>ZIDOVUDINE SYRUP ORAL 50 mg/5mL 100 mL</t>
        </is>
      </c>
      <c r="D218" t="inlineStr">
        <is>
          <t>زيدوودين   شربت خوراکي 50 mg/5mL 100 mL - بازرگاني سها کيش</t>
        </is>
      </c>
      <c r="E218" t="inlineStr">
        <is>
          <t>تی‌تک و آریا</t>
        </is>
      </c>
    </row>
    <row r="219">
      <c r="A219" t="n">
        <v>218</v>
      </c>
      <c r="B219" t="n">
        <v>1724</v>
      </c>
      <c r="D219" t="inlineStr">
        <is>
          <t>رهاکين 200(سديم والپروات)شربت 250 ميلي ليتر - رها</t>
        </is>
      </c>
      <c r="E219" t="inlineStr">
        <is>
          <t>فقط آریا</t>
        </is>
      </c>
    </row>
    <row r="220">
      <c r="A220" t="n">
        <v>219</v>
      </c>
      <c r="B220" t="n">
        <v>1737</v>
      </c>
      <c r="C220" t="inlineStr">
        <is>
          <t>ACTIVATED PROTHROMBIN COMPLEX (CONCENTRATED) INJECTION, POWDER, LYOPHILIZED, FOR SOLUTION PARENTERAL 1000 [iU]</t>
        </is>
      </c>
      <c r="D220" t="inlineStr">
        <is>
          <t>فيبا   پودر لئوفيليزه براي تهيه محلول تزريقي پرنترال 1000 [iU]  [USP'U] - کار و انديشه</t>
        </is>
      </c>
      <c r="E220" t="inlineStr">
        <is>
          <t>تی‌تک و آریا</t>
        </is>
      </c>
    </row>
    <row r="221">
      <c r="A221" t="n">
        <v>220</v>
      </c>
      <c r="B221" t="n">
        <v>1739</v>
      </c>
      <c r="D221" t="inlineStr">
        <is>
          <t xml:space="preserve">نازوکلسين200(کلسي تونين)اسپري - سينا دارو </t>
        </is>
      </c>
      <c r="E221" t="inlineStr">
        <is>
          <t>فقط آریا</t>
        </is>
      </c>
    </row>
    <row r="222">
      <c r="A222" t="n">
        <v>221</v>
      </c>
      <c r="B222" t="n">
        <v>1749</v>
      </c>
      <c r="D222" t="inlineStr">
        <is>
          <t>رينومکسان (کرومولين) 2 درصد 13 م ل 100 پاف اسپري بيني - جابرابن حيان</t>
        </is>
      </c>
      <c r="E222" t="inlineStr">
        <is>
          <t>فقط آریا</t>
        </is>
      </c>
    </row>
    <row r="223">
      <c r="A223" t="n">
        <v>222</v>
      </c>
      <c r="B223" t="n">
        <v>1754</v>
      </c>
      <c r="C223" t="inlineStr">
        <is>
          <t>CO-AMOXICLAV POWDER, FOR SUSPENSION ORAL 125 mg/31.25 mg</t>
        </is>
      </c>
      <c r="E223" t="inlineStr">
        <is>
          <t>فقط تی‌تک</t>
        </is>
      </c>
    </row>
    <row r="224">
      <c r="A224" t="n">
        <v>223</v>
      </c>
      <c r="B224" t="n">
        <v>1777</v>
      </c>
      <c r="C224" t="inlineStr">
        <is>
          <t>PROPAFENONE HYDROCHLORIDE TABLET ORAL 150 mg</t>
        </is>
      </c>
      <c r="D224" t="inlineStr">
        <is>
          <t>پروپافنون   قرص خوراکي 150 mg</t>
        </is>
      </c>
      <c r="E224" t="inlineStr">
        <is>
          <t>تی‌تک و آریا</t>
        </is>
      </c>
    </row>
    <row r="225">
      <c r="A225" t="n">
        <v>224</v>
      </c>
      <c r="B225" t="n">
        <v>1778</v>
      </c>
      <c r="C225" t="inlineStr">
        <is>
          <t>PROPAFENONE HYDROCHLORIDE TABLET ORAL 300 mg</t>
        </is>
      </c>
      <c r="D225" t="inlineStr">
        <is>
          <t>پروپافنون   قرص خوراکي 300 mg</t>
        </is>
      </c>
      <c r="E225" t="inlineStr">
        <is>
          <t>تی‌تک و آریا</t>
        </is>
      </c>
    </row>
    <row r="226">
      <c r="A226" t="n">
        <v>225</v>
      </c>
      <c r="B226" t="n">
        <v>1783</v>
      </c>
      <c r="D226" t="inlineStr">
        <is>
          <t>ليکوفار قرص - گل دارو</t>
        </is>
      </c>
      <c r="E226" t="inlineStr">
        <is>
          <t>فقط آریا</t>
        </is>
      </c>
    </row>
    <row r="227">
      <c r="A227" t="n">
        <v>226</v>
      </c>
      <c r="B227" t="n">
        <v>1823</v>
      </c>
      <c r="C227" t="inlineStr">
        <is>
          <t>AMANTADINE SULFATE TABLET ORAL 100 mg</t>
        </is>
      </c>
      <c r="D227" t="inlineStr">
        <is>
          <t>پي کا-مرز   قرص خوراکي 100 mg - بازرگاني سها کيش</t>
        </is>
      </c>
      <c r="E227" t="inlineStr">
        <is>
          <t>تی‌تک و آریا</t>
        </is>
      </c>
    </row>
    <row r="228">
      <c r="A228" t="n">
        <v>227</v>
      </c>
      <c r="B228" t="n">
        <v>1839</v>
      </c>
      <c r="D228" t="inlineStr">
        <is>
          <t>سناگل 60 م ل شربت - گل دارو</t>
        </is>
      </c>
      <c r="E228" t="inlineStr">
        <is>
          <t>فقط آریا</t>
        </is>
      </c>
    </row>
    <row r="229">
      <c r="A229" t="n">
        <v>228</v>
      </c>
      <c r="B229" t="n">
        <v>1840</v>
      </c>
      <c r="D229" t="inlineStr">
        <is>
          <t>گل گريپ 120 م ل محلول خوراکي - گل دارو</t>
        </is>
      </c>
      <c r="E229" t="inlineStr">
        <is>
          <t>فقط آریا</t>
        </is>
      </c>
    </row>
    <row r="230">
      <c r="A230" t="n">
        <v>229</v>
      </c>
      <c r="B230" t="n">
        <v>1861</v>
      </c>
      <c r="C230" t="inlineStr">
        <is>
          <t>APROTININ INJECTION PARENTERAL 10000000 [iU]/1mL 10 mL</t>
        </is>
      </c>
      <c r="D230" t="inlineStr">
        <is>
          <t>آپروتک   تزريقي پرنترال 10000000 [iU]/1mL 10 - پويش دارو گستر برتر فارس</t>
        </is>
      </c>
      <c r="E230" t="inlineStr">
        <is>
          <t>تی‌تک و آریا</t>
        </is>
      </c>
    </row>
    <row r="231">
      <c r="A231" t="n">
        <v>230</v>
      </c>
      <c r="B231" t="n">
        <v>1866</v>
      </c>
      <c r="C231" t="inlineStr">
        <is>
          <t>NAFCILLIN INJECTION PARENTERAL 1 g/1mL</t>
        </is>
      </c>
      <c r="D231" t="inlineStr">
        <is>
          <t>نافسيلين   تزريقي پرنترال 1 g/1mL  g - سينا پيشگام دارو نوين</t>
        </is>
      </c>
      <c r="E231" t="inlineStr">
        <is>
          <t>تی‌تک و آریا</t>
        </is>
      </c>
    </row>
    <row r="232">
      <c r="A232" t="n">
        <v>231</v>
      </c>
      <c r="B232" t="n">
        <v>1873</v>
      </c>
      <c r="C232" t="inlineStr">
        <is>
          <t>NITROGLYCERIN PLASTER TRANSDERMAL 5 mg</t>
        </is>
      </c>
      <c r="E232" t="inlineStr">
        <is>
          <t>فقط تی‌تک</t>
        </is>
      </c>
    </row>
    <row r="233">
      <c r="A233" t="n">
        <v>232</v>
      </c>
      <c r="B233" t="n">
        <v>1880</v>
      </c>
      <c r="C233" t="inlineStr">
        <is>
          <t>RIBAVIRIN INJECTION PARENTERAL 100 mg/1mL 1 mL</t>
        </is>
      </c>
      <c r="D233" t="inlineStr">
        <is>
          <t>ريباويرين   تزريقي پرنترال 100 mg/1mL 1 mg - بهسام آرا دارو</t>
        </is>
      </c>
      <c r="E233" t="inlineStr">
        <is>
          <t>تی‌تک و آریا</t>
        </is>
      </c>
    </row>
    <row r="234">
      <c r="A234" t="n">
        <v>233</v>
      </c>
      <c r="B234" t="n">
        <v>1881</v>
      </c>
      <c r="C234" t="inlineStr">
        <is>
          <t>RIBAVIRIN TABLET ORAL 200 mg</t>
        </is>
      </c>
      <c r="D234" t="inlineStr">
        <is>
          <t>ريباويرينا نورمون   قرص خوراکي 200 mg - تچرا دارو</t>
        </is>
      </c>
      <c r="E234" t="inlineStr">
        <is>
          <t>تی‌تک و آریا</t>
        </is>
      </c>
    </row>
    <row r="235">
      <c r="A235" t="n">
        <v>234</v>
      </c>
      <c r="B235" t="n">
        <v>1889</v>
      </c>
      <c r="C235" t="inlineStr">
        <is>
          <t>FLUTICASONE PROPIONATE INHALANT RESPIRATORY 125 ug/1{dose} 60 {Puff}</t>
        </is>
      </c>
      <c r="E235" t="inlineStr">
        <is>
          <t>فقط تی‌تک</t>
        </is>
      </c>
    </row>
    <row r="236">
      <c r="A236" t="n">
        <v>235</v>
      </c>
      <c r="B236" t="n">
        <v>1898</v>
      </c>
      <c r="C236" t="inlineStr">
        <is>
          <t>PAMIDRONATE DISODIUM INJECTION PARENTERAL 3 mg/1mL 10 mL</t>
        </is>
      </c>
      <c r="D236" t="inlineStr">
        <is>
          <t>آرديا   تزريقي پرنترال 3 mg/1mL 10 - پويش دارو گستر برتر فارس</t>
        </is>
      </c>
      <c r="E236" t="inlineStr">
        <is>
          <t>تی‌تک و آریا</t>
        </is>
      </c>
    </row>
    <row r="237">
      <c r="A237" t="n">
        <v>236</v>
      </c>
      <c r="B237" t="n">
        <v>1914</v>
      </c>
      <c r="D237" t="inlineStr">
        <is>
          <t xml:space="preserve">سينا تي يرز (پلي وينيل الکل) قطره چشمي 10ML - سينا دارو </t>
        </is>
      </c>
      <c r="E237" t="inlineStr">
        <is>
          <t>فقط آریا</t>
        </is>
      </c>
    </row>
    <row r="238">
      <c r="A238" t="n">
        <v>237</v>
      </c>
      <c r="B238" t="n">
        <v>1941</v>
      </c>
      <c r="D238" t="inlineStr">
        <is>
          <t>اندريول 40 (تستسترون )کپسول - CIPLA(کوشان فارمد)</t>
        </is>
      </c>
      <c r="E238" t="inlineStr">
        <is>
          <t>فقط آریا</t>
        </is>
      </c>
    </row>
    <row r="239">
      <c r="A239" t="n">
        <v>238</v>
      </c>
      <c r="B239" t="n">
        <v>1950</v>
      </c>
      <c r="C239" t="inlineStr">
        <is>
          <t>IOHEXOL INJECTION PARENTERAL 240 mg/1mL 100 mL</t>
        </is>
      </c>
      <c r="D239" t="inlineStr">
        <is>
          <t>آيوپک   تزريقي پرنترال 240 mg/1mL 100 mL - کارخانجات دارو پخش</t>
        </is>
      </c>
      <c r="E239" t="inlineStr">
        <is>
          <t>تی‌تک و آریا</t>
        </is>
      </c>
    </row>
    <row r="240">
      <c r="A240" t="n">
        <v>239</v>
      </c>
      <c r="B240" t="n">
        <v>1952</v>
      </c>
      <c r="C240" t="inlineStr">
        <is>
          <t>PROPOFOL INJECTION, EMULSION PARENTERAL 10 mg/1mL 100 mL</t>
        </is>
      </c>
      <c r="E240" t="inlineStr">
        <is>
          <t>فقط تی‌تک</t>
        </is>
      </c>
    </row>
    <row r="241">
      <c r="A241" t="n">
        <v>240</v>
      </c>
      <c r="B241" t="n">
        <v>1970</v>
      </c>
      <c r="D241" t="inlineStr">
        <is>
          <t>موسيليوم (بدون طعم) ملين گياهي ساشه -  ايران داروک</t>
        </is>
      </c>
      <c r="E241" t="inlineStr">
        <is>
          <t>فقط آریا</t>
        </is>
      </c>
    </row>
    <row r="242">
      <c r="A242" t="n">
        <v>241</v>
      </c>
      <c r="B242" t="n">
        <v>1980</v>
      </c>
      <c r="C242" t="inlineStr">
        <is>
          <t>DESMOPRESSIN (AS ACETATE) TABLET ORAL 0.1 mg</t>
        </is>
      </c>
      <c r="D242" t="inlineStr">
        <is>
          <t>آپو-دسموپرسين   قرص خوراکي 0.1 mg - رستا ايمن دارو</t>
        </is>
      </c>
      <c r="E242" t="inlineStr">
        <is>
          <t>تی‌تک و آریا</t>
        </is>
      </c>
    </row>
    <row r="243">
      <c r="A243" t="n">
        <v>242</v>
      </c>
      <c r="B243" t="n">
        <v>1982</v>
      </c>
      <c r="C243" t="inlineStr">
        <is>
          <t>TRAMADOL HYDROCHLORIDE CAPSULE ORAL 50 mg</t>
        </is>
      </c>
      <c r="D243" t="inlineStr">
        <is>
          <t>ايرا-ترامادول   کپسول خوراکي 50 mg - ايران دارو</t>
        </is>
      </c>
      <c r="E243" t="inlineStr">
        <is>
          <t>تی‌تک و آریا</t>
        </is>
      </c>
    </row>
    <row r="244">
      <c r="A244" t="n">
        <v>243</v>
      </c>
      <c r="B244" t="n">
        <v>1990</v>
      </c>
      <c r="C244" t="inlineStr">
        <is>
          <t>MEASLES / RUBELLA VACCINE INJECTION, POWDER, LYOPHILIZED, FOR SOLUTION PARENTERAL 10 {dose} 5 mL</t>
        </is>
      </c>
      <c r="D244" t="inlineStr">
        <is>
          <t>واکسن ام آر   پودر لئوفيليزه براي تهيه محلول تزريقي پرنترال 10 {dose} 5 {dose} - بازرگاني سها کيش</t>
        </is>
      </c>
      <c r="E244" t="inlineStr">
        <is>
          <t>تی‌تک و آریا</t>
        </is>
      </c>
    </row>
    <row r="245">
      <c r="A245" t="n">
        <v>244</v>
      </c>
      <c r="B245" t="n">
        <v>1995</v>
      </c>
      <c r="C245" t="inlineStr">
        <is>
          <t>DOXEPIN TABLET ORAL 10 mg</t>
        </is>
      </c>
      <c r="E245" t="inlineStr">
        <is>
          <t>فقط تی‌تک</t>
        </is>
      </c>
    </row>
    <row r="246">
      <c r="A246" t="n">
        <v>245</v>
      </c>
      <c r="B246" t="n">
        <v>1996</v>
      </c>
      <c r="C246" t="inlineStr">
        <is>
          <t>DOXEPIN TABLET ORAL 25 mg</t>
        </is>
      </c>
      <c r="D246" t="inlineStr">
        <is>
          <t>دونئورين   قرص خوراکي 25 mg</t>
        </is>
      </c>
      <c r="E246" t="inlineStr">
        <is>
          <t>تی‌تک و آریا</t>
        </is>
      </c>
    </row>
    <row r="247">
      <c r="A247" t="n">
        <v>246</v>
      </c>
      <c r="B247" t="n">
        <v>2020</v>
      </c>
      <c r="C247" t="inlineStr">
        <is>
          <t>AMOXICILLIN TABLET, CHEWABLE ORAL 250 mg</t>
        </is>
      </c>
      <c r="D247" t="inlineStr">
        <is>
          <t>فاراموکس   قرص جويدني خوراکي 250 mg - دارو سازي فارابي</t>
        </is>
      </c>
      <c r="E247" t="inlineStr">
        <is>
          <t>تی‌تک و آریا</t>
        </is>
      </c>
    </row>
    <row r="248">
      <c r="A248" t="n">
        <v>247</v>
      </c>
      <c r="B248" t="n">
        <v>2027</v>
      </c>
      <c r="C248" t="inlineStr">
        <is>
          <t>BENZYDAMINE HYDROCHLORIDE MOUTHWASH IRRIGATION 0.15 % 240 mL</t>
        </is>
      </c>
      <c r="D248" t="inlineStr">
        <is>
          <t>بنزيلاژين   دهانشويه جهت شستشو 0.15 % 240 mL - داروسازي اکسير</t>
        </is>
      </c>
      <c r="E248" t="inlineStr">
        <is>
          <t>تی‌تک و آریا</t>
        </is>
      </c>
    </row>
    <row r="249">
      <c r="A249" t="n">
        <v>248</v>
      </c>
      <c r="B249" t="n">
        <v>2045</v>
      </c>
      <c r="C249" t="inlineStr">
        <is>
          <t>ESTRADIOL GEL TOPICAL 0.06 % 80 g</t>
        </is>
      </c>
      <c r="D249" t="inlineStr">
        <is>
          <t>استروژل   ژل موضعي 0.06 % 80 g - دارويي بهين پاد</t>
        </is>
      </c>
      <c r="E249" t="inlineStr">
        <is>
          <t>تی‌تک و آریا</t>
        </is>
      </c>
    </row>
    <row r="250">
      <c r="A250" t="n">
        <v>249</v>
      </c>
      <c r="B250" t="n">
        <v>2049</v>
      </c>
      <c r="D250" t="inlineStr">
        <is>
          <t>فروفورت دئودنال ( فروس گلايسين سولفات ) کپسول - عبيدي</t>
        </is>
      </c>
      <c r="E250" t="inlineStr">
        <is>
          <t>فقط آریا</t>
        </is>
      </c>
    </row>
    <row r="251">
      <c r="A251" t="n">
        <v>250</v>
      </c>
      <c r="B251" t="n">
        <v>2052</v>
      </c>
      <c r="C251" t="inlineStr">
        <is>
          <t>FLUTICASONE PROPIONATE INHALANT RESPIRATORY 250 ug/1{dose} 60 {Puff}</t>
        </is>
      </c>
      <c r="D251" t="inlineStr">
        <is>
          <t>فلوتيکاپن 250 ميکروگرم 60 پاف (فلوتيکازون پروپيونات) اينهالر - ELPEN</t>
        </is>
      </c>
      <c r="E251" t="inlineStr">
        <is>
          <t>تی‌تک و آریا</t>
        </is>
      </c>
    </row>
    <row r="252">
      <c r="A252" t="n">
        <v>251</v>
      </c>
      <c r="B252" t="n">
        <v>2066</v>
      </c>
      <c r="C252" t="inlineStr">
        <is>
          <t>LAMIVUDINE SOLUTION ORAL 10 mg/1mL 100 mL</t>
        </is>
      </c>
      <c r="D252" t="inlineStr">
        <is>
          <t>لاميوودين   محلول خوراکي 10 mg/1mL 100 mL - بازرگاني سها کيش</t>
        </is>
      </c>
      <c r="E252" t="inlineStr">
        <is>
          <t>تی‌تک و آریا</t>
        </is>
      </c>
    </row>
    <row r="253">
      <c r="A253" t="n">
        <v>252</v>
      </c>
      <c r="B253" t="n">
        <v>2068</v>
      </c>
      <c r="D253" t="inlineStr">
        <is>
          <t>آفيکايين (ليدوکائين 2.5 درصد/پريلوکائين 2.5 درصد) 30 گرم کرم موضعي - آوند فر</t>
        </is>
      </c>
      <c r="E253" t="inlineStr">
        <is>
          <t>فقط آریا</t>
        </is>
      </c>
    </row>
    <row r="254">
      <c r="A254" t="n">
        <v>253</v>
      </c>
      <c r="B254" t="n">
        <v>2070</v>
      </c>
      <c r="C254" t="inlineStr">
        <is>
          <t>MEQUINOL OINTMENT TOPICAL 10 % 30 g</t>
        </is>
      </c>
      <c r="E254" t="inlineStr">
        <is>
          <t>فقط تی‌تک</t>
        </is>
      </c>
    </row>
    <row r="255">
      <c r="A255" t="n">
        <v>254</v>
      </c>
      <c r="B255" t="n">
        <v>2071</v>
      </c>
      <c r="C255" t="inlineStr">
        <is>
          <t>MEQUINOL / TRETINOIN SOLUTION TOPICAL 2 %/0.01 % 60 mL</t>
        </is>
      </c>
      <c r="E255" t="inlineStr">
        <is>
          <t>فقط تی‌تک</t>
        </is>
      </c>
    </row>
    <row r="256">
      <c r="A256" t="n">
        <v>255</v>
      </c>
      <c r="B256" t="n">
        <v>2080</v>
      </c>
      <c r="C256" t="inlineStr">
        <is>
          <t>IMIGLUCERASE INJECTION, POWDER, FOR SOLUTION PARENTERAL 200 [iU]</t>
        </is>
      </c>
      <c r="D256" t="inlineStr">
        <is>
          <t>ابسرتين   پودر براي تهيه محلول تزريقي پرنترال 200 [iU]  [iU] - بازرگاني سها کيش</t>
        </is>
      </c>
      <c r="E256" t="inlineStr">
        <is>
          <t>تی‌تک و آریا</t>
        </is>
      </c>
    </row>
    <row r="257">
      <c r="A257" t="n">
        <v>256</v>
      </c>
      <c r="B257" t="n">
        <v>2084</v>
      </c>
      <c r="C257" t="inlineStr">
        <is>
          <t>TACROLIMUS CAPSULE ORAL 5 mg</t>
        </is>
      </c>
      <c r="D257" t="inlineStr">
        <is>
          <t>پروگرف   کپسول خوراکي 5 mg - بهستان دارو</t>
        </is>
      </c>
      <c r="E257" t="inlineStr">
        <is>
          <t>تی‌تک و آریا</t>
        </is>
      </c>
    </row>
    <row r="258">
      <c r="A258" t="n">
        <v>257</v>
      </c>
      <c r="B258" t="n">
        <v>2089</v>
      </c>
      <c r="C258" t="inlineStr">
        <is>
          <t>IRINOTECAN HYDROCHLORIDE INJECTION, SOLUTION, CONCENTRATE PARENTERAL 20 mg/1mL 2 mL</t>
        </is>
      </c>
      <c r="D258" t="inlineStr">
        <is>
          <t>الوينوتک   محلول غليظ تزريقي پرنترال 20 mg/1mL 2 mg - نانو فناوران داروئي الوند</t>
        </is>
      </c>
      <c r="E258" t="inlineStr">
        <is>
          <t>تی‌تک و آریا</t>
        </is>
      </c>
    </row>
    <row r="259">
      <c r="A259" t="n">
        <v>258</v>
      </c>
      <c r="B259" t="n">
        <v>2098</v>
      </c>
      <c r="C259" t="inlineStr">
        <is>
          <t>SILDENAFIL (AS CITRATE) TABLET ORAL 25 mg</t>
        </is>
      </c>
      <c r="D259" t="inlineStr">
        <is>
          <t>سيلدنافيل   قرص خوراکي 25 mg - داروسازي جالينوس</t>
        </is>
      </c>
      <c r="E259" t="inlineStr">
        <is>
          <t>تی‌تک و آریا</t>
        </is>
      </c>
    </row>
    <row r="260">
      <c r="A260" t="n">
        <v>259</v>
      </c>
      <c r="B260" t="n">
        <v>2106</v>
      </c>
      <c r="C260" t="inlineStr">
        <is>
          <t>TRANEXAMIC ACID TABLET ORAL 500 mg</t>
        </is>
      </c>
      <c r="D260" t="inlineStr">
        <is>
          <t>سيکلوکاپرون   قرص خوراکي 500 mg - بازرگاني سها کيش</t>
        </is>
      </c>
      <c r="E260" t="inlineStr">
        <is>
          <t>تی‌تک و آریا</t>
        </is>
      </c>
    </row>
    <row r="261">
      <c r="A261" t="n">
        <v>260</v>
      </c>
      <c r="B261" t="n">
        <v>2120</v>
      </c>
      <c r="C261" t="inlineStr">
        <is>
          <t>CLOXACILLIN (AS SODIUM) INJECTION, POWDER, FOR SOLUTION PARENTERAL 1 g</t>
        </is>
      </c>
      <c r="D261" t="inlineStr">
        <is>
          <t>کلوگزاسيلين   پودر براي تهيه محلول تزريقي پرنترال 1 g  g - تچرا دارو</t>
        </is>
      </c>
      <c r="E261" t="inlineStr">
        <is>
          <t>تی‌تک و آریا</t>
        </is>
      </c>
    </row>
    <row r="262">
      <c r="A262" t="n">
        <v>261</v>
      </c>
      <c r="B262" t="n">
        <v>2123</v>
      </c>
      <c r="C262" t="inlineStr">
        <is>
          <t>DESMOPRESSIN (AS ACETATE) TABLET ORAL 0.2 mg</t>
        </is>
      </c>
      <c r="D262" t="inlineStr">
        <is>
          <t>آپو-دسموپرسين   قرص خوراکي 0.2 mg - رستا ايمن دارو</t>
        </is>
      </c>
      <c r="E262" t="inlineStr">
        <is>
          <t>تی‌تک و آریا</t>
        </is>
      </c>
    </row>
    <row r="263">
      <c r="A263" t="n">
        <v>262</v>
      </c>
      <c r="B263" t="n">
        <v>2129</v>
      </c>
      <c r="C263" t="inlineStr">
        <is>
          <t>FLUCONAZOLE TABLET ORAL 50 mg</t>
        </is>
      </c>
      <c r="D263" t="inlineStr">
        <is>
          <t>فلوکونازول   قرص خوراکي 50 mg - داروسازي جالينوس</t>
        </is>
      </c>
      <c r="E263" t="inlineStr">
        <is>
          <t>تی‌تک و آریا</t>
        </is>
      </c>
    </row>
    <row r="264">
      <c r="A264" t="n">
        <v>263</v>
      </c>
      <c r="B264" t="n">
        <v>2146</v>
      </c>
      <c r="C264" t="inlineStr">
        <is>
          <t>IOPROMIDE INJECTION PARENTERAL 370 mg/1mL 50 mL</t>
        </is>
      </c>
      <c r="D264" t="inlineStr">
        <is>
          <t>آيوپرومايد   تزريقي پرنترال 370 mg/1mL 50 mg - گسترش بازرگاني دارو پخش</t>
        </is>
      </c>
      <c r="E264" t="inlineStr">
        <is>
          <t>تی‌تک و آریا</t>
        </is>
      </c>
    </row>
    <row r="265">
      <c r="A265" t="n">
        <v>264</v>
      </c>
      <c r="B265" t="n">
        <v>2151</v>
      </c>
      <c r="C265" t="inlineStr">
        <is>
          <t>LOPERAMIDE HYDROCHLORIDE CAPSULE ORAL 2 mg</t>
        </is>
      </c>
      <c r="E265" t="inlineStr">
        <is>
          <t>فقط تی‌تک</t>
        </is>
      </c>
    </row>
    <row r="266">
      <c r="A266" t="n">
        <v>265</v>
      </c>
      <c r="B266" t="n">
        <v>2156</v>
      </c>
      <c r="C266" t="inlineStr">
        <is>
          <t>MESALAZINE TABLET, EXTENDED RELEASE ORAL 500 mg</t>
        </is>
      </c>
      <c r="D266" t="inlineStr">
        <is>
          <t>پنتاسا   قرص پيوسته رهش خوراکي 500 mg - رايان دارو ايرانيان</t>
        </is>
      </c>
      <c r="E266" t="inlineStr">
        <is>
          <t>تی‌تک و آریا</t>
        </is>
      </c>
    </row>
    <row r="267">
      <c r="A267" t="n">
        <v>266</v>
      </c>
      <c r="B267" t="n">
        <v>2158</v>
      </c>
      <c r="C267" t="inlineStr">
        <is>
          <t>METHOTREXATE SODIUM INJECTION PARENTERAL 25 mg/1mL 2 mL</t>
        </is>
      </c>
      <c r="D267" t="inlineStr">
        <is>
          <t>زويترکس   تزريقي پرنترال 25 mg/1mL 2 mg - اوزان</t>
        </is>
      </c>
      <c r="E267" t="inlineStr">
        <is>
          <t>تی‌تک و آریا</t>
        </is>
      </c>
    </row>
    <row r="268">
      <c r="A268" t="n">
        <v>267</v>
      </c>
      <c r="B268" t="n">
        <v>2162</v>
      </c>
      <c r="D268" t="inlineStr">
        <is>
          <t>مترونيدازول 500 م گ شياف واژينال - آرنيکا</t>
        </is>
      </c>
      <c r="E268" t="inlineStr">
        <is>
          <t>فقط آریا</t>
        </is>
      </c>
    </row>
    <row r="269">
      <c r="A269" t="n">
        <v>268</v>
      </c>
      <c r="B269" t="n">
        <v>2163</v>
      </c>
      <c r="C269" t="inlineStr">
        <is>
          <t>MITOMYCIN INJECTION, POWDER, FOR SOLUTION PARENTERAL 10 mg</t>
        </is>
      </c>
      <c r="D269" t="inlineStr">
        <is>
          <t>ميتومايسين   پودر براي تهيه محلول تزريقي پرنترال 10 mg  mg - رايان دارو ايرانيان</t>
        </is>
      </c>
      <c r="E269" t="inlineStr">
        <is>
          <t>تی‌تک و آریا</t>
        </is>
      </c>
    </row>
    <row r="270">
      <c r="A270" t="n">
        <v>269</v>
      </c>
      <c r="B270" t="n">
        <v>2164</v>
      </c>
      <c r="C270" t="inlineStr">
        <is>
          <t>MITOMYCIN INJECTION, POWDER, FOR SOLUTION PARENTERAL 5 mg</t>
        </is>
      </c>
      <c r="D270" t="inlineStr">
        <is>
          <t>ميتومايسينا کمکس   پودر براي تهيه محلول تزريقي پرنترال 5 mg  mg - تدبير کالاي جم</t>
        </is>
      </c>
      <c r="E270" t="inlineStr">
        <is>
          <t>تی‌تک و آریا</t>
        </is>
      </c>
    </row>
    <row r="271">
      <c r="A271" t="n">
        <v>270</v>
      </c>
      <c r="B271" t="n">
        <v>2172</v>
      </c>
      <c r="D271" t="inlineStr">
        <is>
          <t>او آر اس (اوريکس) قرص جوشان - دارو سلامت- هاي هلث</t>
        </is>
      </c>
      <c r="E271" t="inlineStr">
        <is>
          <t>فقط آریا</t>
        </is>
      </c>
    </row>
    <row r="272">
      <c r="A272" t="n">
        <v>271</v>
      </c>
      <c r="B272" t="n">
        <v>2197</v>
      </c>
      <c r="D272" t="inlineStr">
        <is>
          <t>ايويژل (ويتامين اي) 100 م گ کپسول نرم - دانا</t>
        </is>
      </c>
      <c r="E272" t="inlineStr">
        <is>
          <t>فقط آریا</t>
        </is>
      </c>
    </row>
    <row r="273">
      <c r="A273" t="n">
        <v>272</v>
      </c>
      <c r="B273" t="n">
        <v>2200</v>
      </c>
      <c r="D273" t="inlineStr">
        <is>
          <t>ايويژل (ويتامين اي) 200 م گ کپسول نرم - دانا</t>
        </is>
      </c>
      <c r="E273" t="inlineStr">
        <is>
          <t>فقط آریا</t>
        </is>
      </c>
    </row>
    <row r="274">
      <c r="A274" t="n">
        <v>273</v>
      </c>
      <c r="B274" t="n">
        <v>2201</v>
      </c>
      <c r="D274" t="inlineStr">
        <is>
          <t>ويتامين اي - تداژل 400 واحد 30 عدد سافت ژل تهران دارو</t>
        </is>
      </c>
      <c r="E274" t="inlineStr">
        <is>
          <t>فقط آریا</t>
        </is>
      </c>
    </row>
    <row r="275">
      <c r="A275" t="n">
        <v>274</v>
      </c>
      <c r="B275" t="n">
        <v>2236</v>
      </c>
      <c r="C275" t="inlineStr">
        <is>
          <t>DEXTROAMPHETAMINE SULFATE TABLET ORAL 5 mg</t>
        </is>
      </c>
      <c r="D275" t="inlineStr">
        <is>
          <t>آمفکسا   قرص خوراکي 5 mg - گسترش بازرگاني دارو پخش</t>
        </is>
      </c>
      <c r="E275" t="inlineStr">
        <is>
          <t>تی‌تک و آریا</t>
        </is>
      </c>
    </row>
    <row r="276">
      <c r="A276" t="n">
        <v>275</v>
      </c>
      <c r="B276" t="n">
        <v>2237</v>
      </c>
      <c r="C276" t="inlineStr">
        <is>
          <t>DIAZEPAM ENEMA RECTAL 10 mg</t>
        </is>
      </c>
      <c r="D276" t="inlineStr">
        <is>
          <t>ديازپام 10 تيوب رکتال - DESITIN</t>
        </is>
      </c>
      <c r="E276" t="inlineStr">
        <is>
          <t>تی‌تک و آریا</t>
        </is>
      </c>
    </row>
    <row r="277">
      <c r="A277" t="n">
        <v>276</v>
      </c>
      <c r="B277" t="n">
        <v>2247</v>
      </c>
      <c r="C277" t="inlineStr">
        <is>
          <t>DIAZEPAM ENEMA RECTAL 5 mg</t>
        </is>
      </c>
      <c r="D277" t="inlineStr">
        <is>
          <t>ديازپام دستين   انما مقعدي 5 mg  mg - شفا ياب گستر</t>
        </is>
      </c>
      <c r="E277" t="inlineStr">
        <is>
          <t>تی‌تک و آریا</t>
        </is>
      </c>
    </row>
    <row r="278">
      <c r="A278" t="n">
        <v>277</v>
      </c>
      <c r="B278" t="n">
        <v>2256</v>
      </c>
      <c r="C278" t="inlineStr">
        <is>
          <t>DIPHTHERIA TOXOID / TETANUS TOXOID / PERTUSSIS VACCINE INJECTION, SUSPENSION PARENTERAL 1 {dose} 0.5 mL</t>
        </is>
      </c>
      <c r="D278" t="inlineStr">
        <is>
          <t>آداسل   سوسپانسيون تزريقي پرنترال 1 {dose} 0.5 mL - روژين دارو</t>
        </is>
      </c>
      <c r="E278" t="inlineStr">
        <is>
          <t>تی‌تک و آریا</t>
        </is>
      </c>
    </row>
    <row r="279">
      <c r="A279" t="n">
        <v>278</v>
      </c>
      <c r="B279" t="n">
        <v>2262</v>
      </c>
      <c r="C279" t="inlineStr">
        <is>
          <t>DALTEPARIN SODIUM INJECTION PARENTERAL 12500 [iU]/1mL 0.2 mL</t>
        </is>
      </c>
      <c r="D279" t="inlineStr">
        <is>
          <t>فراگمين   تزريقي پرنترال 12500 [iU]/1mL 0.2 [iU] - بهستان دارو</t>
        </is>
      </c>
      <c r="E279" t="inlineStr">
        <is>
          <t>تی‌تک و آریا</t>
        </is>
      </c>
    </row>
    <row r="280">
      <c r="A280" t="n">
        <v>279</v>
      </c>
      <c r="B280" t="n">
        <v>2279</v>
      </c>
      <c r="D280" t="inlineStr">
        <is>
          <t>سالمکس25 م ک گ (سالمترول) 200پاف - سينادارو</t>
        </is>
      </c>
      <c r="E280" t="inlineStr">
        <is>
          <t>فقط آریا</t>
        </is>
      </c>
    </row>
    <row r="281">
      <c r="A281" t="n">
        <v>280</v>
      </c>
      <c r="B281" t="n">
        <v>2294</v>
      </c>
      <c r="C281" t="inlineStr">
        <is>
          <t>ENOXAPARIN SODIUM INJECTION PARENTERAL 100 mg/1mL 0.2 mL</t>
        </is>
      </c>
      <c r="D281" t="inlineStr">
        <is>
          <t>انوکساپارين   تزريقي پرنترال 100 mg/1mL 0.2 mL - داروسازي کاسپين تأمين</t>
        </is>
      </c>
      <c r="E281" t="inlineStr">
        <is>
          <t>تی‌تک و آریا</t>
        </is>
      </c>
    </row>
    <row r="282">
      <c r="A282" t="n">
        <v>281</v>
      </c>
      <c r="B282" t="n">
        <v>2317</v>
      </c>
      <c r="C282" t="inlineStr">
        <is>
          <t>BUPIVACAINE HYDROCHLORIDE INJECTION PARENTERAL 0.5 % 20 mL</t>
        </is>
      </c>
      <c r="E282" t="inlineStr">
        <is>
          <t>فقط تی‌تک</t>
        </is>
      </c>
    </row>
    <row r="283">
      <c r="A283" t="n">
        <v>282</v>
      </c>
      <c r="B283" t="n">
        <v>2321</v>
      </c>
      <c r="C283" t="inlineStr">
        <is>
          <t>NITROGLYCERIN TABLET, EXTENDED RELEASE ORAL 6.5 mg</t>
        </is>
      </c>
      <c r="D283" t="inlineStr">
        <is>
          <t>نيترومينت   قرص پيوسته رهش خوراکي 6.5 mg - مهبان دارو</t>
        </is>
      </c>
      <c r="E283" t="inlineStr">
        <is>
          <t>تی‌تک و آریا</t>
        </is>
      </c>
    </row>
    <row r="284">
      <c r="A284" t="n">
        <v>283</v>
      </c>
      <c r="B284" t="n">
        <v>2325</v>
      </c>
      <c r="D284" t="inlineStr">
        <is>
          <t>ليورگل 70 قرص - گل دارو</t>
        </is>
      </c>
      <c r="E284" t="inlineStr">
        <is>
          <t>فقط آریا</t>
        </is>
      </c>
    </row>
    <row r="285">
      <c r="A285" t="n">
        <v>284</v>
      </c>
      <c r="B285" t="n">
        <v>2354</v>
      </c>
      <c r="C285" t="inlineStr">
        <is>
          <t>DALTEPARIN SODIUM INJECTION PARENTERAL 7500 [iU]/0.3mL</t>
        </is>
      </c>
      <c r="D285" t="inlineStr">
        <is>
          <t>فراگمين   تزريقي پرنترال 7500 [iU]/0.3mL  [iU] - بهستان دارو</t>
        </is>
      </c>
      <c r="E285" t="inlineStr">
        <is>
          <t>تی‌تک و آریا</t>
        </is>
      </c>
    </row>
    <row r="286">
      <c r="A286" t="n">
        <v>285</v>
      </c>
      <c r="B286" t="n">
        <v>2355</v>
      </c>
      <c r="D286" t="inlineStr">
        <is>
          <t>فرتيژست 200 (پروژسترون) شياف - ابوريحان</t>
        </is>
      </c>
      <c r="E286" t="inlineStr">
        <is>
          <t>فقط آریا</t>
        </is>
      </c>
    </row>
    <row r="287">
      <c r="A287" t="n">
        <v>286</v>
      </c>
      <c r="B287" t="n">
        <v>2380</v>
      </c>
      <c r="C287" t="inlineStr">
        <is>
          <t>GELATIN MODIFIED (1) INJECTION PARENTERAL 4 % 500 mL</t>
        </is>
      </c>
      <c r="D287" t="inlineStr">
        <is>
          <t>گلوفوزين   تزريقي پرنترال 4 % 500 mg - هيراد فارمد</t>
        </is>
      </c>
      <c r="E287" t="inlineStr">
        <is>
          <t>تی‌تک و آریا</t>
        </is>
      </c>
    </row>
    <row r="288">
      <c r="A288" t="n">
        <v>287</v>
      </c>
      <c r="B288" t="n">
        <v>2388</v>
      </c>
      <c r="C288" t="inlineStr">
        <is>
          <t>METHOTREXATE SODIUM INJECTION PARENTERAL 10 mg/1mL 1 mL</t>
        </is>
      </c>
      <c r="D288" t="inlineStr">
        <is>
          <t>متوجکت   تزريقي پرنترال 10 mg/1mL 1 mg - درمان ياب آنا</t>
        </is>
      </c>
      <c r="E288" t="inlineStr">
        <is>
          <t>تی‌تک و آریا</t>
        </is>
      </c>
    </row>
    <row r="289">
      <c r="A289" t="n">
        <v>288</v>
      </c>
      <c r="B289" t="n">
        <v>2392</v>
      </c>
      <c r="C289" t="inlineStr">
        <is>
          <t>OCTREOTIDE (AS ACETATE) INJECTION PARENTERAL 100 ug/1mL 1 mL</t>
        </is>
      </c>
      <c r="D289" t="inlineStr">
        <is>
          <t>اکترايد   تزريقي پرنترال 100 ug/1mL 1 ug - ويرا ليان گروه</t>
        </is>
      </c>
      <c r="E289" t="inlineStr">
        <is>
          <t>تی‌تک و آریا</t>
        </is>
      </c>
    </row>
    <row r="290">
      <c r="A290" t="n">
        <v>289</v>
      </c>
      <c r="B290" t="n">
        <v>2400</v>
      </c>
      <c r="C290" t="inlineStr">
        <is>
          <t>SUCCIMER CAPSULE ORAL 100 mg</t>
        </is>
      </c>
      <c r="D290" t="inlineStr">
        <is>
          <t>دي ام اس آ   کپسول خوراکي 100 mg - شهاب درمان</t>
        </is>
      </c>
      <c r="E290" t="inlineStr">
        <is>
          <t>تی‌تک و آریا</t>
        </is>
      </c>
    </row>
    <row r="291">
      <c r="A291" t="n">
        <v>290</v>
      </c>
      <c r="B291" t="n">
        <v>2401</v>
      </c>
      <c r="C291" t="inlineStr">
        <is>
          <t>SUCCINYLCHOLINE CHLORIDE INJECTION PARENTERAL 20 mg/1mL</t>
        </is>
      </c>
      <c r="D291" t="inlineStr">
        <is>
          <t>ليستنون   تزريقي پرنترال 20 mg/1mL - پويش دارو گستر برتر فارس</t>
        </is>
      </c>
      <c r="E291" t="inlineStr">
        <is>
          <t>تی‌تک و آریا</t>
        </is>
      </c>
    </row>
    <row r="292">
      <c r="A292" t="n">
        <v>291</v>
      </c>
      <c r="B292" t="n">
        <v>2405</v>
      </c>
      <c r="C292" t="inlineStr">
        <is>
          <t>ALENDRONATE (AS SODIUM) TABLET ORAL 35 mg</t>
        </is>
      </c>
      <c r="D292" t="inlineStr">
        <is>
          <t>آلنيت   قرص خوراکي 35 mg - داروسازي دکتر عبيدي</t>
        </is>
      </c>
      <c r="E292" t="inlineStr">
        <is>
          <t>تی‌تک و آریا</t>
        </is>
      </c>
    </row>
    <row r="293">
      <c r="A293" t="n">
        <v>292</v>
      </c>
      <c r="B293" t="n">
        <v>2421</v>
      </c>
      <c r="C293" t="inlineStr">
        <is>
          <t>CEFUROXIME (AS SODIUM) INJECTION, POWDER, FOR SOLUTION PARENTERAL 1.5 g</t>
        </is>
      </c>
      <c r="D293" t="inlineStr">
        <is>
          <t>اکسي روکسيم   پودر براي تهيه محلول تزريقي پرنترال 1.5 g  g - داروسازي اکسير</t>
        </is>
      </c>
      <c r="E293" t="inlineStr">
        <is>
          <t>تی‌تک و آریا</t>
        </is>
      </c>
    </row>
    <row r="294">
      <c r="A294" t="n">
        <v>293</v>
      </c>
      <c r="B294" t="n">
        <v>2435</v>
      </c>
      <c r="C294" t="inlineStr">
        <is>
          <t>IMIPENEM / CILASTATIN INJECTION, POWDER, FOR SOLUTION PARENTERAL 250 mg/250 mg</t>
        </is>
      </c>
      <c r="D294" t="inlineStr">
        <is>
          <t>ايمي پنم/سيلاستاتين   پودر براي تهيه محلول تزريقي پرنترال 250 mg/250 mg  mg - دارو سازي زاگرس فارمد پارس</t>
        </is>
      </c>
      <c r="E294" t="inlineStr">
        <is>
          <t>تی‌تک و آریا</t>
        </is>
      </c>
    </row>
    <row r="295">
      <c r="A295" t="n">
        <v>294</v>
      </c>
      <c r="B295" t="n">
        <v>2436</v>
      </c>
      <c r="C295" t="inlineStr">
        <is>
          <t>IMIPENEM / CILASTATIN INJECTION, POWDER, FOR SOLUTION PARENTERAL 750 mg/750 mg</t>
        </is>
      </c>
      <c r="D295" t="inlineStr">
        <is>
          <t>سيلاويل   پودر براي تهيه محلول تزريقي پرنترال 750 mg/750 mg  mg - داروسازي دانا</t>
        </is>
      </c>
      <c r="E295" t="inlineStr">
        <is>
          <t>تی‌تک و آریا</t>
        </is>
      </c>
    </row>
    <row r="296">
      <c r="A296" t="n">
        <v>295</v>
      </c>
      <c r="B296" t="n">
        <v>2468</v>
      </c>
      <c r="D296" t="inlineStr">
        <is>
          <t>پروستا کپسول نرم - باريج اسانس</t>
        </is>
      </c>
      <c r="E296" t="inlineStr">
        <is>
          <t>فقط آریا</t>
        </is>
      </c>
    </row>
    <row r="297">
      <c r="A297" t="n">
        <v>296</v>
      </c>
      <c r="B297" t="n">
        <v>2476</v>
      </c>
      <c r="C297" t="inlineStr">
        <is>
          <t>CYSTEAMINE (AS BITARTRATE) CAPSULE ORAL 50 mg</t>
        </is>
      </c>
      <c r="D297" t="inlineStr">
        <is>
          <t>سيستاگون   کپسول خوراکي 50 mg - وليان دارو</t>
        </is>
      </c>
      <c r="E297" t="inlineStr">
        <is>
          <t>تی‌تک و آریا</t>
        </is>
      </c>
    </row>
    <row r="298">
      <c r="A298" t="n">
        <v>297</v>
      </c>
      <c r="B298" t="n">
        <v>2492</v>
      </c>
      <c r="C298" t="inlineStr">
        <is>
          <t>CAPECITABINE TABLET ORAL 150 mg</t>
        </is>
      </c>
      <c r="E298" t="inlineStr">
        <is>
          <t>فقط تی‌تک</t>
        </is>
      </c>
    </row>
    <row r="299">
      <c r="A299" t="n">
        <v>298</v>
      </c>
      <c r="B299" t="n">
        <v>2506</v>
      </c>
      <c r="C299" t="inlineStr">
        <is>
          <t>DIMERCAPROL INJECTION INTRAMUSCULAR 100 mg/1mL 2 mL</t>
        </is>
      </c>
      <c r="D299" t="inlineStr">
        <is>
          <t>آر-کاپرول   تزريقي عضلاني 100 mg/1mL 2 mg - پويش دارو گستر برتر فارس</t>
        </is>
      </c>
      <c r="E299" t="inlineStr">
        <is>
          <t>تی‌تک و آریا</t>
        </is>
      </c>
    </row>
    <row r="300">
      <c r="A300" t="n">
        <v>299</v>
      </c>
      <c r="B300" t="n">
        <v>2667</v>
      </c>
      <c r="C300" t="inlineStr">
        <is>
          <t>INTERFERON BETA-1A INJECTION, POWDER, FOR SOLUTION PARENTERAL 6000000 [iU]</t>
        </is>
      </c>
      <c r="D300" t="inlineStr">
        <is>
          <t>اکتووکس   پودر براي تهيه محلول تزريقي پرنترال 6000000 [iU]  ug - اکتوورکو</t>
        </is>
      </c>
      <c r="E300" t="inlineStr">
        <is>
          <t>تی‌تک و آریا</t>
        </is>
      </c>
    </row>
    <row r="301">
      <c r="A301" t="n">
        <v>300</v>
      </c>
      <c r="B301" t="n">
        <v>2670</v>
      </c>
      <c r="D301" t="inlineStr">
        <is>
          <t>اسنو*تي يرز 1.4 درصد 10 ميلي ليتر (پلي وينيل الکل) قطره چشمي - BAUSCH &amp; LOMB</t>
        </is>
      </c>
      <c r="E301" t="inlineStr">
        <is>
          <t>فقط آریا</t>
        </is>
      </c>
    </row>
    <row r="302">
      <c r="A302" t="n">
        <v>301</v>
      </c>
      <c r="B302" t="n">
        <v>2686</v>
      </c>
      <c r="D302" t="inlineStr">
        <is>
          <t>پياسکليدين 300 کپسول - EXPANSCIENCE</t>
        </is>
      </c>
      <c r="E302" t="inlineStr">
        <is>
          <t>فقط آریا</t>
        </is>
      </c>
    </row>
    <row r="303">
      <c r="A303" t="n">
        <v>302</v>
      </c>
      <c r="B303" t="n">
        <v>2713</v>
      </c>
      <c r="D303" t="inlineStr">
        <is>
          <t>ژرياتريک فارماتون کپسول100 عددي - فارماتون</t>
        </is>
      </c>
      <c r="E303" t="inlineStr">
        <is>
          <t>فقط آریا</t>
        </is>
      </c>
    </row>
    <row r="304">
      <c r="A304" t="n">
        <v>303</v>
      </c>
      <c r="B304" t="n">
        <v>2767</v>
      </c>
      <c r="C304" t="inlineStr">
        <is>
          <t>POLIOMYELITIS VACCINE SUSPENSION ORAL 15 {dose}</t>
        </is>
      </c>
      <c r="D304" t="inlineStr">
        <is>
          <t>واکسن دوگانه فلج اطفال   سوسپانسيون خوراکي 15 {dose}  {dose} - موسسه تحقيقات واکسن وسرم سازي رازي</t>
        </is>
      </c>
      <c r="E304" t="inlineStr">
        <is>
          <t>تی‌تک و آریا</t>
        </is>
      </c>
    </row>
    <row r="305">
      <c r="A305" t="n">
        <v>304</v>
      </c>
      <c r="B305" t="n">
        <v>2959</v>
      </c>
      <c r="C305" t="inlineStr">
        <is>
          <t>ARTEMETHER / LUMEFANTRINE TABLET ORAL 20 mg/120 mg</t>
        </is>
      </c>
      <c r="D305" t="inlineStr">
        <is>
          <t>آرتيميتر/لومفانترين   قرص خوراکي 20 mg/120 mg - بهسام آرا دارو</t>
        </is>
      </c>
      <c r="E305" t="inlineStr">
        <is>
          <t>تی‌تک و آریا</t>
        </is>
      </c>
    </row>
    <row r="306">
      <c r="A306" t="n">
        <v>305</v>
      </c>
      <c r="B306" t="n">
        <v>3016</v>
      </c>
      <c r="C306" t="inlineStr">
        <is>
          <t>RIFABUTIN CAPSULE ORAL 150 mg</t>
        </is>
      </c>
      <c r="D306" t="inlineStr">
        <is>
          <t>ريبوتين   کپسول خوراکي 150 mg - اريکه تجارت ويستا</t>
        </is>
      </c>
      <c r="E306" t="inlineStr">
        <is>
          <t>تی‌تک و آریا</t>
        </is>
      </c>
    </row>
    <row r="307">
      <c r="A307" t="n">
        <v>306</v>
      </c>
      <c r="B307" t="n">
        <v>3024</v>
      </c>
      <c r="D307" t="inlineStr">
        <is>
          <t>گراتريل (گرانيسترون) 3م گ / 3 م ل آمپول - ابوريحان</t>
        </is>
      </c>
      <c r="E307" t="inlineStr">
        <is>
          <t>فقط آریا</t>
        </is>
      </c>
    </row>
    <row r="308">
      <c r="A308" t="n">
        <v>307</v>
      </c>
      <c r="B308" t="n">
        <v>3412</v>
      </c>
      <c r="D308" t="inlineStr">
        <is>
          <t>هگزوداين 0.12% (کلرهگزيدين) دهانشويه 300 ميلي ليتر - دنياي بهداشت</t>
        </is>
      </c>
      <c r="E308" t="inlineStr">
        <is>
          <t>فقط آریا</t>
        </is>
      </c>
    </row>
    <row r="309">
      <c r="A309" t="n">
        <v>308</v>
      </c>
      <c r="B309" t="n">
        <v>3538</v>
      </c>
      <c r="D309" t="inlineStr">
        <is>
          <t>سناگراف 60 م ل شربت - ايران داروک</t>
        </is>
      </c>
      <c r="E309" t="inlineStr">
        <is>
          <t>فقط آریا</t>
        </is>
      </c>
    </row>
    <row r="310">
      <c r="A310" t="n">
        <v>309</v>
      </c>
      <c r="B310" t="n">
        <v>3539</v>
      </c>
      <c r="D310" t="inlineStr">
        <is>
          <t>موسيليوم (طعم توت فرنگي) ملين گياهي ساشه -  ايران داروک</t>
        </is>
      </c>
      <c r="E310" t="inlineStr">
        <is>
          <t>فقط آریا</t>
        </is>
      </c>
    </row>
    <row r="311">
      <c r="A311" t="n">
        <v>310</v>
      </c>
      <c r="B311" t="n">
        <v>3540</v>
      </c>
      <c r="D311" t="inlineStr">
        <is>
          <t>موسيليوم (طعم پرتقال) ملين گياهي ساشه - ايران داروک</t>
        </is>
      </c>
      <c r="E311" t="inlineStr">
        <is>
          <t>فقط آریا</t>
        </is>
      </c>
    </row>
    <row r="312">
      <c r="A312" t="n">
        <v>311</v>
      </c>
      <c r="B312" t="n">
        <v>3541</v>
      </c>
      <c r="D312" t="inlineStr">
        <is>
          <t>موسيليوم (طعم موزي) ملين گياهي ساشه -  ايران داروک</t>
        </is>
      </c>
      <c r="E312" t="inlineStr">
        <is>
          <t>فقط آریا</t>
        </is>
      </c>
    </row>
    <row r="313">
      <c r="A313" t="n">
        <v>312</v>
      </c>
      <c r="B313" t="n">
        <v>3849</v>
      </c>
      <c r="D313" t="inlineStr">
        <is>
          <t>آفاکسيم (سفکسيم) 100 م گ / 5 م ل 50 م ل سوسپانسيون - آفاشيمي</t>
        </is>
      </c>
      <c r="E313" t="inlineStr">
        <is>
          <t>فقط آریا</t>
        </is>
      </c>
    </row>
    <row r="314">
      <c r="A314" t="n">
        <v>313</v>
      </c>
      <c r="B314" t="n">
        <v>4008</v>
      </c>
      <c r="C314" t="inlineStr">
        <is>
          <t>ETANERCEPT INJECTION, POWDER, FOR SOLUTION PARENTERAL 25 mg</t>
        </is>
      </c>
      <c r="E314" t="inlineStr">
        <is>
          <t>فقط تی‌تک</t>
        </is>
      </c>
    </row>
    <row r="315">
      <c r="A315" t="n">
        <v>314</v>
      </c>
      <c r="B315" t="n">
        <v>4159</v>
      </c>
      <c r="D315" t="inlineStr">
        <is>
          <t>اوستنيل (هيالورانيک اسيد سديم) 20 م گ 2 م ل آمپول - تي آر بي چمديکا</t>
        </is>
      </c>
      <c r="E315" t="inlineStr">
        <is>
          <t>فقط آریا</t>
        </is>
      </c>
    </row>
    <row r="316">
      <c r="A316" t="n">
        <v>315</v>
      </c>
      <c r="B316" t="n">
        <v>4256</v>
      </c>
      <c r="C316" t="inlineStr">
        <is>
          <t>DIHYDROTACHYSTEROL SOLUTION ORAL 0.25 mg/1mL 15 mL</t>
        </is>
      </c>
      <c r="D316" t="inlineStr">
        <is>
          <t>اي تي تن   محلول خوراکي 0.25 mg/1mL 15 mL - بين المللي ياقوت دارو درمان</t>
        </is>
      </c>
      <c r="E316" t="inlineStr">
        <is>
          <t>تی‌تک و آریا</t>
        </is>
      </c>
    </row>
    <row r="317">
      <c r="A317" t="n">
        <v>316</v>
      </c>
      <c r="B317" t="n">
        <v>4482</v>
      </c>
      <c r="D317" t="inlineStr">
        <is>
          <t>ملاتونين 3 م گ قرص - جالينوس</t>
        </is>
      </c>
      <c r="E317" t="inlineStr">
        <is>
          <t>فقط آریا</t>
        </is>
      </c>
    </row>
    <row r="318">
      <c r="A318" t="n">
        <v>317</v>
      </c>
      <c r="B318" t="n">
        <v>4538</v>
      </c>
      <c r="C318" t="inlineStr">
        <is>
          <t>GADOTERATE MEGLUMINE INJECTION PARENTERAL 376.9 mg/1mL 10 mL</t>
        </is>
      </c>
      <c r="D318" t="inlineStr">
        <is>
          <t>دوتارم   تزريقي پرنترال 376.9 mg/1mL 10 mL - کوبل دارو</t>
        </is>
      </c>
      <c r="E318" t="inlineStr">
        <is>
          <t>تی‌تک و آریا</t>
        </is>
      </c>
    </row>
    <row r="319">
      <c r="A319" t="n">
        <v>318</v>
      </c>
      <c r="B319" t="n">
        <v>4585</v>
      </c>
      <c r="D319" t="inlineStr">
        <is>
          <t>زينک سولفات 5 م گ / 5 م ل 120 م ل شربت - رازک</t>
        </is>
      </c>
      <c r="E319" t="inlineStr">
        <is>
          <t>فقط آریا</t>
        </is>
      </c>
    </row>
    <row r="320">
      <c r="A320" t="n">
        <v>319</v>
      </c>
      <c r="B320" t="n">
        <v>4682</v>
      </c>
      <c r="C320" t="inlineStr">
        <is>
          <t>MENINGOCOCCAL VACCINE ACYW-135 INJECTION PARENTERAL 10 {dose} 5 mL</t>
        </is>
      </c>
      <c r="D320" t="inlineStr">
        <is>
          <t>منسوکس   تزريقي پرنترال 10 {dose} 5 mL - بهستان دارو</t>
        </is>
      </c>
      <c r="E320" t="inlineStr">
        <is>
          <t>تی‌تک و آریا</t>
        </is>
      </c>
    </row>
    <row r="321">
      <c r="A321" t="n">
        <v>320</v>
      </c>
      <c r="B321" t="n">
        <v>4770</v>
      </c>
      <c r="D321" t="inlineStr">
        <is>
          <t>آب سترون قابل تزريق 5 ميلي گرم آمپول  - شهيد قاضي</t>
        </is>
      </c>
      <c r="E321" t="inlineStr">
        <is>
          <t>فقط آریا</t>
        </is>
      </c>
    </row>
    <row r="322">
      <c r="A322" t="n">
        <v>321</v>
      </c>
      <c r="B322" t="n">
        <v>4832</v>
      </c>
      <c r="D322" t="inlineStr">
        <is>
          <t>پي دي پويتين 4000(اريتروپويتين آلفا)سرنگ آماده تزريق-پويش دارو</t>
        </is>
      </c>
      <c r="E322" t="inlineStr">
        <is>
          <t>فقط آریا</t>
        </is>
      </c>
    </row>
    <row r="323">
      <c r="A323" t="n">
        <v>322</v>
      </c>
      <c r="B323" t="n">
        <v>4929</v>
      </c>
      <c r="C323" t="inlineStr">
        <is>
          <t>BACLOFEN INJECTION, SOLUTION PARENTERAL 0.5 mg/1mL 20 mL</t>
        </is>
      </c>
      <c r="D323" t="inlineStr">
        <is>
          <t>باکلوفن   محلول تزريقي پرنترال 0.5 mg/1mL 20 mg - فوريتهاي سينا آرات گستر</t>
        </is>
      </c>
      <c r="E323" t="inlineStr">
        <is>
          <t>تی‌تک و آریا</t>
        </is>
      </c>
    </row>
    <row r="324">
      <c r="A324" t="n">
        <v>323</v>
      </c>
      <c r="B324" t="n">
        <v>4963</v>
      </c>
      <c r="D324" t="inlineStr">
        <is>
          <t>ميگراجکت (سوماتريپتان) 6 م گ / 5/. م ل آمپول - البرز دارو</t>
        </is>
      </c>
      <c r="E324" t="inlineStr">
        <is>
          <t>فقط آریا</t>
        </is>
      </c>
    </row>
    <row r="325">
      <c r="A325" t="n">
        <v>324</v>
      </c>
      <c r="B325" t="n">
        <v>4965</v>
      </c>
      <c r="C325" t="inlineStr">
        <is>
          <t>EPOETIN INJECTION PARENTERAL 10000 [iU]/1mL 1 mL</t>
        </is>
      </c>
      <c r="D325" t="inlineStr">
        <is>
          <t>اپولي رک   تزريقي پرنترال 10000 [iU]/1mL 1 [iU] - توليد مواد داروئي درسا دارو</t>
        </is>
      </c>
      <c r="E325" t="inlineStr">
        <is>
          <t>تی‌تک و آریا</t>
        </is>
      </c>
    </row>
    <row r="326">
      <c r="A326" t="n">
        <v>325</v>
      </c>
      <c r="B326" t="n">
        <v>5100</v>
      </c>
      <c r="D326" t="inlineStr">
        <is>
          <t>پروستام (تامسولوسين پيوسته رهش) 4/. م گ کپسول - کيميدارو</t>
        </is>
      </c>
      <c r="E326" t="inlineStr">
        <is>
          <t>فقط آریا</t>
        </is>
      </c>
    </row>
    <row r="327">
      <c r="A327" t="n">
        <v>326</v>
      </c>
      <c r="B327" t="n">
        <v>5155</v>
      </c>
      <c r="C327" t="inlineStr">
        <is>
          <t>VENLAFAXINE CAPSULE ORAL 75 mg</t>
        </is>
      </c>
      <c r="D327" t="inlineStr">
        <is>
          <t>آلونتا (ونلافاکسين) 75 م گ کپسول - اکتوور</t>
        </is>
      </c>
      <c r="E327" t="inlineStr">
        <is>
          <t>تی‌تک و آریا</t>
        </is>
      </c>
    </row>
    <row r="328">
      <c r="A328" t="n">
        <v>327</v>
      </c>
      <c r="B328" t="n">
        <v>5188</v>
      </c>
      <c r="D328" t="inlineStr">
        <is>
          <t>تربينافين 1% محلول - پاک دارو</t>
        </is>
      </c>
      <c r="E328" t="inlineStr">
        <is>
          <t>فقط آریا</t>
        </is>
      </c>
    </row>
    <row r="329">
      <c r="A329" t="n">
        <v>328</v>
      </c>
      <c r="B329" t="n">
        <v>5292</v>
      </c>
      <c r="D329" t="inlineStr">
        <is>
          <t>ستروتايد25/(سترورليکس)سرنگ آماده تزريق-3 عددي</t>
        </is>
      </c>
      <c r="E329" t="inlineStr">
        <is>
          <t>فقط آریا</t>
        </is>
      </c>
    </row>
    <row r="330">
      <c r="A330" t="n">
        <v>329</v>
      </c>
      <c r="B330" t="n">
        <v>5496</v>
      </c>
      <c r="D330" t="inlineStr">
        <is>
          <t>لکورکس 50گرم کرم واژينال - باريج اسانس</t>
        </is>
      </c>
      <c r="E330" t="inlineStr">
        <is>
          <t>فقط آریا</t>
        </is>
      </c>
    </row>
    <row r="331">
      <c r="A331" t="n">
        <v>330</v>
      </c>
      <c r="B331" t="n">
        <v>5599</v>
      </c>
      <c r="C331" t="inlineStr">
        <is>
          <t>GADOTERATE MEGLUMINE INJECTION PARENTERAL 376.9 mg/1mL 20 mL</t>
        </is>
      </c>
      <c r="D331" t="inlineStr">
        <is>
          <t>دوتارم   تزريقي پرنترال 376.9 mg/1mL 20 mL - کوبل دارو</t>
        </is>
      </c>
      <c r="E331" t="inlineStr">
        <is>
          <t>تی‌تک و آریا</t>
        </is>
      </c>
    </row>
    <row r="332">
      <c r="A332" t="n">
        <v>331</v>
      </c>
      <c r="B332" t="n">
        <v>5716</v>
      </c>
      <c r="D332" t="inlineStr">
        <is>
          <t>امگا3- بدون جيوه 50 عدد کپسول زهراوي</t>
        </is>
      </c>
      <c r="E332" t="inlineStr">
        <is>
          <t>فقط آریا</t>
        </is>
      </c>
    </row>
    <row r="333">
      <c r="A333" t="n">
        <v>332</v>
      </c>
      <c r="B333" t="n">
        <v>5728</v>
      </c>
      <c r="C333" t="inlineStr">
        <is>
          <t>COAGULATION FACTOR VIII (HUMAN PLASMA DERIVED) INJECTION, POWDER, LYOPHILIZED, FOR SOLUTION PARENTERAL 1000 [iU]</t>
        </is>
      </c>
      <c r="D333" t="inlineStr">
        <is>
          <t>اکتانيت   پودر لئوفيليزه براي تهيه محلول تزريقي پرنترال 1000 [iU]  [iU] - پالايش و پژوهش خون</t>
        </is>
      </c>
      <c r="E333" t="inlineStr">
        <is>
          <t>تی‌تک و آریا</t>
        </is>
      </c>
    </row>
    <row r="334">
      <c r="A334" t="n">
        <v>333</v>
      </c>
      <c r="B334" t="n">
        <v>5791</v>
      </c>
      <c r="C334" t="inlineStr">
        <is>
          <t>VENLAFAXINE CAPSULE ORAL 37.5 mg</t>
        </is>
      </c>
      <c r="D334" t="inlineStr">
        <is>
          <t>آلونتا (ونلافاکسين) 37.5 م گ کپسول - اکتوور</t>
        </is>
      </c>
      <c r="E334" t="inlineStr">
        <is>
          <t>تی‌تک و آریا</t>
        </is>
      </c>
    </row>
    <row r="335">
      <c r="A335" t="n">
        <v>334</v>
      </c>
      <c r="B335" t="n">
        <v>5796</v>
      </c>
      <c r="D335" t="inlineStr">
        <is>
          <t>آرتلاک 1.6 ميلي گرم در 0/5 ميلي ليتر تک دوز (هايپروميلوز) قطره چشمي - BAUSCH &amp; LOMB</t>
        </is>
      </c>
      <c r="E335" t="inlineStr">
        <is>
          <t>فقط آریا</t>
        </is>
      </c>
    </row>
    <row r="336">
      <c r="A336" t="n">
        <v>335</v>
      </c>
      <c r="B336" t="n">
        <v>5830</v>
      </c>
      <c r="D336" t="inlineStr">
        <is>
          <t>رميکيد100(اينفليکسي ماب)ويال-جانسن</t>
        </is>
      </c>
      <c r="E336" t="inlineStr">
        <is>
          <t>فقط آریا</t>
        </is>
      </c>
    </row>
    <row r="337">
      <c r="A337" t="n">
        <v>336</v>
      </c>
      <c r="B337" t="n">
        <v>5845</v>
      </c>
      <c r="C337" t="inlineStr">
        <is>
          <t>DOXORUBICIN HYDROCHLORIDE INJECTION, SOLUTION, CONCENTRATE PARENTERAL 2 mg/1mL 10 mL</t>
        </is>
      </c>
      <c r="D337" t="inlineStr">
        <is>
          <t>آدريامايسين   محلول غليظ تزريقي پرنترال 2 mg/1mL 10 mg - بهستان دارو</t>
        </is>
      </c>
      <c r="E337" t="inlineStr">
        <is>
          <t>تی‌تک و آریا</t>
        </is>
      </c>
    </row>
    <row r="338">
      <c r="A338" t="n">
        <v>337</v>
      </c>
      <c r="B338" t="n">
        <v>5966</v>
      </c>
      <c r="C338" t="inlineStr">
        <is>
          <t>INFLUENZA VACCINE, INACTIVATED, TRIVALENT INJECTION PARENTERAL 1 {dose}</t>
        </is>
      </c>
      <c r="D338" t="inlineStr">
        <is>
          <t>آنفلوانزا سه ظرفيتي   تزريقي پرنترال 1 {dose}  {dose} - توسعه مکانيزه نوين آوران</t>
        </is>
      </c>
      <c r="E338" t="inlineStr">
        <is>
          <t>تی‌تک و آریا</t>
        </is>
      </c>
    </row>
    <row r="339">
      <c r="A339" t="n">
        <v>338</v>
      </c>
      <c r="B339" t="n">
        <v>5979</v>
      </c>
      <c r="C339" t="inlineStr">
        <is>
          <t>METHYLENE BLUE INJECTION PARENTERAL 10 mg/1mL 5 mL</t>
        </is>
      </c>
      <c r="D339" t="inlineStr">
        <is>
          <t>متيبلو   تزريقي پرنترال 10 mg/1mL 5 mg - رايان دارو ايرانيان</t>
        </is>
      </c>
      <c r="E339" t="inlineStr">
        <is>
          <t>تی‌تک و آریا</t>
        </is>
      </c>
    </row>
    <row r="340">
      <c r="A340" t="n">
        <v>339</v>
      </c>
      <c r="B340" t="n">
        <v>6016</v>
      </c>
      <c r="C340" t="inlineStr">
        <is>
          <t>PILOCARPINE HYDROCHLORIDE TABLET ORAL 5 mg</t>
        </is>
      </c>
      <c r="D340" t="inlineStr">
        <is>
          <t>پيلومکس   قرص خوراکي 5 mg - دارويي پرسون بام بين الملل</t>
        </is>
      </c>
      <c r="E340" t="inlineStr">
        <is>
          <t>تی‌تک و آریا</t>
        </is>
      </c>
    </row>
    <row r="341">
      <c r="A341" t="n">
        <v>340</v>
      </c>
      <c r="B341" t="n">
        <v>6066</v>
      </c>
      <c r="C341" t="inlineStr">
        <is>
          <t>MEDROXYPROGESTERONE ACETATE INJECTION, SUSPENSION PARENTERAL 150 mg/1mL 3.3 mL</t>
        </is>
      </c>
      <c r="D341" t="inlineStr">
        <is>
          <t>دپو-پروورا   سوسپانسيون تزريقي پرنترال 150 mg/1mL 3.3 mg - بهستان دارو</t>
        </is>
      </c>
      <c r="E341" t="inlineStr">
        <is>
          <t>تی‌تک و آریا</t>
        </is>
      </c>
    </row>
    <row r="342">
      <c r="A342" t="n">
        <v>341</v>
      </c>
      <c r="B342" t="n">
        <v>6078</v>
      </c>
      <c r="C342" t="inlineStr">
        <is>
          <t>DEFLAZACORT TABLET ORAL 6 mg</t>
        </is>
      </c>
      <c r="D342" t="inlineStr">
        <is>
          <t>فلانتادين   قرص خوراکي 6 mg - بازرگاني سها کيش</t>
        </is>
      </c>
      <c r="E342" t="inlineStr">
        <is>
          <t>تی‌تک و آریا</t>
        </is>
      </c>
    </row>
    <row r="343">
      <c r="A343" t="n">
        <v>342</v>
      </c>
      <c r="B343" t="n">
        <v>6242</v>
      </c>
      <c r="C343" t="inlineStr">
        <is>
          <t>PEGINTERFERON ALFA-2B INJECTION, POWDER, LYOPHILIZED, FOR SOLUTION PARENTERAL 50 ug</t>
        </is>
      </c>
      <c r="E343" t="inlineStr">
        <is>
          <t>فقط تی‌تک</t>
        </is>
      </c>
    </row>
    <row r="344">
      <c r="A344" t="n">
        <v>343</v>
      </c>
      <c r="B344" t="n">
        <v>6243</v>
      </c>
      <c r="C344" t="inlineStr">
        <is>
          <t>PEGINTERFERON ALFA-2B INJECTION, POWDER, LYOPHILIZED, FOR SOLUTION PARENTERAL 80 ug</t>
        </is>
      </c>
      <c r="E344" t="inlineStr">
        <is>
          <t>فقط تی‌تک</t>
        </is>
      </c>
    </row>
    <row r="345">
      <c r="A345" t="n">
        <v>344</v>
      </c>
      <c r="B345" t="n">
        <v>6244</v>
      </c>
      <c r="C345" t="inlineStr">
        <is>
          <t>PEGINTERFERON ALFA-2B INJECTION, POWDER, LYOPHILIZED, FOR SOLUTION PARENTERAL 100 ug</t>
        </is>
      </c>
      <c r="E345" t="inlineStr">
        <is>
          <t>فقط تی‌تک</t>
        </is>
      </c>
    </row>
    <row r="346">
      <c r="A346" t="n">
        <v>345</v>
      </c>
      <c r="B346" t="n">
        <v>6245</v>
      </c>
      <c r="C346" t="inlineStr">
        <is>
          <t>PEGINTERFERON ALFA-2B INJECTION, POWDER, LYOPHILIZED, FOR SOLUTION PARENTERAL 120 ug</t>
        </is>
      </c>
      <c r="E346" t="inlineStr">
        <is>
          <t>فقط تی‌تک</t>
        </is>
      </c>
    </row>
    <row r="347">
      <c r="A347" t="n">
        <v>346</v>
      </c>
      <c r="B347" t="n">
        <v>6246</v>
      </c>
      <c r="C347" t="inlineStr">
        <is>
          <t>PEGINTERFERON ALFA-2B INJECTION, POWDER, LYOPHILIZED, FOR SOLUTION PARENTERAL 150 ug</t>
        </is>
      </c>
      <c r="E347" t="inlineStr">
        <is>
          <t>فقط تی‌تک</t>
        </is>
      </c>
    </row>
    <row r="348">
      <c r="A348" t="n">
        <v>347</v>
      </c>
      <c r="B348" t="n">
        <v>6308</v>
      </c>
      <c r="C348" t="inlineStr">
        <is>
          <t>SULINDAC TABLET ORAL 200 mg</t>
        </is>
      </c>
      <c r="D348" t="inlineStr">
        <is>
          <t>آرتروسين   قرص خوراکي 200 mg  [Amb'a'1'U] - فوريتهاي سينا آرات گستر</t>
        </is>
      </c>
      <c r="E348" t="inlineStr">
        <is>
          <t>تی‌تک و آریا</t>
        </is>
      </c>
    </row>
    <row r="349">
      <c r="A349" t="n">
        <v>348</v>
      </c>
      <c r="B349" t="n">
        <v>6323</v>
      </c>
      <c r="C349" t="inlineStr">
        <is>
          <t>PRALIDOXIME (AS METHYLSULFATE) INJECTION, POWDER, FOR SOLUTION PARENTERAL 200 mg</t>
        </is>
      </c>
      <c r="D349" t="inlineStr">
        <is>
          <t>کنتراتيون   پودر براي تهيه محلول تزريقي پرنترال 200 mg  mg - بازرگاني سها کيش</t>
        </is>
      </c>
      <c r="E349" t="inlineStr">
        <is>
          <t>تی‌تک و آریا</t>
        </is>
      </c>
    </row>
    <row r="350">
      <c r="A350" t="n">
        <v>349</v>
      </c>
      <c r="B350" t="n">
        <v>6331</v>
      </c>
      <c r="C350" t="inlineStr">
        <is>
          <t>SODIUM FLUORIDE TABLET ORAL 25 mg</t>
        </is>
      </c>
      <c r="D350" t="inlineStr">
        <is>
          <t>سديم فلورايد   قرص خوراکي 25 mg - بازرگاني سها کيش</t>
        </is>
      </c>
      <c r="E350" t="inlineStr">
        <is>
          <t>تی‌تک و آریا</t>
        </is>
      </c>
    </row>
    <row r="351">
      <c r="A351" t="n">
        <v>350</v>
      </c>
      <c r="B351" t="n">
        <v>6353</v>
      </c>
      <c r="C351" t="inlineStr">
        <is>
          <t>LARONIDASE INJECTION PARENTERAL 0.58 mg/1mL 5 mL</t>
        </is>
      </c>
      <c r="D351" t="inlineStr">
        <is>
          <t>آلدورازايم   تزريقي پرنترال 0.58 mg/1mL 5 [Amb'a'1'U] - گسترش بازرگاني دارو پخش</t>
        </is>
      </c>
      <c r="E351" t="inlineStr">
        <is>
          <t>تی‌تک و آریا</t>
        </is>
      </c>
    </row>
    <row r="352">
      <c r="A352" t="n">
        <v>351</v>
      </c>
      <c r="B352" t="n">
        <v>6369</v>
      </c>
      <c r="C352" t="inlineStr">
        <is>
          <t>SODIUM PHENYLBUTYRATE INJECTION PARENTERAL 200 mg/1mL 10 mL</t>
        </is>
      </c>
      <c r="D352" t="inlineStr">
        <is>
          <t>آمبوتيرات   تزريقي پرنترال 200 mg/1mL 10 g - دارويي بهين پاد</t>
        </is>
      </c>
      <c r="E352" t="inlineStr">
        <is>
          <t>تی‌تک و آریا</t>
        </is>
      </c>
    </row>
    <row r="353">
      <c r="A353" t="n">
        <v>352</v>
      </c>
      <c r="B353" t="n">
        <v>6376</v>
      </c>
      <c r="D353" t="inlineStr">
        <is>
          <t>گوترون 2.5 (ميدودرين) قرص-بلومد</t>
        </is>
      </c>
      <c r="E353" t="inlineStr">
        <is>
          <t>فقط آریا</t>
        </is>
      </c>
    </row>
    <row r="354">
      <c r="A354" t="n">
        <v>353</v>
      </c>
      <c r="B354" t="n">
        <v>6548</v>
      </c>
      <c r="C354" t="inlineStr">
        <is>
          <t>IDEBENONE TABLET ORAL 45 mg</t>
        </is>
      </c>
      <c r="D354" t="inlineStr">
        <is>
          <t>آيدبکس   قرص خوراکي 45 mg - بازرگاني سها کيش</t>
        </is>
      </c>
      <c r="E354" t="inlineStr">
        <is>
          <t>تی‌تک و آریا</t>
        </is>
      </c>
    </row>
    <row r="355">
      <c r="A355" t="n">
        <v>354</v>
      </c>
      <c r="B355" t="n">
        <v>6685</v>
      </c>
      <c r="C355" t="inlineStr">
        <is>
          <t>CICLOSPORIN INJECTION, SOLUTION INTRAVENOUS 50 mg/1mL 5 mL</t>
        </is>
      </c>
      <c r="D355" t="inlineStr">
        <is>
          <t>سانديمون   محلول تزريقي داخل وريدي 50 mg/1mL 5 mg - شفا ياب گستر</t>
        </is>
      </c>
      <c r="E355" t="inlineStr">
        <is>
          <t>تی‌تک و آریا</t>
        </is>
      </c>
    </row>
    <row r="356">
      <c r="A356" t="n">
        <v>355</v>
      </c>
      <c r="B356" t="n">
        <v>6753</v>
      </c>
      <c r="C356" t="inlineStr">
        <is>
          <t>TIBOLONE TABLET ORAL 2.5 mg</t>
        </is>
      </c>
      <c r="D356" t="inlineStr">
        <is>
          <t>ليويال   قرص خوراکي 2.5 mg - بازرگاني سها کيش</t>
        </is>
      </c>
      <c r="E356" t="inlineStr">
        <is>
          <t>تی‌تک و آریا</t>
        </is>
      </c>
    </row>
    <row r="357">
      <c r="A357" t="n">
        <v>356</v>
      </c>
      <c r="B357" t="n">
        <v>6780</v>
      </c>
      <c r="C357" t="inlineStr">
        <is>
          <t>BACLOFEN INJECTION PARENTERAL 2 mg/1mL 5 mL</t>
        </is>
      </c>
      <c r="D357" t="inlineStr">
        <is>
          <t>باکلورکس   تزريقي پرنترال 2 mg/1mL 5 mg - مرز گستران فناوري آينده</t>
        </is>
      </c>
      <c r="E357" t="inlineStr">
        <is>
          <t>تی‌تک و آریا</t>
        </is>
      </c>
    </row>
    <row r="358">
      <c r="A358" t="n">
        <v>357</v>
      </c>
      <c r="B358" t="n">
        <v>6855</v>
      </c>
      <c r="D358" t="inlineStr">
        <is>
          <t>لوتمکس (لوتپردنول) 5/. درصد 5 م ل قطره چشمي - بوش اند لومب</t>
        </is>
      </c>
      <c r="E358" t="inlineStr">
        <is>
          <t>فقط آریا</t>
        </is>
      </c>
    </row>
    <row r="359">
      <c r="A359" t="n">
        <v>358</v>
      </c>
      <c r="B359" t="n">
        <v>6916</v>
      </c>
      <c r="C359" t="inlineStr">
        <is>
          <t>ESMOLOL HYDROCHLORIDE INJECTION PARENTERAL 10 mg/1mL 10 mL</t>
        </is>
      </c>
      <c r="D359" t="inlineStr">
        <is>
          <t>اسبلوک   تزريقي پرنترال 10 mg/1mL 10 mg - پارس بهروزان جم</t>
        </is>
      </c>
      <c r="E359" t="inlineStr">
        <is>
          <t>تی‌تک و آریا</t>
        </is>
      </c>
    </row>
    <row r="360">
      <c r="A360" t="n">
        <v>359</v>
      </c>
      <c r="B360" t="n">
        <v>6923</v>
      </c>
      <c r="D360" t="inlineStr">
        <is>
          <t>نازوفرين (فنيل افرين هيدروکلرايد) 0.25 درصد 20 م ل اسپري بيني - سينا دارو</t>
        </is>
      </c>
      <c r="E360" t="inlineStr">
        <is>
          <t>فقط آریا</t>
        </is>
      </c>
    </row>
    <row r="361">
      <c r="A361" t="n">
        <v>360</v>
      </c>
      <c r="B361" t="n">
        <v>6927</v>
      </c>
      <c r="D361" t="inlineStr">
        <is>
          <t>دکوفن 0.5 درصد 15 ميلي ليتر (فنيل افرين هيدروکلرايد) اسپري بيني - رها فارما</t>
        </is>
      </c>
      <c r="E361" t="inlineStr">
        <is>
          <t>فقط آریا</t>
        </is>
      </c>
    </row>
    <row r="362">
      <c r="A362" t="n">
        <v>361</v>
      </c>
      <c r="B362" t="n">
        <v>7030</v>
      </c>
      <c r="C362" t="inlineStr">
        <is>
          <t>POVIDONE IODINE SOLUTION TOPICAL 10 % 500 mL</t>
        </is>
      </c>
      <c r="D362" t="inlineStr">
        <is>
          <t>پارساداين   محلول موضعي 10 % 500 mL - پارس مهديس دارو</t>
        </is>
      </c>
      <c r="E362" t="inlineStr">
        <is>
          <t>تی‌تک و آریا</t>
        </is>
      </c>
    </row>
    <row r="363">
      <c r="A363" t="n">
        <v>362</v>
      </c>
      <c r="B363" t="n">
        <v>7058</v>
      </c>
      <c r="C363" t="inlineStr">
        <is>
          <t>HEPATITIS B VIRUS INJECTION PARENTERAL 10 {dose} 5 mL</t>
        </is>
      </c>
      <c r="D363" t="inlineStr">
        <is>
          <t>واکسن هپاتيت بي    تزريقي پرنترال 10 {dose} 5 {dose} - اوين دارو</t>
        </is>
      </c>
      <c r="E363" t="inlineStr">
        <is>
          <t>تی‌تک و آریا</t>
        </is>
      </c>
    </row>
    <row r="364">
      <c r="A364" t="n">
        <v>363</v>
      </c>
      <c r="B364" t="n">
        <v>7083</v>
      </c>
      <c r="C364" t="inlineStr">
        <is>
          <t>AMILORIDE TABLET ORAL 5 mg</t>
        </is>
      </c>
      <c r="D364" t="inlineStr">
        <is>
          <t>آميلورايد   قرص خوراکي 5 mg - فوريتهاي سينا آرات گستر</t>
        </is>
      </c>
      <c r="E364" t="inlineStr">
        <is>
          <t>تی‌تک و آریا</t>
        </is>
      </c>
    </row>
    <row r="365">
      <c r="A365" t="n">
        <v>364</v>
      </c>
      <c r="B365" t="n">
        <v>7135</v>
      </c>
      <c r="C365" t="inlineStr">
        <is>
          <t>AMITRIPTYLINE HYDROCHLORIDE TABLET ORAL 75 mg</t>
        </is>
      </c>
      <c r="D365" t="inlineStr">
        <is>
          <t>ساروتن   قرص خوراکي 75 mg - بازرگاني سها کيش</t>
        </is>
      </c>
      <c r="E365" t="inlineStr">
        <is>
          <t>تی‌تک و آریا</t>
        </is>
      </c>
    </row>
    <row r="366">
      <c r="A366" t="n">
        <v>365</v>
      </c>
      <c r="B366" t="n">
        <v>7178</v>
      </c>
      <c r="C366" t="inlineStr">
        <is>
          <t>ARIPIPRAZOLE TABLET ORAL 30 mg</t>
        </is>
      </c>
      <c r="D366" t="inlineStr">
        <is>
          <t>ابيليفاي   قرص خوراکي 30 mg - بازرگاني سها کيش</t>
        </is>
      </c>
      <c r="E366" t="inlineStr">
        <is>
          <t>تی‌تک و آریا</t>
        </is>
      </c>
    </row>
    <row r="367">
      <c r="A367" t="n">
        <v>366</v>
      </c>
      <c r="B367" t="n">
        <v>7197</v>
      </c>
      <c r="C367" t="inlineStr">
        <is>
          <t>HEMODIALYSIS CONCENTRATED I SOLUTION, CONCENTRATE INTRAVENOUS 4725 meq/35 meq/35 meq/87.5 meq/3657 meq/1225 meq/70 g/1000 mL 4920 mL</t>
        </is>
      </c>
      <c r="D367" t="inlineStr">
        <is>
          <t>همودياليز I   محلول غليظ   داخل وريدي 4920 mL - داروسازي ثامن</t>
        </is>
      </c>
      <c r="E367" t="inlineStr">
        <is>
          <t>تی‌تک و آریا</t>
        </is>
      </c>
    </row>
    <row r="368">
      <c r="A368" t="n">
        <v>367</v>
      </c>
      <c r="B368" t="n">
        <v>7198</v>
      </c>
      <c r="C368" t="inlineStr">
        <is>
          <t>HEMODIALYSIS CONCENTRATED II SOLUTION, CONCENTRATE INTRAVENOUS 4725 meq/35 meq/70 meq/87.5 meq/3692.5 meq/1225 meq/70 g/1000 mL 4920 mL</t>
        </is>
      </c>
      <c r="D368" t="inlineStr">
        <is>
          <t>همودياليز 2   محلول غليظ   داخل وريدي 4920 mL - داروسازي ثامن</t>
        </is>
      </c>
      <c r="E368" t="inlineStr">
        <is>
          <t>تی‌تک و آریا</t>
        </is>
      </c>
    </row>
    <row r="369">
      <c r="A369" t="n">
        <v>368</v>
      </c>
      <c r="B369" t="n">
        <v>7233</v>
      </c>
      <c r="C369" t="inlineStr">
        <is>
          <t>PENTOSTATIN INJECTION, POWDER, FOR SOLUTION PARENTERAL 10 mg</t>
        </is>
      </c>
      <c r="D369" t="inlineStr">
        <is>
          <t>نيپنت   پودر براي تهيه محلول تزريقي پرنترال 10 mg  mg - اوزان</t>
        </is>
      </c>
      <c r="E369" t="inlineStr">
        <is>
          <t>تی‌تک و آریا</t>
        </is>
      </c>
    </row>
    <row r="370">
      <c r="A370" t="n">
        <v>369</v>
      </c>
      <c r="B370" t="n">
        <v>7377</v>
      </c>
      <c r="C370" t="inlineStr">
        <is>
          <t>BASILIXIMAB INJECTION, POWDER, FOR SOLUTION PARENTERAL 20 mg</t>
        </is>
      </c>
      <c r="D370" t="inlineStr">
        <is>
          <t>سيمولکت   پودر براي تهيه محلول تزريقي پرنترال 20 mg  mg - بازرگاني سها کيش</t>
        </is>
      </c>
      <c r="E370" t="inlineStr">
        <is>
          <t>تی‌تک و آریا</t>
        </is>
      </c>
    </row>
    <row r="371">
      <c r="A371" t="n">
        <v>370</v>
      </c>
      <c r="B371" t="n">
        <v>7392</v>
      </c>
      <c r="D371" t="inlineStr">
        <is>
          <t>آکوايس قطره چشمي 15ML - ديسوپ</t>
        </is>
      </c>
      <c r="E371" t="inlineStr">
        <is>
          <t>فقط آریا</t>
        </is>
      </c>
    </row>
    <row r="372">
      <c r="A372" t="n">
        <v>371</v>
      </c>
      <c r="B372" t="n">
        <v>7475</v>
      </c>
      <c r="C372" t="inlineStr">
        <is>
          <t>IBANDRONIC ACID TABLET ORAL 150 mg</t>
        </is>
      </c>
      <c r="D372" t="inlineStr">
        <is>
          <t>بون ويوا   قرص خوراکي 150 mg  mg - يارا طب خاورميانه</t>
        </is>
      </c>
      <c r="E372" t="inlineStr">
        <is>
          <t>تی‌تک و آریا</t>
        </is>
      </c>
    </row>
    <row r="373">
      <c r="A373" t="n">
        <v>372</v>
      </c>
      <c r="B373" t="n">
        <v>7516</v>
      </c>
      <c r="C373" t="inlineStr">
        <is>
          <t>CILOSTAZOL TABLET ORAL 50 mg</t>
        </is>
      </c>
      <c r="D373" t="inlineStr">
        <is>
          <t>سيلاستازول   قرص خوراکي 50 mg  mg - ثمين دارو آرکا</t>
        </is>
      </c>
      <c r="E373" t="inlineStr">
        <is>
          <t>تی‌تک و آریا</t>
        </is>
      </c>
    </row>
    <row r="374">
      <c r="A374" t="n">
        <v>373</v>
      </c>
      <c r="B374" t="n">
        <v>7525</v>
      </c>
      <c r="C374" t="inlineStr">
        <is>
          <t>OMALIZUMAB INJECTION, POWDER, FOR SOLUTION PARENTERAL 150 mg</t>
        </is>
      </c>
      <c r="D374" t="inlineStr">
        <is>
          <t>زولير   پودر براي تهيه محلول تزريقي پرنترال 150 mg  mg - اريکه تجارت ويستا</t>
        </is>
      </c>
      <c r="E374" t="inlineStr">
        <is>
          <t>تی‌تک و آریا</t>
        </is>
      </c>
    </row>
    <row r="375">
      <c r="A375" t="n">
        <v>374</v>
      </c>
      <c r="B375" t="n">
        <v>7551</v>
      </c>
      <c r="D375" t="inlineStr">
        <is>
          <t>دومتيدون (دومپريدون) 1 م گ / 1 م ل سوسپانسيون - رازان فارمد</t>
        </is>
      </c>
      <c r="E375" t="inlineStr">
        <is>
          <t>فقط آریا</t>
        </is>
      </c>
    </row>
    <row r="376">
      <c r="A376" t="n">
        <v>375</v>
      </c>
      <c r="B376" t="n">
        <v>7629</v>
      </c>
      <c r="C376" t="inlineStr">
        <is>
          <t>MEASLES / MUMPS / RUBELLA VACCINE INJECTION, POWDER, LYOPHILIZED, FOR SOLUTION PARENTERAL 1 {dose} 0.5 mL</t>
        </is>
      </c>
      <c r="D376" t="inlineStr">
        <is>
          <t>واکسن ام ام آر دو   پودر لئوفيليزه براي تهيه محلول تزريقي پرنترال 1 {dose} 0.5 mL - بهستان دارو</t>
        </is>
      </c>
      <c r="E376" t="inlineStr">
        <is>
          <t>تی‌تک و آریا</t>
        </is>
      </c>
    </row>
    <row r="377">
      <c r="A377" t="n">
        <v>376</v>
      </c>
      <c r="B377" t="n">
        <v>7684</v>
      </c>
      <c r="C377" t="inlineStr">
        <is>
          <t>ZONISAMIDE CAPSULE ORAL 25 mg</t>
        </is>
      </c>
      <c r="D377" t="inlineStr">
        <is>
          <t>زونيسامايد   کپسول خوراکي 25 mg - داروسازي فاتک شيمي پارس</t>
        </is>
      </c>
      <c r="E377" t="inlineStr">
        <is>
          <t>تی‌تک و آریا</t>
        </is>
      </c>
    </row>
    <row r="378">
      <c r="A378" t="n">
        <v>377</v>
      </c>
      <c r="B378" t="n">
        <v>7865</v>
      </c>
      <c r="C378" t="inlineStr">
        <is>
          <t>CALCIUM ACETATE TABLET ORAL 667 mg</t>
        </is>
      </c>
      <c r="E378" t="inlineStr">
        <is>
          <t>فقط تی‌تک</t>
        </is>
      </c>
    </row>
    <row r="379">
      <c r="A379" t="n">
        <v>378</v>
      </c>
      <c r="B379" t="n">
        <v>7913</v>
      </c>
      <c r="C379" t="inlineStr">
        <is>
          <t>SUCCIMER CAPSULE ORAL 200 mg</t>
        </is>
      </c>
      <c r="D379" t="inlineStr">
        <is>
          <t>سوکام   کپسول خوراکي 200 mg - دارويي پرسون بام بين الملل</t>
        </is>
      </c>
      <c r="E379" t="inlineStr">
        <is>
          <t>تی‌تک و آریا</t>
        </is>
      </c>
    </row>
    <row r="380">
      <c r="A380" t="n">
        <v>379</v>
      </c>
      <c r="B380" t="n">
        <v>8021</v>
      </c>
      <c r="C380" t="inlineStr">
        <is>
          <t>ANASTROZOLE TABLET ORAL 1 mg</t>
        </is>
      </c>
      <c r="D380" t="inlineStr">
        <is>
          <t>آريمدکس   قرص خوراکي 1 mg  [Amb'a'1'U] - فوريتهاي سينا آرات گستر</t>
        </is>
      </c>
      <c r="E380" t="inlineStr">
        <is>
          <t>تی‌تک و آریا</t>
        </is>
      </c>
    </row>
    <row r="381">
      <c r="A381" t="n">
        <v>380</v>
      </c>
      <c r="B381" t="n">
        <v>8024</v>
      </c>
      <c r="C381" t="inlineStr">
        <is>
          <t>WARFARIN SODIUM TABLET ORAL 1 mg</t>
        </is>
      </c>
      <c r="D381" t="inlineStr">
        <is>
          <t>آپو-وارفارين   قرص خوراکي 1 mg - رستا ايمن دارو</t>
        </is>
      </c>
      <c r="E381" t="inlineStr">
        <is>
          <t>تی‌تک و آریا</t>
        </is>
      </c>
    </row>
    <row r="382">
      <c r="A382" t="n">
        <v>381</v>
      </c>
      <c r="B382" t="n">
        <v>8040</v>
      </c>
      <c r="C382" t="inlineStr">
        <is>
          <t>PROSTAGLANDIN E1 (ALPROSTADIL) STICK URETHRAL 1000 ug</t>
        </is>
      </c>
      <c r="D382" t="inlineStr">
        <is>
          <t>موس   استيک پيشابراهي 1000 ug  [Amb'a'1'U] - فوريتهاي سينا آرات گستر</t>
        </is>
      </c>
      <c r="E382" t="inlineStr">
        <is>
          <t>تی‌تک و آریا</t>
        </is>
      </c>
    </row>
    <row r="383">
      <c r="A383" t="n">
        <v>382</v>
      </c>
      <c r="B383" t="n">
        <v>8079</v>
      </c>
      <c r="C383" t="inlineStr">
        <is>
          <t>PROBENECID TABLET ORAL 500 mg</t>
        </is>
      </c>
      <c r="D383" t="inlineStr">
        <is>
          <t>پروبنسيد   قرص خوراکي 500 mg - بازرگاني سها کيش</t>
        </is>
      </c>
      <c r="E383" t="inlineStr">
        <is>
          <t>تی‌تک و آریا</t>
        </is>
      </c>
    </row>
    <row r="384">
      <c r="A384" t="n">
        <v>383</v>
      </c>
      <c r="B384" t="n">
        <v>8081</v>
      </c>
      <c r="C384" t="inlineStr">
        <is>
          <t>DORNASE ALFA (DESOXYRIBONUCLEASE) SOLUTION RESPIRATORY 1 mg/1mL 2.5 mL</t>
        </is>
      </c>
      <c r="D384" t="inlineStr">
        <is>
          <t>پولموزايم   محلول استنشاقي 1 mg/1mL 2.5 [Amb'a'1'U] - فوريتهاي سينا آرات گستر</t>
        </is>
      </c>
      <c r="E384" t="inlineStr">
        <is>
          <t>تی‌تک و آریا</t>
        </is>
      </c>
    </row>
    <row r="385">
      <c r="A385" t="n">
        <v>384</v>
      </c>
      <c r="B385" t="n">
        <v>8178</v>
      </c>
      <c r="C385" t="inlineStr">
        <is>
          <t>HYDROCORTISONE (AS SODIUM PHOSPHATE) INJECTION, POWDER, FOR SOLUTION PARENTERAL 100 mg</t>
        </is>
      </c>
      <c r="E385" t="inlineStr">
        <is>
          <t>فقط تی‌تک</t>
        </is>
      </c>
    </row>
    <row r="386">
      <c r="A386" t="n">
        <v>385</v>
      </c>
      <c r="B386" t="n">
        <v>8210</v>
      </c>
      <c r="D386" t="inlineStr">
        <is>
          <t>بودنا 64 ميکروگرم 120 پاف (بودزونايد) اسپري بيني - ALDO</t>
        </is>
      </c>
      <c r="E386" t="inlineStr">
        <is>
          <t>فقط آریا</t>
        </is>
      </c>
    </row>
    <row r="387">
      <c r="A387" t="n">
        <v>386</v>
      </c>
      <c r="B387" t="n">
        <v>8360</v>
      </c>
      <c r="D387" t="inlineStr">
        <is>
          <t>ارليستات 120 م گ کپسول - مرهم دارو</t>
        </is>
      </c>
      <c r="E387" t="inlineStr">
        <is>
          <t>فقط آریا</t>
        </is>
      </c>
    </row>
    <row r="388">
      <c r="A388" t="n">
        <v>387</v>
      </c>
      <c r="B388" t="n">
        <v>8426</v>
      </c>
      <c r="C388" t="inlineStr">
        <is>
          <t>TETRACOSACTIDE INJECTION PARENTERAL 250 ug/1mL</t>
        </is>
      </c>
      <c r="D388" t="inlineStr">
        <is>
          <t>سيناکتن   تزريقي پرنترال 250 ug/1mL  mg - رضا دارو پارس</t>
        </is>
      </c>
      <c r="E388" t="inlineStr">
        <is>
          <t>تی‌تک و آریا</t>
        </is>
      </c>
    </row>
    <row r="389">
      <c r="A389" t="n">
        <v>388</v>
      </c>
      <c r="B389" t="n">
        <v>8444</v>
      </c>
      <c r="D389" t="inlineStr">
        <is>
          <t>رواتينکس کپسول-روا</t>
        </is>
      </c>
      <c r="E389" t="inlineStr">
        <is>
          <t>فقط آریا</t>
        </is>
      </c>
    </row>
    <row r="390">
      <c r="A390" t="n">
        <v>389</v>
      </c>
      <c r="B390" t="n">
        <v>8530</v>
      </c>
      <c r="C390" t="inlineStr">
        <is>
          <t>FLUCONAZOLE INJECTION PARENTERAL 2 mg/1mL 50 mL</t>
        </is>
      </c>
      <c r="D390" t="inlineStr">
        <is>
          <t>فلوکونازول بيو اينداستريا   تزريقي پرنترال 2 mg/1mL 50 mg - سينا پيشگام دارو نوين</t>
        </is>
      </c>
      <c r="E390" t="inlineStr">
        <is>
          <t>تی‌تک و آریا</t>
        </is>
      </c>
    </row>
    <row r="391">
      <c r="A391" t="n">
        <v>390</v>
      </c>
      <c r="B391" t="n">
        <v>8601</v>
      </c>
      <c r="C391" t="inlineStr">
        <is>
          <t>VALPROATE SODIUM SYRUP ORAL 300 mg/5mL 250 mL</t>
        </is>
      </c>
      <c r="D391" t="inlineStr">
        <is>
          <t>اورفريل سافت (والپروات سديم) 300 م گ / 5 م ل 250 م ل شربت - DESITIN</t>
        </is>
      </c>
      <c r="E391" t="inlineStr">
        <is>
          <t>تی‌تک و آریا</t>
        </is>
      </c>
    </row>
    <row r="392">
      <c r="A392" t="n">
        <v>391</v>
      </c>
      <c r="B392" t="n">
        <v>8636</v>
      </c>
      <c r="C392" t="inlineStr">
        <is>
          <t>OFLOXACIN TABLET ORAL 400 mg</t>
        </is>
      </c>
      <c r="D392" t="inlineStr">
        <is>
          <t>افلوزين   قرص خوراکي 400 mg - دارو سازي تهران دارو</t>
        </is>
      </c>
      <c r="E392" t="inlineStr">
        <is>
          <t>تی‌تک و آریا</t>
        </is>
      </c>
    </row>
    <row r="393">
      <c r="A393" t="n">
        <v>392</v>
      </c>
      <c r="B393" t="n">
        <v>8646</v>
      </c>
      <c r="C393" t="inlineStr">
        <is>
          <t>INSULIN LISPRO INJECTION PARENTERAL 100 [iU]/1mL 10 mL</t>
        </is>
      </c>
      <c r="D393" t="inlineStr">
        <is>
          <t>هومالوگ   تزريقي پرنترال 100 [iU]/1mL 10 [iU] - بازرگاني سها کيش</t>
        </is>
      </c>
      <c r="E393" t="inlineStr">
        <is>
          <t>تی‌تک و آریا</t>
        </is>
      </c>
    </row>
    <row r="394">
      <c r="A394" t="n">
        <v>393</v>
      </c>
      <c r="B394" t="n">
        <v>8681</v>
      </c>
      <c r="C394" t="inlineStr">
        <is>
          <t>PROSTAGLANDIN E1 (ALPROSTADIL) STICK URETHRAL 500 ug</t>
        </is>
      </c>
      <c r="D394" t="inlineStr">
        <is>
          <t>موس   استيک پيشابراهي 500 ug  ug - گسترش بازرگاني دارو پخش</t>
        </is>
      </c>
      <c r="E394" t="inlineStr">
        <is>
          <t>تی‌تک و آریا</t>
        </is>
      </c>
    </row>
    <row r="395">
      <c r="A395" t="n">
        <v>394</v>
      </c>
      <c r="B395" t="n">
        <v>8699</v>
      </c>
      <c r="C395" t="inlineStr">
        <is>
          <t>EPHEDRINE HYDROCHLORIDE TABLET ORAL 30 mg</t>
        </is>
      </c>
      <c r="D395" t="inlineStr">
        <is>
          <t>افدرين   قرص خوراکي 30 mg  [Amb'a'1'U] - فوريتهاي سينا آرات گستر</t>
        </is>
      </c>
      <c r="E395" t="inlineStr">
        <is>
          <t>تی‌تک و آریا</t>
        </is>
      </c>
    </row>
    <row r="396">
      <c r="A396" t="n">
        <v>395</v>
      </c>
      <c r="B396" t="n">
        <v>8826</v>
      </c>
      <c r="D396" t="inlineStr">
        <is>
          <t>قرص آربيکور-پلاس 80/25 ميلي گرم</t>
        </is>
      </c>
      <c r="E396" t="inlineStr">
        <is>
          <t>فقط آریا</t>
        </is>
      </c>
    </row>
    <row r="397">
      <c r="A397" t="n">
        <v>396</v>
      </c>
      <c r="B397" t="n">
        <v>8838</v>
      </c>
      <c r="C397" t="inlineStr">
        <is>
          <t>KETOTIFEN (AS FUMARATE) SOLUTION, DROPS ORAL 1 mg/1mL 15 mL</t>
        </is>
      </c>
      <c r="D397" t="inlineStr">
        <is>
          <t>کتوتيفن   محلول، قطره خوراکي 1 mg/1mL 15 mL - لابراتوار هاي دنياي بهداشت</t>
        </is>
      </c>
      <c r="E397" t="inlineStr">
        <is>
          <t>تی‌تک و آریا</t>
        </is>
      </c>
    </row>
    <row r="398">
      <c r="A398" t="n">
        <v>397</v>
      </c>
      <c r="B398" t="n">
        <v>8884</v>
      </c>
      <c r="C398" t="inlineStr">
        <is>
          <t>BUDESONIDE POWDER, METERED RESPIRATORY 100 ug/1{dose} 200 {dose}</t>
        </is>
      </c>
      <c r="D398" t="inlineStr">
        <is>
          <t>پالميکورت    پودر با دوز اندازه گيري شده استنشاقي 100 ug/1{dose} 200 mg - کوبل دارو</t>
        </is>
      </c>
      <c r="E398" t="inlineStr">
        <is>
          <t>تی‌تک و آریا</t>
        </is>
      </c>
    </row>
    <row r="399">
      <c r="A399" t="n">
        <v>398</v>
      </c>
      <c r="B399" t="n">
        <v>8891</v>
      </c>
      <c r="D399" t="inlineStr">
        <is>
          <t>بودکورت 0.5 (بودزونايد) سوسپانسيون استنشاقي - سيپلا</t>
        </is>
      </c>
      <c r="E399" t="inlineStr">
        <is>
          <t>فقط آریا</t>
        </is>
      </c>
    </row>
    <row r="400">
      <c r="A400" t="n">
        <v>399</v>
      </c>
      <c r="B400" t="n">
        <v>8927</v>
      </c>
      <c r="C400" t="inlineStr">
        <is>
          <t>CALCIUM DOBESILATE TABLET ORAL 500 mg</t>
        </is>
      </c>
      <c r="D400" t="inlineStr">
        <is>
          <t>دوکسي ترکس 500 (کلسيم دوبيسيلات مونوهيدرات) کپسول-يوني فارما</t>
        </is>
      </c>
      <c r="E400" t="inlineStr">
        <is>
          <t>تی‌تک و آریا</t>
        </is>
      </c>
    </row>
    <row r="401">
      <c r="A401" t="n">
        <v>400</v>
      </c>
      <c r="B401" t="n">
        <v>9212</v>
      </c>
      <c r="D401" t="inlineStr">
        <is>
          <t>فيژان 120 م ل شربت - رازک</t>
        </is>
      </c>
      <c r="E401" t="inlineStr">
        <is>
          <t>فقط آریا</t>
        </is>
      </c>
    </row>
    <row r="402">
      <c r="A402" t="n">
        <v>401</v>
      </c>
      <c r="B402" t="n">
        <v>9238</v>
      </c>
      <c r="C402" t="inlineStr">
        <is>
          <t>PRAMIPEXOLE (AS DIHYDROCHLORIDE) TABLET ORAL 0.088 mg</t>
        </is>
      </c>
      <c r="D402" t="inlineStr">
        <is>
          <t>پرامي پکسول-عبيدي   قرص خوراکي 0.088 mg - داروسازي دکتر عبيدي</t>
        </is>
      </c>
      <c r="E402" t="inlineStr">
        <is>
          <t>تی‌تک و آریا</t>
        </is>
      </c>
    </row>
    <row r="403">
      <c r="A403" t="n">
        <v>402</v>
      </c>
      <c r="B403" t="n">
        <v>9431</v>
      </c>
      <c r="C403" t="inlineStr">
        <is>
          <t>METHOTREXATE SODIUM INJECTION PARENTERAL 2.5 mg/1mL 2 mL</t>
        </is>
      </c>
      <c r="D403" t="inlineStr">
        <is>
          <t>دي بي ال متوترکسات   تزريقي پرنترال 2.5 mg/1mL 2 mg - سينا پيشگام دارو نوين</t>
        </is>
      </c>
      <c r="E403" t="inlineStr">
        <is>
          <t>تی‌تک و آریا</t>
        </is>
      </c>
    </row>
    <row r="404">
      <c r="A404" t="n">
        <v>403</v>
      </c>
      <c r="B404" t="n">
        <v>9486</v>
      </c>
      <c r="C404" t="inlineStr">
        <is>
          <t>AZACITIDINE INJECTION, POWDER, LYOPHILIZED PARENTERAL 100 mg</t>
        </is>
      </c>
      <c r="D404" t="inlineStr">
        <is>
          <t>آزاسيتيدين سدال   پودر لئوفيليزه براي تهيه فرآورده تزريقي پرنترال 100 mg  mg - سه دال نانو</t>
        </is>
      </c>
      <c r="E404" t="inlineStr">
        <is>
          <t>تی‌تک و آریا</t>
        </is>
      </c>
    </row>
    <row r="405">
      <c r="A405" t="n">
        <v>404</v>
      </c>
      <c r="B405" t="n">
        <v>9563</v>
      </c>
      <c r="C405" t="inlineStr">
        <is>
          <t>FACTOR VIII / VON WILLEBRAND FACTOR INJECTION, POWDER, LYOPHILIZED, FOR SOLUTION PARENTERAL 500 [iU]/1200 [iU]</t>
        </is>
      </c>
      <c r="D405" t="inlineStr">
        <is>
          <t>هيوميت پي   پودر لئوفيليزه براي تهيه محلول تزريقي پرنترال 500 [iU]/1200 [iU]  [iU] - نوآوران دارويي و سلامت آراد</t>
        </is>
      </c>
      <c r="E405" t="inlineStr">
        <is>
          <t>تی‌تک و آریا</t>
        </is>
      </c>
    </row>
    <row r="406">
      <c r="A406" t="n">
        <v>405</v>
      </c>
      <c r="B406" t="n">
        <v>9572</v>
      </c>
      <c r="C406" t="inlineStr">
        <is>
          <t>CALCIUM FOLINATE INJECTION PARENTERAL 10 mg/1mL 20 mL</t>
        </is>
      </c>
      <c r="D406" t="inlineStr">
        <is>
          <t>روفولين   تزريقي پرنترال 10 mg/1mL 20 mL - روناک</t>
        </is>
      </c>
      <c r="E406" t="inlineStr">
        <is>
          <t>تی‌تک و آریا</t>
        </is>
      </c>
    </row>
    <row r="407">
      <c r="A407" t="n">
        <v>406</v>
      </c>
      <c r="B407" t="n">
        <v>9575</v>
      </c>
      <c r="C407" t="inlineStr">
        <is>
          <t>MEASLES / MUMPS / RUBELLA VACCINE INJECTION, POWDER, LYOPHILIZED, FOR SOLUTION PARENTERAL 2 {dose}</t>
        </is>
      </c>
      <c r="D407" t="inlineStr">
        <is>
          <t>واکسن زنده تخفيف حدت يافته سرخک، اوريون و سرخجه   پودر لئوفيليزه براي تهيه محلول تزريقي پرنترال 2 {dose}  {dose} - موسسه تحقيقات واکسن وسرم سازي رازي</t>
        </is>
      </c>
      <c r="E407" t="inlineStr">
        <is>
          <t>تی‌تک و آریا</t>
        </is>
      </c>
    </row>
    <row r="408">
      <c r="A408" t="n">
        <v>407</v>
      </c>
      <c r="B408" t="n">
        <v>9619</v>
      </c>
      <c r="D408" t="inlineStr">
        <is>
          <t>رواکل کپسول-روا</t>
        </is>
      </c>
      <c r="E408" t="inlineStr">
        <is>
          <t>فقط آریا</t>
        </is>
      </c>
    </row>
    <row r="409">
      <c r="A409" t="n">
        <v>408</v>
      </c>
      <c r="B409" t="n">
        <v>9640</v>
      </c>
      <c r="C409" t="inlineStr">
        <is>
          <t>LEVOCETIRIZINE DIHYDROCHLORIDE TABLET ORAL 5 mg</t>
        </is>
      </c>
      <c r="D409" t="inlineStr">
        <is>
          <t>ستيزوکس   قرص خوراکي 5 mg - داروسازي آريا</t>
        </is>
      </c>
      <c r="E409" t="inlineStr">
        <is>
          <t>تی‌تک و آریا</t>
        </is>
      </c>
    </row>
    <row r="410">
      <c r="A410" t="n">
        <v>409</v>
      </c>
      <c r="B410" t="n">
        <v>9646</v>
      </c>
      <c r="C410" t="inlineStr">
        <is>
          <t>RANITIDINE TABLET ORAL 300 mg</t>
        </is>
      </c>
      <c r="D410" t="inlineStr">
        <is>
          <t>رانيتيدين   قرص خوراکي 300 mg - لابراتوارهاي شهردارو</t>
        </is>
      </c>
      <c r="E410" t="inlineStr">
        <is>
          <t>تی‌تک و آریا</t>
        </is>
      </c>
    </row>
    <row r="411">
      <c r="A411" t="n">
        <v>410</v>
      </c>
      <c r="B411" t="n">
        <v>9747</v>
      </c>
      <c r="C411" t="inlineStr">
        <is>
          <t>TEICOPLANIN INJECTION, POWDER, FOR SOLUTION PARENTERAL 200 mg</t>
        </is>
      </c>
      <c r="D411" t="inlineStr">
        <is>
          <t>تارگوسيد   پودر براي تهيه محلول تزريقي پرنترال 200 mg  mg - کوبل دارو</t>
        </is>
      </c>
      <c r="E411" t="inlineStr">
        <is>
          <t>تی‌تک و آریا</t>
        </is>
      </c>
    </row>
    <row r="412">
      <c r="A412" t="n">
        <v>411</v>
      </c>
      <c r="B412" t="n">
        <v>9805</v>
      </c>
      <c r="C412" t="inlineStr">
        <is>
          <t>BETAINE POWDER, FOR SOLUTION ORAL 1 g/1g 100 g</t>
        </is>
      </c>
      <c r="D412" t="inlineStr">
        <is>
          <t>آمبتايين   پودر براي تهيه محلول خوراکي 1 g/1g 100 g - دارويي بهين پاد</t>
        </is>
      </c>
      <c r="E412" t="inlineStr">
        <is>
          <t>تی‌تک و آریا</t>
        </is>
      </c>
    </row>
    <row r="413">
      <c r="A413" t="n">
        <v>412</v>
      </c>
      <c r="B413" t="n">
        <v>9887</v>
      </c>
      <c r="C413" t="inlineStr">
        <is>
          <t>APRACLONIDINE (AS HYDROCHLORIDE) SOLUTION, DROPS OPHTHALMIC 5 mg/1mL 5 mL</t>
        </is>
      </c>
      <c r="D413" t="inlineStr">
        <is>
          <t>آپراکلونيدين   محلول، قطره چشمي 5 mg/1mL 5 mL - بازرگاني سها کيش</t>
        </is>
      </c>
      <c r="E413" t="inlineStr">
        <is>
          <t>تی‌تک و آریا</t>
        </is>
      </c>
    </row>
    <row r="414">
      <c r="A414" t="n">
        <v>413</v>
      </c>
      <c r="B414" t="n">
        <v>9903</v>
      </c>
      <c r="D414" t="inlineStr">
        <is>
          <t>پسيليوم با طعم موز ساشه ملين گياهي - ايران داروک</t>
        </is>
      </c>
      <c r="E414" t="inlineStr">
        <is>
          <t>فقط آریا</t>
        </is>
      </c>
    </row>
    <row r="415">
      <c r="A415" t="n">
        <v>414</v>
      </c>
      <c r="B415" t="n">
        <v>9947</v>
      </c>
      <c r="C415" t="inlineStr">
        <is>
          <t>EFAVIRENZ CAPSULE ORAL 50 mg</t>
        </is>
      </c>
      <c r="D415" t="inlineStr">
        <is>
          <t>افاويرنز   کپسول خوراکي 50 mg - ماه داروي حکيم</t>
        </is>
      </c>
      <c r="E415" t="inlineStr">
        <is>
          <t>تی‌تک و آریا</t>
        </is>
      </c>
    </row>
    <row r="416">
      <c r="A416" t="n">
        <v>415</v>
      </c>
      <c r="B416" t="n">
        <v>9949</v>
      </c>
      <c r="C416" t="inlineStr">
        <is>
          <t>EFAVIRENZ CAPSULE ORAL 200 mg</t>
        </is>
      </c>
      <c r="D416" t="inlineStr">
        <is>
          <t>افاويرنز   کپسول خوراکي 200 mg - بهر سان فرتاک دارو</t>
        </is>
      </c>
      <c r="E416" t="inlineStr">
        <is>
          <t>تی‌تک و آریا</t>
        </is>
      </c>
    </row>
    <row r="417">
      <c r="A417" t="n">
        <v>416</v>
      </c>
      <c r="B417" t="n">
        <v>10006</v>
      </c>
      <c r="C417" t="inlineStr">
        <is>
          <t>METHACHOLINE CHLORIDE INHALANT RESPIRATORY 5 mg/1mL 20 mL</t>
        </is>
      </c>
      <c r="D417" t="inlineStr">
        <is>
          <t>پرووکولين   اينهالر استنشاقي 5 mg/1mL 20 mg - فراسامهر</t>
        </is>
      </c>
      <c r="E417" t="inlineStr">
        <is>
          <t>تی‌تک و آریا</t>
        </is>
      </c>
    </row>
    <row r="418">
      <c r="A418" t="n">
        <v>417</v>
      </c>
      <c r="B418" t="n">
        <v>10016</v>
      </c>
      <c r="C418" t="inlineStr">
        <is>
          <t>EFAVIRENZ TABLET ORAL 200 mg</t>
        </is>
      </c>
      <c r="D418" t="inlineStr">
        <is>
          <t>افکيور   قرص خوراکي 200 mg - يارا طب خاورميانه</t>
        </is>
      </c>
      <c r="E418" t="inlineStr">
        <is>
          <t>تی‌تک و آریا</t>
        </is>
      </c>
    </row>
    <row r="419">
      <c r="A419" t="n">
        <v>418</v>
      </c>
      <c r="B419" t="n">
        <v>10018</v>
      </c>
      <c r="C419" t="inlineStr">
        <is>
          <t>METHOTREXATE SODIUM INJECTION, POWDER, LYOPHILIZED, FOR SOLUTION PARENTERAL 5 mg</t>
        </is>
      </c>
      <c r="D419" t="inlineStr">
        <is>
          <t>متوترکسات   پودر لئوفيليزه براي تهيه محلول تزريقي پرنترال 5 mg  mg - يارا طب خاورميانه</t>
        </is>
      </c>
      <c r="E419" t="inlineStr">
        <is>
          <t>تی‌تک و آریا</t>
        </is>
      </c>
    </row>
    <row r="420">
      <c r="A420" t="n">
        <v>419</v>
      </c>
      <c r="B420" t="n">
        <v>10097</v>
      </c>
      <c r="C420" t="inlineStr">
        <is>
          <t>WARFARIN SODIUM TABLET ORAL 3 mg</t>
        </is>
      </c>
      <c r="D420" t="inlineStr">
        <is>
          <t>وارفارين   قرص خوراکي 3 mg - کيميا آرا هرم</t>
        </is>
      </c>
      <c r="E420" t="inlineStr">
        <is>
          <t>تی‌تک و آریا</t>
        </is>
      </c>
    </row>
    <row r="421">
      <c r="A421" t="n">
        <v>420</v>
      </c>
      <c r="B421" t="n">
        <v>10188</v>
      </c>
      <c r="C421" t="inlineStr">
        <is>
          <t>RANITIDINE SOLUTION ORAL 75 mg/5mL 240 mL</t>
        </is>
      </c>
      <c r="D421" t="inlineStr">
        <is>
          <t>رانيتيدين   محلول خوراکي 75 mg/5mL 240 mL</t>
        </is>
      </c>
      <c r="E421" t="inlineStr">
        <is>
          <t>تی‌تک و آریا</t>
        </is>
      </c>
    </row>
    <row r="422">
      <c r="A422" t="n">
        <v>421</v>
      </c>
      <c r="B422" t="n">
        <v>10309</v>
      </c>
      <c r="D422" t="inlineStr">
        <is>
          <t>پاپيلوگارد 5/. م ل واکسن - نويان پژوهان زيست دارو</t>
        </is>
      </c>
      <c r="E422" t="inlineStr">
        <is>
          <t>فقط آریا</t>
        </is>
      </c>
    </row>
    <row r="423">
      <c r="A423" t="n">
        <v>422</v>
      </c>
      <c r="B423" t="n">
        <v>10653</v>
      </c>
      <c r="D423" t="inlineStr">
        <is>
          <t>پسيليوم ساشه - دينه</t>
        </is>
      </c>
      <c r="E423" t="inlineStr">
        <is>
          <t>فقط آریا</t>
        </is>
      </c>
    </row>
    <row r="424">
      <c r="A424" t="n">
        <v>423</v>
      </c>
      <c r="B424" t="n">
        <v>10726</v>
      </c>
      <c r="C424" t="inlineStr">
        <is>
          <t>LIDOCAINE SPRAY TOPICAL 10 mg/1{dose} 65 mL</t>
        </is>
      </c>
      <c r="D424" t="inlineStr">
        <is>
          <t>اپتي مکس   اسپري موضعي 10 mg/1{dose} 65 mL - آراسته گستران پاسارگاد</t>
        </is>
      </c>
      <c r="E424" t="inlineStr">
        <is>
          <t>تی‌تک و آریا</t>
        </is>
      </c>
    </row>
    <row r="425">
      <c r="A425" t="n">
        <v>424</v>
      </c>
      <c r="B425" t="n">
        <v>10764</v>
      </c>
      <c r="C425" t="inlineStr">
        <is>
          <t>WATER INJECTION PARENTERAL 1000 mL</t>
        </is>
      </c>
      <c r="D425" t="inlineStr">
        <is>
          <t>آب سترون براي تزريق   تزريقي پرنترال 1000 mL  mL - فرآورده هاي تزريقي و دارويي ايران</t>
        </is>
      </c>
      <c r="E425" t="inlineStr">
        <is>
          <t>تی‌تک و آریا</t>
        </is>
      </c>
    </row>
    <row r="426">
      <c r="A426" t="n">
        <v>425</v>
      </c>
      <c r="B426" t="n">
        <v>10765</v>
      </c>
      <c r="C426" t="inlineStr">
        <is>
          <t>WATER INJECTION PARENTERAL 500 mL</t>
        </is>
      </c>
      <c r="D426" t="inlineStr">
        <is>
          <t>آب سترون براي تزريق   تزريقي پرنترال 500 mL  mL - فرآورده هاي تزريقي و دارويي ايران</t>
        </is>
      </c>
      <c r="E426" t="inlineStr">
        <is>
          <t>تی‌تک و آریا</t>
        </is>
      </c>
    </row>
    <row r="427">
      <c r="A427" t="n">
        <v>426</v>
      </c>
      <c r="B427" t="n">
        <v>10786</v>
      </c>
      <c r="C427" t="inlineStr">
        <is>
          <t>LUTROPIN ALFA INJECTION, POWDER, FOR SOLUTION PARENTERAL 75 [iU]</t>
        </is>
      </c>
      <c r="D427" t="inlineStr">
        <is>
          <t>لووريس   پودر براي تهيه محلول تزريقي پرنترال 75 [iU]  [iU] - اکتوورکو</t>
        </is>
      </c>
      <c r="E427" t="inlineStr">
        <is>
          <t>تی‌تک و آریا</t>
        </is>
      </c>
    </row>
    <row r="428">
      <c r="A428" t="n">
        <v>427</v>
      </c>
      <c r="B428" t="n">
        <v>10792</v>
      </c>
      <c r="D428" t="inlineStr">
        <is>
          <t>ممورال 30 عدد کپسول گل دارو</t>
        </is>
      </c>
      <c r="E428" t="inlineStr">
        <is>
          <t>فقط آریا</t>
        </is>
      </c>
    </row>
    <row r="429">
      <c r="A429" t="n">
        <v>428</v>
      </c>
      <c r="B429" t="n">
        <v>11269</v>
      </c>
      <c r="C429" t="inlineStr">
        <is>
          <t>CLINDAMYCIN PHOSPHATE / TRETINOIN GEL TOPICAL 1.2 %/0.025 % 15 g</t>
        </is>
      </c>
      <c r="E429" t="inlineStr">
        <is>
          <t>فقط تی‌تک</t>
        </is>
      </c>
    </row>
    <row r="430">
      <c r="A430" t="n">
        <v>429</v>
      </c>
      <c r="B430" t="n">
        <v>11366</v>
      </c>
      <c r="C430" t="inlineStr">
        <is>
          <t>VALPROATE SODIUM INJECTION PARENTERAL 100 mg/1mL 10 mL</t>
        </is>
      </c>
      <c r="D430" t="inlineStr">
        <is>
          <t>اورفيريل   تزريقي پرنترال 100 mg/1mL 10 mg - شفا ياب گستر</t>
        </is>
      </c>
      <c r="E430" t="inlineStr">
        <is>
          <t>تی‌تک و آریا</t>
        </is>
      </c>
    </row>
    <row r="431">
      <c r="A431" t="n">
        <v>430</v>
      </c>
      <c r="B431" t="n">
        <v>11372</v>
      </c>
      <c r="C431" t="inlineStr">
        <is>
          <t>NITROGLYCERIN PATCH, EXTENDED RELEASE TRANSDERMAL 10 mg</t>
        </is>
      </c>
      <c r="E431" t="inlineStr">
        <is>
          <t>فقط تی‌تک</t>
        </is>
      </c>
    </row>
    <row r="432">
      <c r="A432" t="n">
        <v>431</v>
      </c>
      <c r="B432" t="n">
        <v>11375</v>
      </c>
      <c r="C432" t="inlineStr">
        <is>
          <t>FERROUS-GLYCINE-SULFATE CAPSULE ORAL 567.66 mg</t>
        </is>
      </c>
      <c r="D432" t="inlineStr">
        <is>
          <t>فرو فورت دئودنال   کپسول خوراکي 567.66 mg - داروسازي دکتر عبيدي</t>
        </is>
      </c>
      <c r="E432" t="inlineStr">
        <is>
          <t>تی‌تک و آریا</t>
        </is>
      </c>
    </row>
    <row r="433">
      <c r="A433" t="n">
        <v>432</v>
      </c>
      <c r="B433" t="n">
        <v>11405</v>
      </c>
      <c r="C433" t="inlineStr">
        <is>
          <t>CHORIOGONADOTROPIN ALFA INJECTION PARENTERAL 500 ug/1mL 0.5 mL</t>
        </is>
      </c>
      <c r="D433" t="inlineStr">
        <is>
          <t>اوويترل   تزريقي پرنترال 500 ug/1mL 0.5 ug - اکتوورکو</t>
        </is>
      </c>
      <c r="E433" t="inlineStr">
        <is>
          <t>تی‌تک و آریا</t>
        </is>
      </c>
    </row>
    <row r="434">
      <c r="A434" t="n">
        <v>433</v>
      </c>
      <c r="B434" t="n">
        <v>11407</v>
      </c>
      <c r="C434" t="inlineStr">
        <is>
          <t>ALTEPLASE INJECTION, POWDER, FOR SOLUTION PARENTERAL 10 mg</t>
        </is>
      </c>
      <c r="D434" t="inlineStr">
        <is>
          <t>اکتيليز   پودر براي تهيه محلول تزريقي پرنترال 10 mg  mg - شفا ياب گستر</t>
        </is>
      </c>
      <c r="E434" t="inlineStr">
        <is>
          <t>تی‌تک و آریا</t>
        </is>
      </c>
    </row>
    <row r="435">
      <c r="A435" t="n">
        <v>434</v>
      </c>
      <c r="B435" t="n">
        <v>11504</v>
      </c>
      <c r="C435" t="inlineStr">
        <is>
          <t>ALBUMIN (HUMAN) INJECTION, SOLUTION PARENTERAL 5 % 250 mL</t>
        </is>
      </c>
      <c r="D435" t="inlineStr">
        <is>
          <t>آلبومين انساني   محلول تزريقي پرنترال 5 % 250 mL - اوين دارو</t>
        </is>
      </c>
      <c r="E435" t="inlineStr">
        <is>
          <t>تی‌تک و آریا</t>
        </is>
      </c>
    </row>
    <row r="436">
      <c r="A436" t="n">
        <v>435</v>
      </c>
      <c r="B436" t="n">
        <v>11506</v>
      </c>
      <c r="C436" t="inlineStr">
        <is>
          <t>DIGOXIN SPECIFIC ANTIBODY INJECTION PARENTERAL 40 mg</t>
        </is>
      </c>
      <c r="D436" t="inlineStr">
        <is>
          <t>ديجي فب   تزريقي پرنترال 40 mg  mg - سلامت سازان آراد دارو</t>
        </is>
      </c>
      <c r="E436" t="inlineStr">
        <is>
          <t>تی‌تک و آریا</t>
        </is>
      </c>
    </row>
    <row r="437">
      <c r="A437" t="n">
        <v>436</v>
      </c>
      <c r="B437" t="n">
        <v>11647</v>
      </c>
      <c r="C437" t="inlineStr">
        <is>
          <t>EFAVIRENZ SOLUTION ORAL 150 mg/5mL 180 mL</t>
        </is>
      </c>
      <c r="D437" t="inlineStr">
        <is>
          <t>افاويرنز   محلول خوراکي 150 mg/5mL 180 mL - ماه داروي حکيم</t>
        </is>
      </c>
      <c r="E437" t="inlineStr">
        <is>
          <t>تی‌تک و آریا</t>
        </is>
      </c>
    </row>
    <row r="438">
      <c r="A438" t="n">
        <v>437</v>
      </c>
      <c r="B438" t="n">
        <v>11694</v>
      </c>
      <c r="C438" t="inlineStr">
        <is>
          <t>IMMUNE GLOBULIN INJECTION INTRAVENOUS 120 mg/1mL</t>
        </is>
      </c>
      <c r="E438" t="inlineStr">
        <is>
          <t>فقط تی‌تک</t>
        </is>
      </c>
    </row>
    <row r="439">
      <c r="A439" t="n">
        <v>438</v>
      </c>
      <c r="B439" t="n">
        <v>11798</v>
      </c>
      <c r="D439" t="inlineStr">
        <is>
          <t>نرونوکس 100 (بوتولونيوم آ توکسين) ويال-مديتوکس</t>
        </is>
      </c>
      <c r="E439" t="inlineStr">
        <is>
          <t>فقط آریا</t>
        </is>
      </c>
    </row>
    <row r="440">
      <c r="A440" t="n">
        <v>439</v>
      </c>
      <c r="B440" t="n">
        <v>11873</v>
      </c>
      <c r="C440" t="inlineStr">
        <is>
          <t>METOPROLOL SUCCINATE TABLET, EXTENDED RELEASE ORAL 190 mg</t>
        </is>
      </c>
      <c r="D440" t="inlineStr">
        <is>
          <t>تداسپت   قرص پيوسته رهش خوراکي 190 mg - دارو سازي تهران دارو</t>
        </is>
      </c>
      <c r="E440" t="inlineStr">
        <is>
          <t>تی‌تک و آریا</t>
        </is>
      </c>
    </row>
    <row r="441">
      <c r="A441" t="n">
        <v>440</v>
      </c>
      <c r="B441" t="n">
        <v>11886</v>
      </c>
      <c r="C441" t="inlineStr">
        <is>
          <t>CALCIUM FOLINATE INJECTION PARENTERAL 10 mg/1mL 10 mL</t>
        </is>
      </c>
      <c r="D441" t="inlineStr">
        <is>
          <t>روفاوار   تزريقي پرنترال 10 mg/1mL 10 mL - تحقيقاتي و توليدي واريان فارمد</t>
        </is>
      </c>
      <c r="E441" t="inlineStr">
        <is>
          <t>تی‌تک و آریا</t>
        </is>
      </c>
    </row>
    <row r="442">
      <c r="A442" t="n">
        <v>441</v>
      </c>
      <c r="B442" t="n">
        <v>11889</v>
      </c>
      <c r="C442" t="inlineStr">
        <is>
          <t>CALCIUM FOLINATE INJECTION PARENTERAL 10 mg/1mL 5 mL</t>
        </is>
      </c>
      <c r="D442" t="inlineStr">
        <is>
          <t>لئوترو   تزريقي پرنترال 10 mg/1mL 5 mg - تامين آوا سلامت</t>
        </is>
      </c>
      <c r="E442" t="inlineStr">
        <is>
          <t>تی‌تک و آریا</t>
        </is>
      </c>
    </row>
    <row r="443">
      <c r="A443" t="n">
        <v>442</v>
      </c>
      <c r="B443" t="n">
        <v>11908</v>
      </c>
      <c r="C443" t="inlineStr">
        <is>
          <t>FOMEPIZOLE INJECTION PARENTERAL 1 g/1mL 1.5 mL</t>
        </is>
      </c>
      <c r="D443" t="inlineStr">
        <is>
          <t>فومبست   تزريقي پرنترال 1 g/1mL 1.5 g - کيان طب پاسارگاد</t>
        </is>
      </c>
      <c r="E443" t="inlineStr">
        <is>
          <t>تی‌تک و آریا</t>
        </is>
      </c>
    </row>
    <row r="444">
      <c r="A444" t="n">
        <v>443</v>
      </c>
      <c r="B444" t="n">
        <v>11910</v>
      </c>
      <c r="C444" t="inlineStr">
        <is>
          <t>PINDOLOL TABLET ORAL 5 mg</t>
        </is>
      </c>
      <c r="D444" t="inlineStr">
        <is>
          <t>ويسکن   قرص خوراکي 5 mg  [Amb'a'1'U] - فوريتهاي سينا آرات گستر</t>
        </is>
      </c>
      <c r="E444" t="inlineStr">
        <is>
          <t>تی‌تک و آریا</t>
        </is>
      </c>
    </row>
    <row r="445">
      <c r="A445" t="n">
        <v>444</v>
      </c>
      <c r="B445" t="n">
        <v>12056</v>
      </c>
      <c r="C445" t="inlineStr">
        <is>
          <t>ISOTRETINOIN CAPSULE ORAL 10 mg</t>
        </is>
      </c>
      <c r="D445" t="inlineStr">
        <is>
          <t>آکنوتان بي اس کي   کپسول خوراکي 10 mg - بنيان سلامت کسري</t>
        </is>
      </c>
      <c r="E445" t="inlineStr">
        <is>
          <t>تی‌تک و آریا</t>
        </is>
      </c>
    </row>
    <row r="446">
      <c r="A446" t="n">
        <v>445</v>
      </c>
      <c r="B446" t="n">
        <v>12105</v>
      </c>
      <c r="D446" t="inlineStr">
        <is>
          <t>قرص آربيکور-پلاس 40/12.5 ميلي گرم</t>
        </is>
      </c>
      <c r="E446" t="inlineStr">
        <is>
          <t>فقط آریا</t>
        </is>
      </c>
    </row>
    <row r="447">
      <c r="A447" t="n">
        <v>446</v>
      </c>
      <c r="B447" t="n">
        <v>12115</v>
      </c>
      <c r="C447" t="inlineStr">
        <is>
          <t>TRIMETAZIDINE TABLET, FILM COATED, EXTENDED RELEASE ORAL 35 mg</t>
        </is>
      </c>
      <c r="D447" t="inlineStr">
        <is>
          <t>واستارل   قرص فيلم کوتد پيوسته رهش خوراکي 35 mg - بازرگاني سها کيش</t>
        </is>
      </c>
      <c r="E447" t="inlineStr">
        <is>
          <t>تی‌تک و آریا</t>
        </is>
      </c>
    </row>
    <row r="448">
      <c r="A448" t="n">
        <v>447</v>
      </c>
      <c r="B448" t="n">
        <v>12118</v>
      </c>
      <c r="C448" t="inlineStr">
        <is>
          <t>ATAZANAVIR (AS SULFATE) CAPSULE ORAL 150 mg</t>
        </is>
      </c>
      <c r="D448" t="inlineStr">
        <is>
          <t>آتازاناوير   کپسول خوراکي 150 mg  {dose} - دارو درمان سپهر</t>
        </is>
      </c>
      <c r="E448" t="inlineStr">
        <is>
          <t>تی‌تک و آریا</t>
        </is>
      </c>
    </row>
    <row r="449">
      <c r="A449" t="n">
        <v>448</v>
      </c>
      <c r="B449" t="n">
        <v>12299</v>
      </c>
      <c r="C449" t="inlineStr">
        <is>
          <t>LAPATINIB DITOSYLATE TABLET ORAL 250 mg</t>
        </is>
      </c>
      <c r="D449" t="inlineStr">
        <is>
          <t>تايکرب   قرص خوراکي 250 mg  mg - رايان دارو ايرانيان</t>
        </is>
      </c>
      <c r="E449" t="inlineStr">
        <is>
          <t>تی‌تک و آریا</t>
        </is>
      </c>
    </row>
    <row r="450">
      <c r="A450" t="n">
        <v>449</v>
      </c>
      <c r="B450" t="n">
        <v>12322</v>
      </c>
      <c r="C450" t="inlineStr">
        <is>
          <t>EDROPHONIUM CHLORIDE INJECTION PARENTERAL 10 mg/1mL 1 mL</t>
        </is>
      </c>
      <c r="D450" t="inlineStr">
        <is>
          <t>آنتيرکس   تزريقي پرنترال 10 mg/1mL 1 mg - سينا پيشگام دارو نوين</t>
        </is>
      </c>
      <c r="E450" t="inlineStr">
        <is>
          <t>تی‌تک و آریا</t>
        </is>
      </c>
    </row>
    <row r="451">
      <c r="A451" t="n">
        <v>450</v>
      </c>
      <c r="B451" t="n">
        <v>12423</v>
      </c>
      <c r="C451" t="inlineStr">
        <is>
          <t>FACTOR VIII / VON WILLEBRAND FACTOR INJECTION, POWDER, LYOPHILIZED, FOR SOLUTION PARENTERAL 250 [iU]/600 [iU]</t>
        </is>
      </c>
      <c r="D451" t="inlineStr">
        <is>
          <t>هيوميت پي   پودر لئوفيليزه براي تهيه محلول تزريقي پرنترال 250 [iU]/600 [iU]  mL - اوين دارو</t>
        </is>
      </c>
      <c r="E451" t="inlineStr">
        <is>
          <t>تی‌تک و آریا</t>
        </is>
      </c>
    </row>
    <row r="452">
      <c r="A452" t="n">
        <v>451</v>
      </c>
      <c r="B452" t="n">
        <v>12455</v>
      </c>
      <c r="C452" t="inlineStr">
        <is>
          <t>RITONAVIR CAPSULE ORAL 100 mg</t>
        </is>
      </c>
      <c r="D452" t="inlineStr">
        <is>
          <t>ريتوناوير   کپسول خوراکي 100 mg - دارو اثرت گستر</t>
        </is>
      </c>
      <c r="E452" t="inlineStr">
        <is>
          <t>تی‌تک و آریا</t>
        </is>
      </c>
    </row>
    <row r="453">
      <c r="A453" t="n">
        <v>452</v>
      </c>
      <c r="B453" t="n">
        <v>12528</v>
      </c>
      <c r="D453" t="inlineStr">
        <is>
          <t>پسيليوم (طعم پرتقال) ملين گياهي ساشه - ايران داروک</t>
        </is>
      </c>
      <c r="E453" t="inlineStr">
        <is>
          <t>فقط آریا</t>
        </is>
      </c>
    </row>
    <row r="454">
      <c r="A454" t="n">
        <v>453</v>
      </c>
      <c r="B454" t="n">
        <v>12534</v>
      </c>
      <c r="C454" t="inlineStr">
        <is>
          <t>NATALIZUMAB INJECTION, SOLUTION, CONCENTRATE PARENTERAL 20 mg/1mL 15 mL</t>
        </is>
      </c>
      <c r="D454" t="inlineStr">
        <is>
          <t>تايروکو   محلول غليظ تزريقي پرنترال 20 mg/1mL 15 mg - بهستان دارو</t>
        </is>
      </c>
      <c r="E454" t="inlineStr">
        <is>
          <t>تی‌تک و آریا</t>
        </is>
      </c>
    </row>
    <row r="455">
      <c r="A455" t="n">
        <v>454</v>
      </c>
      <c r="B455" t="n">
        <v>12541</v>
      </c>
      <c r="C455" t="inlineStr">
        <is>
          <t>PANITUMUMAB INJECTION, SOLUTION, CONCENTRATE PARENTERAL 20 mg/1mL 20 mL</t>
        </is>
      </c>
      <c r="D455" t="inlineStr">
        <is>
          <t>اپيدبيکس   محلول غليظ تزريقي پرنترال 20 mg/1mL 20 mg - آريوژن فارمد</t>
        </is>
      </c>
      <c r="E455" t="inlineStr">
        <is>
          <t>تی‌تک و آریا</t>
        </is>
      </c>
    </row>
    <row r="456">
      <c r="A456" t="n">
        <v>455</v>
      </c>
      <c r="B456" t="n">
        <v>12741</v>
      </c>
      <c r="C456" t="inlineStr">
        <is>
          <t>ENTECAVIR TABLET ORAL 1 mg</t>
        </is>
      </c>
      <c r="D456" t="inlineStr">
        <is>
          <t>انتکاوير   قرص خوراکي 1 mg - صنعت دارويي شاري</t>
        </is>
      </c>
      <c r="E456" t="inlineStr">
        <is>
          <t>تی‌تک و آریا</t>
        </is>
      </c>
    </row>
    <row r="457">
      <c r="A457" t="n">
        <v>456</v>
      </c>
      <c r="B457" t="n">
        <v>12761</v>
      </c>
      <c r="C457" t="inlineStr">
        <is>
          <t>LISINOPRIL / HYDROCHLOROTHIAZIDE TABLET ORAL 20 mg/12.5 mg</t>
        </is>
      </c>
      <c r="E457" t="inlineStr">
        <is>
          <t>فقط تی‌تک</t>
        </is>
      </c>
    </row>
    <row r="458">
      <c r="A458" t="n">
        <v>457</v>
      </c>
      <c r="B458" t="n">
        <v>12863</v>
      </c>
      <c r="C458" t="inlineStr">
        <is>
          <t>GOLD SODIUM THIOMALATE INJECTION PARENTERAL 20 mg/1mL 0.5 mL</t>
        </is>
      </c>
      <c r="E458" t="inlineStr">
        <is>
          <t>فقط تی‌تک</t>
        </is>
      </c>
    </row>
    <row r="459">
      <c r="A459" t="n">
        <v>458</v>
      </c>
      <c r="B459" t="n">
        <v>13143</v>
      </c>
      <c r="C459" t="inlineStr">
        <is>
          <t>SODIUM CHLORIDE SOLUTION OPHTHALMIC 0.9 % 5 mL</t>
        </is>
      </c>
      <c r="D459" t="inlineStr">
        <is>
          <t>فيزيوپيک   محلول چشمي 0.9 % 5 mL - فرآورده هاي تزريقي و دارويي ايران</t>
        </is>
      </c>
      <c r="E459" t="inlineStr">
        <is>
          <t>تی‌تک و آریا</t>
        </is>
      </c>
    </row>
    <row r="460">
      <c r="A460" t="n">
        <v>459</v>
      </c>
      <c r="B460" t="n">
        <v>13238</v>
      </c>
      <c r="C460" t="inlineStr">
        <is>
          <t>COAGULATION FACTOR VIII (HUMAN PLASMA DERIVED) INJECTION, POWDER, LYOPHILIZED, FOR SOLUTION PARENTERAL 250 [iU]</t>
        </is>
      </c>
      <c r="D460" t="inlineStr">
        <is>
          <t>اپتيويت   پودر لئوفيليزه براي تهيه محلول تزريقي پرنترال 250 [iU]  [iU] - ويستا فارمد ايرانيان</t>
        </is>
      </c>
      <c r="E460" t="inlineStr">
        <is>
          <t>تی‌تک و آریا</t>
        </is>
      </c>
    </row>
    <row r="461">
      <c r="A461" t="n">
        <v>460</v>
      </c>
      <c r="B461" t="n">
        <v>13267</v>
      </c>
      <c r="D461" t="inlineStr">
        <is>
          <t>کتورولاک 30 م گ / 1 م ل آمپول - اکسير</t>
        </is>
      </c>
      <c r="E461" t="inlineStr">
        <is>
          <t>فقط آریا</t>
        </is>
      </c>
    </row>
    <row r="462">
      <c r="A462" t="n">
        <v>461</v>
      </c>
      <c r="B462" t="n">
        <v>13291</v>
      </c>
      <c r="C462" t="inlineStr">
        <is>
          <t>CEFTRIAXONE (AS SODIUM) INJECTION, POWDER, FOR SOLUTION PARENTERAL 2 g</t>
        </is>
      </c>
      <c r="D462" t="inlineStr">
        <is>
          <t>سفتراکس   پودر براي تهيه محلول تزريقي پرنترال 2 g  g - داروسازي جابرابن حيان</t>
        </is>
      </c>
      <c r="E462" t="inlineStr">
        <is>
          <t>تی‌تک و آریا</t>
        </is>
      </c>
    </row>
    <row r="463">
      <c r="A463" t="n">
        <v>462</v>
      </c>
      <c r="B463" t="n">
        <v>13323</v>
      </c>
      <c r="C463" t="inlineStr">
        <is>
          <t>ISONIAZID / RIFAMPICIN TABLET ORAL 75 mg/150 mg</t>
        </is>
      </c>
      <c r="D463" t="inlineStr">
        <is>
          <t>آر اچ  کام   قرص خوراکي 75 mg/150 mg - ماه داروي حکيم</t>
        </is>
      </c>
      <c r="E463" t="inlineStr">
        <is>
          <t>تی‌تک و آریا</t>
        </is>
      </c>
    </row>
    <row r="464">
      <c r="A464" t="n">
        <v>463</v>
      </c>
      <c r="B464" t="n">
        <v>13345</v>
      </c>
      <c r="C464" t="inlineStr">
        <is>
          <t>ETHAMBUTOL / ISONIAZID / PYRAZINAMIDE / RIFAMPICIN TABLET ORAL 275 mg/75 mg/400 mg/150 mg</t>
        </is>
      </c>
      <c r="D464" t="inlineStr">
        <is>
          <t>آکوريت 4   قرص خوراکي 275 mg/75 mg/400 mg/150 mg - دارويي بهين پاد</t>
        </is>
      </c>
      <c r="E464" t="inlineStr">
        <is>
          <t>تی‌تک و آریا</t>
        </is>
      </c>
    </row>
    <row r="465">
      <c r="A465" t="n">
        <v>464</v>
      </c>
      <c r="B465" t="n">
        <v>13425</v>
      </c>
      <c r="C465" t="inlineStr">
        <is>
          <t>ALISKIREN HEMIFUMARATE TABLET ORAL 300 mg</t>
        </is>
      </c>
      <c r="D465" t="inlineStr">
        <is>
          <t>راسيلز   قرص خوراکي 300 mg  [Amb'a'1'U] - فوريتهاي سينا آرات گستر</t>
        </is>
      </c>
      <c r="E465" t="inlineStr">
        <is>
          <t>تی‌تک و آریا</t>
        </is>
      </c>
    </row>
    <row r="466">
      <c r="A466" t="n">
        <v>465</v>
      </c>
      <c r="B466" t="n">
        <v>13435</v>
      </c>
      <c r="C466" t="inlineStr">
        <is>
          <t>APREPITANT CAPSULE ORAL 80 mg</t>
        </is>
      </c>
      <c r="D466" t="inlineStr">
        <is>
          <t>ابيتانت   کپسول خوراکي 80 mg - داروسازي دکتر عبيدي</t>
        </is>
      </c>
      <c r="E466" t="inlineStr">
        <is>
          <t>تی‌تک و آریا</t>
        </is>
      </c>
    </row>
    <row r="467">
      <c r="A467" t="n">
        <v>466</v>
      </c>
      <c r="B467" t="n">
        <v>13497</v>
      </c>
      <c r="D467" t="inlineStr">
        <is>
          <t>سي-لاکس قرص - دينه (ورقي)</t>
        </is>
      </c>
      <c r="E467" t="inlineStr">
        <is>
          <t>فقط آریا</t>
        </is>
      </c>
    </row>
    <row r="468">
      <c r="A468" t="n">
        <v>467</v>
      </c>
      <c r="B468" t="n">
        <v>13695</v>
      </c>
      <c r="D468" t="inlineStr">
        <is>
          <t>پالموتون 6+200 ميکروگرم 120 پاف (بودزونايد + فورموترول فومارات) اينهالر - ELPEN</t>
        </is>
      </c>
      <c r="E468" t="inlineStr">
        <is>
          <t>فقط آریا</t>
        </is>
      </c>
    </row>
    <row r="469">
      <c r="A469" t="n">
        <v>468</v>
      </c>
      <c r="B469" t="n">
        <v>13696</v>
      </c>
      <c r="D469" t="inlineStr">
        <is>
          <t>پالموتون 12+400 م ک گ 60 پاف (بودزونايد + فورموترول فومارات) اينهالر - ELPEN</t>
        </is>
      </c>
      <c r="E469" t="inlineStr">
        <is>
          <t>فقط آریا</t>
        </is>
      </c>
    </row>
    <row r="470">
      <c r="A470" t="n">
        <v>469</v>
      </c>
      <c r="B470" t="n">
        <v>13800</v>
      </c>
      <c r="C470" t="inlineStr">
        <is>
          <t>SALICYLIC ACID COMPOUND SOLUTION TOPICAL 16.7 %/16.7 % 18 mL</t>
        </is>
      </c>
      <c r="D470" t="inlineStr">
        <is>
          <t>ساليسيليک اسيد کامپاند   محلول موضعي 16.7 %/16.7 % 18 mL - کيميا دارو سپهر</t>
        </is>
      </c>
      <c r="E470" t="inlineStr">
        <is>
          <t>تی‌تک و آریا</t>
        </is>
      </c>
    </row>
    <row r="471">
      <c r="A471" t="n">
        <v>470</v>
      </c>
      <c r="B471" t="n">
        <v>13899</v>
      </c>
      <c r="D471" t="inlineStr">
        <is>
          <t xml:space="preserve">رينوزولين 0.05 درصد 15 ميلي گرم (اکسي متازولين هيدروکلرايد) اسپري بيني - سينا دارو </t>
        </is>
      </c>
      <c r="E471" t="inlineStr">
        <is>
          <t>فقط آریا</t>
        </is>
      </c>
    </row>
    <row r="472">
      <c r="A472" t="n">
        <v>471</v>
      </c>
      <c r="B472" t="n">
        <v>13930</v>
      </c>
      <c r="C472" t="inlineStr">
        <is>
          <t>HEPATITIS B IMMUNE GLOBULIN INJECTION PARENTERAL 200 [iU]/1mL 5 mL</t>
        </is>
      </c>
      <c r="D472" t="inlineStr">
        <is>
          <t>هپاتيت بي ايمونوگلوبولين   تزريقي پرنترال 200 [iU]/1mL 5 [iU] - پويش دارو گستر برتر فارس</t>
        </is>
      </c>
      <c r="E472" t="inlineStr">
        <is>
          <t>تی‌تک و آریا</t>
        </is>
      </c>
    </row>
    <row r="473">
      <c r="A473" t="n">
        <v>472</v>
      </c>
      <c r="B473" t="n">
        <v>13935</v>
      </c>
      <c r="C473" t="inlineStr">
        <is>
          <t>TRABECTEDIN INJECTION, POWDER, FOR SOLUTION PARENTERAL 1 mg</t>
        </is>
      </c>
      <c r="D473" t="inlineStr">
        <is>
          <t>يوندليس   پودر براي تهيه محلول تزريقي پرنترال 1 mg  [Amb'a'1'U] - فوريتهاي سينا آرات گستر</t>
        </is>
      </c>
      <c r="E473" t="inlineStr">
        <is>
          <t>تی‌تک و آریا</t>
        </is>
      </c>
    </row>
    <row r="474">
      <c r="A474" t="n">
        <v>473</v>
      </c>
      <c r="B474" t="n">
        <v>14051</v>
      </c>
      <c r="C474" t="inlineStr">
        <is>
          <t>RABIES VACCINE INJECTION, POWDER, FOR SUSPENSION PARENTERAL 2.5 [iU] 0.5 mL</t>
        </is>
      </c>
      <c r="D474" t="inlineStr">
        <is>
          <t>واکسن آبهاي رب   پودر براي تهيه سوسپانسيون تزريقي پرنترال 2.5 [iU] 0.5 mg - رايان دارو ايرانيان</t>
        </is>
      </c>
      <c r="E474" t="inlineStr">
        <is>
          <t>تی‌تک و آریا</t>
        </is>
      </c>
    </row>
    <row r="475">
      <c r="A475" t="n">
        <v>474</v>
      </c>
      <c r="B475" t="n">
        <v>14083</v>
      </c>
      <c r="C475" t="inlineStr">
        <is>
          <t>ABCIXIMAB INJECTION PARENTERAL 2 mg/1mL 5 mL</t>
        </is>
      </c>
      <c r="E475" t="inlineStr">
        <is>
          <t>فقط تی‌تک</t>
        </is>
      </c>
    </row>
    <row r="476">
      <c r="A476" t="n">
        <v>475</v>
      </c>
      <c r="B476" t="n">
        <v>14113</v>
      </c>
      <c r="C476" t="inlineStr">
        <is>
          <t>TRACE METAL COMBINATION (2-1) INJECTION PARENTERAL 5.33 ug/0.34 mg/0.54 mg/99 ug/16.6 ug/0.21 mg/4.85 ug/6.9 ug/1.36 mg/1mL 10 mL</t>
        </is>
      </c>
      <c r="D476" t="inlineStr">
        <is>
          <t>آدامل ان   تزريقي پرنترال 5.33 ug/0.34 mg/0.54 mg/99 ug/16.6 ug/0.21 mg/4.85 ug/6.9 ug/1.36 mg/1mL 10 mL - درمان ياب دارو</t>
        </is>
      </c>
      <c r="E476" t="inlineStr">
        <is>
          <t>تی‌تک و آریا</t>
        </is>
      </c>
    </row>
    <row r="477">
      <c r="A477" t="n">
        <v>476</v>
      </c>
      <c r="B477" t="n">
        <v>14115</v>
      </c>
      <c r="C477" t="inlineStr">
        <is>
          <t>AMINO ACID 10% (2) INJECTION, SOLUTION INTRAVENOUS 5 mg/8.9 mg/5.74 mg/3.12 mg/4.4 mg/4.7 mg/4.2 mg/1.6 mg/6.2 mg/11.5 mg/3 mg/10.5 mg/12 mg/5.6 mg/7.2 mg/5.5 mg/2.3 mg/0.4 mg/1mL 250 mL</t>
        </is>
      </c>
      <c r="D477" t="inlineStr">
        <is>
          <t>آمينوپلاسمال بي.براون 10 %   محلول تزريقي داخل وريدي 250 mL - نيکان فارمد</t>
        </is>
      </c>
      <c r="E477" t="inlineStr">
        <is>
          <t>تی‌تک و آریا</t>
        </is>
      </c>
    </row>
    <row r="478">
      <c r="A478" t="n">
        <v>477</v>
      </c>
      <c r="B478" t="n">
        <v>14119</v>
      </c>
      <c r="C478" t="inlineStr">
        <is>
          <t>ARTICAINE / EPINEPHRINE INJECTION PARENTERAL 4 %/0.001 %/1 mL 1.8 mL</t>
        </is>
      </c>
      <c r="D478" t="inlineStr">
        <is>
          <t>آرتينيبسا   تزريقي پرنترال 4 %/0.001 %/1 mL 1.8 mg - درمان ياب دارو</t>
        </is>
      </c>
      <c r="E478" t="inlineStr">
        <is>
          <t>تی‌تک و آریا</t>
        </is>
      </c>
    </row>
    <row r="479">
      <c r="A479" t="n">
        <v>478</v>
      </c>
      <c r="B479" t="n">
        <v>14142</v>
      </c>
      <c r="D479" t="inlineStr">
        <is>
          <t>سالمفلو (سالمترول / فلوتيکازون)ميکروگرم 120 دوز 125 / 25استنشاقي اينووا هلث کر</t>
        </is>
      </c>
      <c r="E479" t="inlineStr">
        <is>
          <t>فقط آریا</t>
        </is>
      </c>
    </row>
    <row r="480">
      <c r="A480" t="n">
        <v>479</v>
      </c>
      <c r="B480" t="n">
        <v>14155</v>
      </c>
      <c r="C480" t="inlineStr">
        <is>
          <t>STIRIPENTOL CAPSULE ORAL 250 mg</t>
        </is>
      </c>
      <c r="D480" t="inlineStr">
        <is>
          <t>دياکوميت   کپسول خوراکي 250 mg - بازرگاني سها کيش</t>
        </is>
      </c>
      <c r="E480" t="inlineStr">
        <is>
          <t>تی‌تک و آریا</t>
        </is>
      </c>
    </row>
    <row r="481">
      <c r="A481" t="n">
        <v>480</v>
      </c>
      <c r="B481" t="n">
        <v>14266</v>
      </c>
      <c r="C481" t="inlineStr">
        <is>
          <t>MOXIFLOXACIN SOLUTION, DROPS OPHTHALMIC 0.5 % 5 mL</t>
        </is>
      </c>
      <c r="D481" t="inlineStr">
        <is>
          <t>ويگاموکس   محلول، قطره چشمي 0.5 % 5 % - پويش دارو گستر برتر فارس</t>
        </is>
      </c>
      <c r="E481" t="inlineStr">
        <is>
          <t>تی‌تک و آریا</t>
        </is>
      </c>
    </row>
    <row r="482">
      <c r="A482" t="n">
        <v>481</v>
      </c>
      <c r="B482" t="n">
        <v>14399</v>
      </c>
      <c r="C482" t="inlineStr">
        <is>
          <t>BARIUM SULFATE SUSPENSION ORAL 1 g/1mL 240 mL</t>
        </is>
      </c>
      <c r="D482" t="inlineStr">
        <is>
          <t>باريم نيکسادا   سوسپانسيون خوراکي 1 g/1mL 240 mL - نيک سامان دارو</t>
        </is>
      </c>
      <c r="E482" t="inlineStr">
        <is>
          <t>تی‌تک و آریا</t>
        </is>
      </c>
    </row>
    <row r="483">
      <c r="A483" t="n">
        <v>482</v>
      </c>
      <c r="B483" t="n">
        <v>14457</v>
      </c>
      <c r="C483" t="inlineStr">
        <is>
          <t>FACTOR VIIA INJECTION, POWDER, LYOPHILIZED, FOR SOLUTION PARENTERAL 2 mg</t>
        </is>
      </c>
      <c r="D483" t="inlineStr">
        <is>
          <t>آريوسون آر تي   پودر لئوفيليزه براي تهيه محلول تزريقي پرنترال 2 mg  mg - آريوژن فارمد</t>
        </is>
      </c>
      <c r="E483" t="inlineStr">
        <is>
          <t>تی‌تک و آریا</t>
        </is>
      </c>
    </row>
    <row r="484">
      <c r="A484" t="n">
        <v>483</v>
      </c>
      <c r="B484" t="n">
        <v>14541</v>
      </c>
      <c r="D484" t="inlineStr">
        <is>
          <t>فلوميست 50 ميکروگرم 10 ميلي ليتر 100 پاف (فلوتيکازون پروپيونات) اسپري بيني - CIPLA(کوشان فارمد)</t>
        </is>
      </c>
      <c r="E484" t="inlineStr">
        <is>
          <t>فقط آریا</t>
        </is>
      </c>
    </row>
    <row r="485">
      <c r="A485" t="n">
        <v>484</v>
      </c>
      <c r="B485" t="n">
        <v>14626</v>
      </c>
      <c r="C485" t="inlineStr">
        <is>
          <t>RIFAMPICIN SYRUP ORAL 20 mg/1mL 200 mL</t>
        </is>
      </c>
      <c r="D485" t="inlineStr">
        <is>
          <t>ريفامپيسين   شربت خوراکي 20 mg/1mL 200 mL - کي بي سي</t>
        </is>
      </c>
      <c r="E485" t="inlineStr">
        <is>
          <t>تی‌تک و آریا</t>
        </is>
      </c>
    </row>
    <row r="486">
      <c r="A486" t="n">
        <v>485</v>
      </c>
      <c r="B486" t="n">
        <v>14659</v>
      </c>
      <c r="C486" t="inlineStr">
        <is>
          <t>POLIOMYELITIS VACCINE INJECTION PARENTERAL 1 {dose}</t>
        </is>
      </c>
      <c r="D486" t="inlineStr">
        <is>
          <t>ايمووکس پوليو   تزريقي پرنترال 1 {dose}  mL - سانوفي آونتيس گروپ</t>
        </is>
      </c>
      <c r="E486" t="inlineStr">
        <is>
          <t>تی‌تک و آریا</t>
        </is>
      </c>
    </row>
    <row r="487">
      <c r="A487" t="n">
        <v>486</v>
      </c>
      <c r="B487" t="n">
        <v>14761</v>
      </c>
      <c r="C487" t="inlineStr">
        <is>
          <t>ANTIHISTAMINE DECONGESTANT (1) CAPSULE, LIQUID FILLED ORAL 2 mg/30 mg</t>
        </is>
      </c>
      <c r="E487" t="inlineStr">
        <is>
          <t>فقط تی‌تک</t>
        </is>
      </c>
    </row>
    <row r="488">
      <c r="A488" t="n">
        <v>487</v>
      </c>
      <c r="B488" t="n">
        <v>15224</v>
      </c>
      <c r="D488" t="inlineStr">
        <is>
          <t>کلسي کر شربت 200 ميلي ليتر - خوارزمي</t>
        </is>
      </c>
      <c r="E488" t="inlineStr">
        <is>
          <t>فقط آریا</t>
        </is>
      </c>
    </row>
    <row r="489">
      <c r="A489" t="n">
        <v>488</v>
      </c>
      <c r="B489" t="n">
        <v>15449</v>
      </c>
      <c r="C489" t="inlineStr">
        <is>
          <t>MIDODRINE HYDROCHLORIDE TABLET ORAL 5 mg</t>
        </is>
      </c>
      <c r="D489" t="inlineStr">
        <is>
          <t>گوترون   قرص خوراکي 5 mg  [Amb'a'1'U] - فوريتهاي سينا آرات گستر</t>
        </is>
      </c>
      <c r="E489" t="inlineStr">
        <is>
          <t>تی‌تک و آریا</t>
        </is>
      </c>
    </row>
    <row r="490">
      <c r="A490" t="n">
        <v>489</v>
      </c>
      <c r="B490" t="n">
        <v>15522</v>
      </c>
      <c r="C490" t="inlineStr">
        <is>
          <t>AMLODIPINE (AS BESILATE) / ATORVASTATIN (AS CALCIUM) TABLET ORAL 10 mg/10 mg</t>
        </is>
      </c>
      <c r="E490" t="inlineStr">
        <is>
          <t>فقط تی‌تک</t>
        </is>
      </c>
    </row>
    <row r="491">
      <c r="A491" t="n">
        <v>490</v>
      </c>
      <c r="B491" t="n">
        <v>15544</v>
      </c>
      <c r="C491" t="inlineStr">
        <is>
          <t>OPHTHALMIC BATH-1 SOLUTION OPHTHALMIC 1610 mg/100 mL 60 mL</t>
        </is>
      </c>
      <c r="E491" t="inlineStr">
        <is>
          <t>فقط تی‌تک</t>
        </is>
      </c>
    </row>
    <row r="492">
      <c r="A492" t="n">
        <v>491</v>
      </c>
      <c r="B492" t="n">
        <v>15846</v>
      </c>
      <c r="C492" t="inlineStr">
        <is>
          <t>STREPTOKINASE INJECTION, POWDER, FOR SOLUTION PARENTERAL 1500000 [iU]</t>
        </is>
      </c>
      <c r="D492" t="inlineStr">
        <is>
          <t>اس تي پاز   پودر براي تهيه محلول تزريقي پرنترال 1500000 [iU]  [iU] - نور انديشان روز آمد</t>
        </is>
      </c>
      <c r="E492" t="inlineStr">
        <is>
          <t>تی‌تک و آریا</t>
        </is>
      </c>
    </row>
    <row r="493">
      <c r="A493" t="n">
        <v>492</v>
      </c>
      <c r="B493" t="n">
        <v>15976</v>
      </c>
      <c r="C493" t="inlineStr">
        <is>
          <t>EPIRUBICIN HYDROCHLORIDE INJECTION, SOLUTION, CONCENTRATE PARENTERAL 2 mg/1mL 10 mL</t>
        </is>
      </c>
      <c r="E493" t="inlineStr">
        <is>
          <t>فقط تی‌تک</t>
        </is>
      </c>
    </row>
    <row r="494">
      <c r="A494" t="n">
        <v>493</v>
      </c>
      <c r="B494" t="n">
        <v>15978</v>
      </c>
      <c r="D494" t="inlineStr">
        <is>
          <t>واريوپپتيل 0.1 (تريپتورلين) - واريان فارمد</t>
        </is>
      </c>
      <c r="E494" t="inlineStr">
        <is>
          <t>فقط آریا</t>
        </is>
      </c>
    </row>
    <row r="495">
      <c r="A495" t="n">
        <v>494</v>
      </c>
      <c r="B495" t="n">
        <v>16097</v>
      </c>
      <c r="D495" t="inlineStr">
        <is>
          <t>آرتلاک ادونسد 0.2 درصد (هيالورونيک اسيد) قطره چشمي - BAUSCH &amp; LOMB</t>
        </is>
      </c>
      <c r="E495" t="inlineStr">
        <is>
          <t>فقط آریا</t>
        </is>
      </c>
    </row>
    <row r="496">
      <c r="A496" t="n">
        <v>495</v>
      </c>
      <c r="B496" t="n">
        <v>16215</v>
      </c>
      <c r="C496" t="inlineStr">
        <is>
          <t>CLOFARABINE INJECTION, SOLUTION, CONCENTRATE PARENTERAL 1 mg/1mL 20 mL</t>
        </is>
      </c>
      <c r="D496" t="inlineStr">
        <is>
          <t>اوورابين   محلول غليظ تزريقي پرنترال 1 mg/1mL 20 mg - بازرگاني سها کيش</t>
        </is>
      </c>
      <c r="E496" t="inlineStr">
        <is>
          <t>تی‌تک و آریا</t>
        </is>
      </c>
    </row>
    <row r="497">
      <c r="A497" t="n">
        <v>496</v>
      </c>
      <c r="B497" t="n">
        <v>16254</v>
      </c>
      <c r="C497" t="inlineStr">
        <is>
          <t>TOCILIZUMAB INJECTION, SOLUTION, CONCENTRATE PARENTERAL 20 mg/1mL 4 mL</t>
        </is>
      </c>
      <c r="D497" t="inlineStr">
        <is>
          <t>آکتمرا   محلول غليظ تزريقي پرنترال 20 mg/1mL 4 mg - بازرگاني سها کيش</t>
        </is>
      </c>
      <c r="E497" t="inlineStr">
        <is>
          <t>تی‌تک و آریا</t>
        </is>
      </c>
    </row>
    <row r="498">
      <c r="A498" t="n">
        <v>497</v>
      </c>
      <c r="B498" t="n">
        <v>16255</v>
      </c>
      <c r="C498" t="inlineStr">
        <is>
          <t>ALENDRONIC ACID / COLECALCIFEROL TABLET ORAL 70 mg/70 ug</t>
        </is>
      </c>
      <c r="E498" t="inlineStr">
        <is>
          <t>فقط تی‌تک</t>
        </is>
      </c>
    </row>
    <row r="499">
      <c r="A499" t="n">
        <v>498</v>
      </c>
      <c r="B499" t="n">
        <v>16416</v>
      </c>
      <c r="C499" t="inlineStr">
        <is>
          <t>CARBETOCIN INJECTION, SOLUTION PARENTERAL 100 ug/1mL 1 mL</t>
        </is>
      </c>
      <c r="D499" t="inlineStr">
        <is>
          <t>پابال   محلول تزريقي پرنترال 100 ug/1mL 1 ug - درمان ياب دارو</t>
        </is>
      </c>
      <c r="E499" t="inlineStr">
        <is>
          <t>تی‌تک و آریا</t>
        </is>
      </c>
    </row>
    <row r="500">
      <c r="A500" t="n">
        <v>499</v>
      </c>
      <c r="B500" t="n">
        <v>16426</v>
      </c>
      <c r="C500" t="inlineStr">
        <is>
          <t>PALIPERIDONE TABLET, EXTENDED RELEASE ORAL 6 mg</t>
        </is>
      </c>
      <c r="D500" t="inlineStr">
        <is>
          <t>اينوگا   قرص پيوسته رهش خوراکي 6 mg  [Amb'a'1'U] - فوريتهاي سينا آرات گستر</t>
        </is>
      </c>
      <c r="E500" t="inlineStr">
        <is>
          <t>تی‌تک و آریا</t>
        </is>
      </c>
    </row>
    <row r="501">
      <c r="A501" t="n">
        <v>500</v>
      </c>
      <c r="B501" t="n">
        <v>16491</v>
      </c>
      <c r="C501" t="inlineStr">
        <is>
          <t>DIPHTHERIA TOXOID / TETANUS TOXOID / PERTUSSIS / HAEMOPHILUS INFLUENZAE TYPE B VACCINE INJECTION, SUSPENSION PARENTERAL 10 {dose} 5 mL</t>
        </is>
      </c>
      <c r="D501" t="inlineStr">
        <is>
          <t>ايزي فايو-تي تي   سوسپانسيون تزريقي پرنترال 10 {dose} 5 mL - سان فارمد آسيا</t>
        </is>
      </c>
      <c r="E501" t="inlineStr">
        <is>
          <t>تی‌تک و آریا</t>
        </is>
      </c>
    </row>
    <row r="502">
      <c r="A502" t="n">
        <v>501</v>
      </c>
      <c r="B502" t="n">
        <v>16778</v>
      </c>
      <c r="C502" t="inlineStr">
        <is>
          <t>GALANTAMINE (AS HYDROBROMIDE) CAPSULE, DELAYED RELEASE ORAL 24 mg</t>
        </is>
      </c>
      <c r="D502" t="inlineStr">
        <is>
          <t>گالامر   کپسول انتريک کوتد خوراکي 24 mg - ويرا ليان گروه</t>
        </is>
      </c>
      <c r="E502" t="inlineStr">
        <is>
          <t>تی‌تک و آریا</t>
        </is>
      </c>
    </row>
    <row r="503">
      <c r="A503" t="n">
        <v>502</v>
      </c>
      <c r="B503" t="n">
        <v>17013</v>
      </c>
      <c r="C503" t="inlineStr">
        <is>
          <t>DEXAMETHASONE IMPLANT INTRAVITREAL 0.7 mg</t>
        </is>
      </c>
      <c r="D503" t="inlineStr">
        <is>
          <t>اوزوردکس   ايمپلنت داخل زجاجيه اي 0.7 mg  mg - بازرگاني سها کيش</t>
        </is>
      </c>
      <c r="E503" t="inlineStr">
        <is>
          <t>تی‌تک و آریا</t>
        </is>
      </c>
    </row>
    <row r="504">
      <c r="A504" t="n">
        <v>503</v>
      </c>
      <c r="B504" t="n">
        <v>17106</v>
      </c>
      <c r="C504" t="inlineStr">
        <is>
          <t>METFORMIN HYDROCHLORIDE / GLIBENCLAMIDE TABLET ORAL 500 mg/2.5 mg</t>
        </is>
      </c>
      <c r="D504" t="inlineStr">
        <is>
          <t>گلوکووانس (متفورمين 500 م گ/گلي بنکلاميد 2.5 م گ) قرص - اکتوورکو</t>
        </is>
      </c>
      <c r="E504" t="inlineStr">
        <is>
          <t>تی‌تک و آریا</t>
        </is>
      </c>
    </row>
    <row r="505">
      <c r="A505" t="n">
        <v>504</v>
      </c>
      <c r="B505" t="n">
        <v>17130</v>
      </c>
      <c r="D505" t="inlineStr">
        <is>
          <t xml:space="preserve">رستانکس 0.05% (مومتازون) 20م ل  200 پاف اسپري بيني - سينا دارو </t>
        </is>
      </c>
      <c r="E505" t="inlineStr">
        <is>
          <t>فقط آریا</t>
        </is>
      </c>
    </row>
    <row r="506">
      <c r="A506" t="n">
        <v>505</v>
      </c>
      <c r="B506" t="n">
        <v>17171</v>
      </c>
      <c r="C506" t="inlineStr">
        <is>
          <t>PERITONEAL DIALYSIS III SOLUTION INTRAPERITONEAL 38.6 g/5.67 g/0.257 g/0.152 g/3.922 g/1000 mL 5 L</t>
        </is>
      </c>
      <c r="E506" t="inlineStr">
        <is>
          <t>فقط تی‌تک</t>
        </is>
      </c>
    </row>
    <row r="507">
      <c r="A507" t="n">
        <v>506</v>
      </c>
      <c r="B507" t="n">
        <v>17197</v>
      </c>
      <c r="C507" t="inlineStr">
        <is>
          <t>METFORMIN HYDROCHLORIDE / GLIBENCLAMIDE TABLET ORAL 500 mg/5 mg</t>
        </is>
      </c>
      <c r="D507" t="inlineStr">
        <is>
          <t>گلوکودکس 500/5 (متفورمين / گلي بنکلاميد) قرص - مينا</t>
        </is>
      </c>
      <c r="E507" t="inlineStr">
        <is>
          <t>تی‌تک و آریا</t>
        </is>
      </c>
    </row>
    <row r="508">
      <c r="A508" t="n">
        <v>507</v>
      </c>
      <c r="B508" t="n">
        <v>17213</v>
      </c>
      <c r="C508" t="inlineStr">
        <is>
          <t>BRINZOLAMIDE / TIMOLOL (AS MALEATE) SUSPENSION, DROPS OPHTHALMIC 10 mg/5 mg/1mL 5 mL</t>
        </is>
      </c>
      <c r="E508" t="inlineStr">
        <is>
          <t>فقط تی‌تک</t>
        </is>
      </c>
    </row>
    <row r="509">
      <c r="A509" t="n">
        <v>508</v>
      </c>
      <c r="B509" t="n">
        <v>17227</v>
      </c>
      <c r="D509" t="inlineStr">
        <is>
          <t>راويزون (مومتازون فوروات) 1/. درصد 15 گرم کرموضعي - رها</t>
        </is>
      </c>
      <c r="E509" t="inlineStr">
        <is>
          <t>فقط آریا</t>
        </is>
      </c>
    </row>
    <row r="510">
      <c r="A510" t="n">
        <v>509</v>
      </c>
      <c r="B510" t="n">
        <v>17230</v>
      </c>
      <c r="D510" t="inlineStr">
        <is>
          <t xml:space="preserve">انسولين 70/30 کاتريج </t>
        </is>
      </c>
      <c r="E510" t="inlineStr">
        <is>
          <t>فقط آریا</t>
        </is>
      </c>
    </row>
    <row r="511">
      <c r="A511" t="n">
        <v>510</v>
      </c>
      <c r="B511" t="n">
        <v>17340</v>
      </c>
      <c r="C511" t="inlineStr">
        <is>
          <t>CIPROFLOXACIN (AS HYDROCHLORIDE) OINTMENT OPHTHALMIC 0.3 % 5 g</t>
        </is>
      </c>
      <c r="E511" t="inlineStr">
        <is>
          <t>فقط تی‌تک</t>
        </is>
      </c>
    </row>
    <row r="512">
      <c r="A512" t="n">
        <v>511</v>
      </c>
      <c r="B512" t="n">
        <v>17397</v>
      </c>
      <c r="C512" t="inlineStr">
        <is>
          <t>ZOLEDRONIC ACID INJECTION, SOLUTION PARENTERAL 5 mg/100mL</t>
        </is>
      </c>
      <c r="D512" t="inlineStr">
        <is>
          <t>آکلاستا   محلول تزريقي پرنترال 5 mg/100mL  mg - شفا ياب گستر</t>
        </is>
      </c>
      <c r="E512" t="inlineStr">
        <is>
          <t>تی‌تک و آریا</t>
        </is>
      </c>
    </row>
    <row r="513">
      <c r="A513" t="n">
        <v>512</v>
      </c>
      <c r="B513" t="n">
        <v>17611</v>
      </c>
      <c r="C513" t="inlineStr">
        <is>
          <t>IPRATROPIUM BROMIDE / FENOTEROL HYDROBROMIDE AEROSOL, METERED RESPIRATORY 20 ug/50 ug/1{dose} 200 {dose}</t>
        </is>
      </c>
      <c r="E513" t="inlineStr">
        <is>
          <t>فقط تی‌تک</t>
        </is>
      </c>
    </row>
    <row r="514">
      <c r="A514" t="n">
        <v>513</v>
      </c>
      <c r="B514" t="n">
        <v>17643</v>
      </c>
      <c r="C514" t="inlineStr">
        <is>
          <t>METFORMIN HYDROCHLORIDE / PIOGLITAZONE TABLET ORAL 500 mg/15 mg</t>
        </is>
      </c>
      <c r="D514" t="inlineStr">
        <is>
          <t>پيگلوفورمين   قرص خوراکي 500 mg/15 mg - باختر بيو شيمي</t>
        </is>
      </c>
      <c r="E514" t="inlineStr">
        <is>
          <t>تی‌تک و آریا</t>
        </is>
      </c>
    </row>
    <row r="515">
      <c r="A515" t="n">
        <v>514</v>
      </c>
      <c r="B515" t="n">
        <v>17675</v>
      </c>
      <c r="C515" t="inlineStr">
        <is>
          <t>TIROFIBAN INJECTION PARENTERAL 0.25 mg/1mL 50 mL</t>
        </is>
      </c>
      <c r="D515" t="inlineStr">
        <is>
          <t>آگراستات   تزريقي پرنترال 0.25 mg/1mL 50 mg - دارو درمان صدف</t>
        </is>
      </c>
      <c r="E515" t="inlineStr">
        <is>
          <t>تی‌تک و آریا</t>
        </is>
      </c>
    </row>
    <row r="516">
      <c r="A516" t="n">
        <v>515</v>
      </c>
      <c r="B516" t="n">
        <v>17753</v>
      </c>
      <c r="C516" t="inlineStr">
        <is>
          <t>DOCETAXEL INJECTION, SOLUTION INTRAVENOUS 10 mg/1mL 16 mL</t>
        </is>
      </c>
      <c r="E516" t="inlineStr">
        <is>
          <t>فقط تی‌تک</t>
        </is>
      </c>
    </row>
    <row r="517">
      <c r="A517" t="n">
        <v>516</v>
      </c>
      <c r="B517" t="n">
        <v>17768</v>
      </c>
      <c r="C517" t="inlineStr">
        <is>
          <t>BOTULINUM A TOXIN INJECTION, POWDER, LYOPHILIZED, FOR SOLUTION PARENTERAL 100 [iU]</t>
        </is>
      </c>
      <c r="D517" t="inlineStr">
        <is>
          <t>زئومين   پودر لئوفيليزه براي تهيه محلول تزريقي پرنترال 100 [iU]  [iU] - بازرگاني خسرو مديسا طب</t>
        </is>
      </c>
      <c r="E517" t="inlineStr">
        <is>
          <t>تی‌تک و آریا</t>
        </is>
      </c>
    </row>
    <row r="518">
      <c r="A518" t="n">
        <v>517</v>
      </c>
      <c r="B518" t="n">
        <v>17770</v>
      </c>
      <c r="C518" t="inlineStr">
        <is>
          <t>IMMUNE GLOBULIN INJECTION PARENTERAL 100 mg/1mL 25 mL</t>
        </is>
      </c>
      <c r="D518" t="inlineStr">
        <is>
          <t>پريويژن   تزريقي پرنترال 100 mg/1mL 25 g - اوين دارو</t>
        </is>
      </c>
      <c r="E518" t="inlineStr">
        <is>
          <t>تی‌تک و آریا</t>
        </is>
      </c>
    </row>
    <row r="519">
      <c r="A519" t="n">
        <v>518</v>
      </c>
      <c r="B519" t="n">
        <v>17772</v>
      </c>
      <c r="C519" t="inlineStr">
        <is>
          <t>IMMUNE GLOBULIN INJECTION PARENTERAL 100 mg/1mL 100 mL</t>
        </is>
      </c>
      <c r="D519" t="inlineStr">
        <is>
          <t>ايميگو   تزريقي پرنترال 100 mg/1mL 100 mL - درمان آرا</t>
        </is>
      </c>
      <c r="E519" t="inlineStr">
        <is>
          <t>تی‌تک و آریا</t>
        </is>
      </c>
    </row>
    <row r="520">
      <c r="A520" t="n">
        <v>519</v>
      </c>
      <c r="B520" t="n">
        <v>17773</v>
      </c>
      <c r="C520" t="inlineStr">
        <is>
          <t>IMMUNE GLOBULIN INJECTION PARENTERAL 100 mg/1mL 50 mL</t>
        </is>
      </c>
      <c r="D520" t="inlineStr">
        <is>
          <t>ايمونوگلوبولين   تزريقي پرنترال 100 mg/1mL 50 g - پويش دارو گستر برتر فارس</t>
        </is>
      </c>
      <c r="E520" t="inlineStr">
        <is>
          <t>تی‌تک و آریا</t>
        </is>
      </c>
    </row>
    <row r="521">
      <c r="A521" t="n">
        <v>520</v>
      </c>
      <c r="B521" t="n">
        <v>17870</v>
      </c>
      <c r="D521" t="inlineStr">
        <is>
          <t>ياز (دروسپيرنون / اتينيل استراديول) قرص - BAYER</t>
        </is>
      </c>
      <c r="E521" t="inlineStr">
        <is>
          <t>فقط آریا</t>
        </is>
      </c>
    </row>
    <row r="522">
      <c r="A522" t="n">
        <v>521</v>
      </c>
      <c r="B522" t="n">
        <v>17872</v>
      </c>
      <c r="C522" t="inlineStr">
        <is>
          <t>RANITIDINE SOLUTION ORAL 75 mg/5mL 200 mL</t>
        </is>
      </c>
      <c r="E522" t="inlineStr">
        <is>
          <t>فقط تی‌تک</t>
        </is>
      </c>
    </row>
    <row r="523">
      <c r="A523" t="n">
        <v>522</v>
      </c>
      <c r="B523" t="n">
        <v>17874</v>
      </c>
      <c r="C523" t="inlineStr">
        <is>
          <t>DIPHTHERIA TOXOID / TETANUS TOXOIDS ADSORBED VACCINE (Td) (ADULT) INJECTION PARENTERAL 10 {dose} 5 mL</t>
        </is>
      </c>
      <c r="D523" t="inlineStr">
        <is>
          <t>واکسن توکسوئيد ديفتري/ توکسوئيد کزاز- جذب سطحي شده-بزرگسالان   تزريقي پرنترال 10 {dose} 5 {dose} - دارو درمان آرنگ</t>
        </is>
      </c>
      <c r="E523" t="inlineStr">
        <is>
          <t>تی‌تک و آریا</t>
        </is>
      </c>
    </row>
    <row r="524">
      <c r="A524" t="n">
        <v>523</v>
      </c>
      <c r="B524" t="n">
        <v>17956</v>
      </c>
      <c r="C524" t="inlineStr">
        <is>
          <t>MEMANTINE HYDROCHLORIDE TABLET ORAL 20 mg</t>
        </is>
      </c>
      <c r="E524" t="inlineStr">
        <is>
          <t>فقط تی‌تک</t>
        </is>
      </c>
    </row>
    <row r="525">
      <c r="A525" t="n">
        <v>524</v>
      </c>
      <c r="B525" t="n">
        <v>18064</v>
      </c>
      <c r="C525" t="inlineStr">
        <is>
          <t>HEPATITIS B IMMUNE GLOBULIN INJECTION PARENTERAL 50 [iU]/1mL 10 mL</t>
        </is>
      </c>
      <c r="D525" t="inlineStr">
        <is>
          <t>زوتکترا   تزريقي پرنترال 50 [iU]/1mL 10 [iU] - توسعه سلامت اطلس</t>
        </is>
      </c>
      <c r="E525" t="inlineStr">
        <is>
          <t>تی‌تک و آریا</t>
        </is>
      </c>
    </row>
    <row r="526">
      <c r="A526" t="n">
        <v>525</v>
      </c>
      <c r="B526" t="n">
        <v>18065</v>
      </c>
      <c r="C526" t="inlineStr">
        <is>
          <t>HEPATITIS B IMMUNE GLOBULIN INJECTION PARENTERAL 50 [iU]/1mL 50 mL</t>
        </is>
      </c>
      <c r="D526" t="inlineStr">
        <is>
          <t>ون بيگ   تزريقي پرنترال 50 [iU]/1mL 50 [iU] - بهستان دارو</t>
        </is>
      </c>
      <c r="E526" t="inlineStr">
        <is>
          <t>تی‌تک و آریا</t>
        </is>
      </c>
    </row>
    <row r="527">
      <c r="A527" t="n">
        <v>526</v>
      </c>
      <c r="B527" t="n">
        <v>18129</v>
      </c>
      <c r="D527" t="inlineStr">
        <is>
          <t>موسيليوم (طعم ليمو) ملين گياهي ساشه - ايران داروک</t>
        </is>
      </c>
      <c r="E527" t="inlineStr">
        <is>
          <t>فقط آریا</t>
        </is>
      </c>
    </row>
    <row r="528">
      <c r="A528" t="n">
        <v>527</v>
      </c>
      <c r="B528" t="n">
        <v>18384</v>
      </c>
      <c r="C528" t="inlineStr">
        <is>
          <t>AMIFAMPRIDINE (AS PHOSPHATE) TABLET ORAL 20 mg</t>
        </is>
      </c>
      <c r="D528" t="inlineStr">
        <is>
          <t>3و4 دي آمينوپريدين   قرص خوراکي 20 mg  [Amb'a'1'U] - فوريتهاي سينا آرات گستر</t>
        </is>
      </c>
      <c r="E528" t="inlineStr">
        <is>
          <t>تی‌تک و آریا</t>
        </is>
      </c>
    </row>
    <row r="529">
      <c r="A529" t="n">
        <v>528</v>
      </c>
      <c r="B529" t="n">
        <v>18407</v>
      </c>
      <c r="C529" t="inlineStr">
        <is>
          <t>SELENIUM (AS SODIUM SELENITE PENTAHYDRATE) INJECTION PARENTERAL 50 ug/1mL 2 mL</t>
        </is>
      </c>
      <c r="D529" t="inlineStr">
        <is>
          <t>سلناز   تزريقي پرنترال 50 ug/1mL 2 ug - ويرا ليان گروه</t>
        </is>
      </c>
      <c r="E529" t="inlineStr">
        <is>
          <t>تی‌تک و آریا</t>
        </is>
      </c>
    </row>
    <row r="530">
      <c r="A530" t="n">
        <v>529</v>
      </c>
      <c r="B530" t="n">
        <v>18505</v>
      </c>
      <c r="C530" t="inlineStr">
        <is>
          <t>DECITABINE INJECTION, POWDER, LYOPHILIZED, FOR SOLUTION PARENTERAL 50 mg</t>
        </is>
      </c>
      <c r="D530" t="inlineStr">
        <is>
          <t>تابينوز   پودر لئوفيليزه براي تهيه محلول تزريقي پرنترال 50 mg  mg - نانو فناوران داروئي الوند</t>
        </is>
      </c>
      <c r="E530" t="inlineStr">
        <is>
          <t>تی‌تک و آریا</t>
        </is>
      </c>
    </row>
    <row r="531">
      <c r="A531" t="n">
        <v>530</v>
      </c>
      <c r="B531" t="n">
        <v>18556</v>
      </c>
      <c r="C531" t="inlineStr">
        <is>
          <t>IRINOTECAN HYDROCHLORIDE INJECTION, SOLUTION, CONCENTRATE PARENTERAL 20 mg/1mL 15 mL</t>
        </is>
      </c>
      <c r="D531" t="inlineStr">
        <is>
          <t>الوينوتک   محلول غليظ تزريقي پرنترال 20 mg/1mL 15 mg - نانو فناوران داروئي الوند</t>
        </is>
      </c>
      <c r="E531" t="inlineStr">
        <is>
          <t>تی‌تک و آریا</t>
        </is>
      </c>
    </row>
    <row r="532">
      <c r="A532" t="n">
        <v>531</v>
      </c>
      <c r="B532" t="n">
        <v>18586</v>
      </c>
      <c r="C532" t="inlineStr">
        <is>
          <t>ETHAMBUTOL / ISONIAZID / RIFAMPICIN TABLET ORAL 275 mg/75 mg/150 mg</t>
        </is>
      </c>
      <c r="D532" t="inlineStr">
        <is>
          <t>آکوريت 3   قرص خوراکي 275 mg/75 mg/150 mg - دارويي بهين پاد</t>
        </is>
      </c>
      <c r="E532" t="inlineStr">
        <is>
          <t>تی‌تک و آریا</t>
        </is>
      </c>
    </row>
    <row r="533">
      <c r="A533" t="n">
        <v>532</v>
      </c>
      <c r="B533" t="n">
        <v>18588</v>
      </c>
      <c r="D533" t="inlineStr">
        <is>
          <t>آرتروسن 300MG کپسول - فارمين</t>
        </is>
      </c>
      <c r="E533" t="inlineStr">
        <is>
          <t>فقط آریا</t>
        </is>
      </c>
    </row>
    <row r="534">
      <c r="A534" t="n">
        <v>533</v>
      </c>
      <c r="B534" t="n">
        <v>18672</v>
      </c>
      <c r="C534" t="inlineStr">
        <is>
          <t>AZITHROMYCIN FOR SUSPENSION, EXTENDED RELEASE ORAL 2 g</t>
        </is>
      </c>
      <c r="D534" t="inlineStr">
        <is>
          <t>زيترومکس اس دي   براي تهيه سوسپانسيون پيوسته رهش خوراکي 2 g  g - بهستان دارو</t>
        </is>
      </c>
      <c r="E534" t="inlineStr">
        <is>
          <t>تی‌تک و آریا</t>
        </is>
      </c>
    </row>
    <row r="535">
      <c r="A535" t="n">
        <v>534</v>
      </c>
      <c r="B535" t="n">
        <v>18780</v>
      </c>
      <c r="C535" t="inlineStr">
        <is>
          <t>METOCLOPRAMIDE HYDROCHLORIDE CAPSULE, GELATIN COATED ORAL 10 mg</t>
        </is>
      </c>
      <c r="D535" t="inlineStr">
        <is>
          <t>پلازيژل   کپسول با روکش ژلاتين خوراکي 10 mg - داروسازي زهراوي</t>
        </is>
      </c>
      <c r="E535" t="inlineStr">
        <is>
          <t>تی‌تک و آریا</t>
        </is>
      </c>
    </row>
    <row r="536">
      <c r="A536" t="n">
        <v>535</v>
      </c>
      <c r="B536" t="n">
        <v>18820</v>
      </c>
      <c r="D536" t="inlineStr">
        <is>
          <t>پرونار 13 واکسن آماده تزريق - فايزر</t>
        </is>
      </c>
      <c r="E536" t="inlineStr">
        <is>
          <t>فقط آریا</t>
        </is>
      </c>
    </row>
    <row r="537">
      <c r="A537" t="n">
        <v>536</v>
      </c>
      <c r="B537" t="n">
        <v>18897</v>
      </c>
      <c r="C537" t="inlineStr">
        <is>
          <t>PROGESTERONE CAPSULE, LIQUID FILLED ORAL 100 mg</t>
        </is>
      </c>
      <c r="D537" t="inlineStr">
        <is>
          <t>اوتروژستان   کپسول حاوي مايع خوراکي 100 mg - دارويي بهين پاد</t>
        </is>
      </c>
      <c r="E537" t="inlineStr">
        <is>
          <t>تی‌تک و آریا</t>
        </is>
      </c>
    </row>
    <row r="538">
      <c r="A538" t="n">
        <v>537</v>
      </c>
      <c r="B538" t="n">
        <v>18898</v>
      </c>
      <c r="C538" t="inlineStr">
        <is>
          <t>PROGESTERONE CAPSULE, LIQUID FILLED ORAL 200 mg</t>
        </is>
      </c>
      <c r="D538" t="inlineStr">
        <is>
          <t>اوتروژستان   کپسول حاوي مايع خوراکي 200 mg - دارويي بهين پاد</t>
        </is>
      </c>
      <c r="E538" t="inlineStr">
        <is>
          <t>تی‌تک و آریا</t>
        </is>
      </c>
    </row>
    <row r="539">
      <c r="A539" t="n">
        <v>538</v>
      </c>
      <c r="B539" t="n">
        <v>18904</v>
      </c>
      <c r="C539" t="inlineStr">
        <is>
          <t>LURASIDONE HYDROCHLORIDE TABLET ORAL 40 mg</t>
        </is>
      </c>
      <c r="D539" t="inlineStr">
        <is>
          <t>لاتودا   قرص خوراکي 40 mg - بازرگاني سها کيش</t>
        </is>
      </c>
      <c r="E539" t="inlineStr">
        <is>
          <t>تی‌تک و آریا</t>
        </is>
      </c>
    </row>
    <row r="540">
      <c r="A540" t="n">
        <v>539</v>
      </c>
      <c r="B540" t="n">
        <v>18932</v>
      </c>
      <c r="C540" t="inlineStr">
        <is>
          <t>POTASSIUM IODIDE TABLET ORAL 65 mg</t>
        </is>
      </c>
      <c r="D540" t="inlineStr">
        <is>
          <t>پتاسيم يديد   قرص خوراکي 65 mg - توليد مواد داروئي درسا دارو</t>
        </is>
      </c>
      <c r="E540" t="inlineStr">
        <is>
          <t>تی‌تک و آریا</t>
        </is>
      </c>
    </row>
    <row r="541">
      <c r="A541" t="n">
        <v>540</v>
      </c>
      <c r="B541" t="n">
        <v>18967</v>
      </c>
      <c r="C541" t="inlineStr">
        <is>
          <t>WATER INJECTION PARENTERAL 3 mL</t>
        </is>
      </c>
      <c r="D541" t="inlineStr">
        <is>
          <t>آب قابل تزريق (کارتريج 3 ميلي ليتر-نمونه)   تزريقي پرنترال 3 mL  mL - دارو سازي بهوزان</t>
        </is>
      </c>
      <c r="E541" t="inlineStr">
        <is>
          <t>تی‌تک و آریا</t>
        </is>
      </c>
    </row>
    <row r="542">
      <c r="A542" t="n">
        <v>541</v>
      </c>
      <c r="B542" t="n">
        <v>19051</v>
      </c>
      <c r="C542" t="inlineStr">
        <is>
          <t>PERITONEAL DIALYSIS IV ICODEXTRINE BASED SOLUTION INTRAPERITONEAL 7.5 g/100mL 2 L</t>
        </is>
      </c>
      <c r="D542" t="inlineStr">
        <is>
          <t>اکسترانفرول   محلول داخل صفاقي 7.5 g/100mL 2 mL - توسعه مکانيزه نوين آوران</t>
        </is>
      </c>
      <c r="E542" t="inlineStr">
        <is>
          <t>تی‌تک و آریا</t>
        </is>
      </c>
    </row>
    <row r="543">
      <c r="A543" t="n">
        <v>542</v>
      </c>
      <c r="B543" t="n">
        <v>19093</v>
      </c>
      <c r="C543" t="inlineStr">
        <is>
          <t>PROGESTERONE TABLET VAGINAL 100 mg</t>
        </is>
      </c>
      <c r="D543" t="inlineStr">
        <is>
          <t>اندومترين   قرص واژينال 100 mg - درمان ياب دارو</t>
        </is>
      </c>
      <c r="E543" t="inlineStr">
        <is>
          <t>تی‌تک و آریا</t>
        </is>
      </c>
    </row>
    <row r="544">
      <c r="A544" t="n">
        <v>543</v>
      </c>
      <c r="B544" t="n">
        <v>19130</v>
      </c>
      <c r="C544" t="inlineStr">
        <is>
          <t>ARTIFICIAL TEARS GEL OPHTHALMIC 0.2 % 10 g</t>
        </is>
      </c>
      <c r="E544" t="inlineStr">
        <is>
          <t>فقط تی‌تک</t>
        </is>
      </c>
    </row>
    <row r="545">
      <c r="A545" t="n">
        <v>544</v>
      </c>
      <c r="B545" t="n">
        <v>19428</v>
      </c>
      <c r="C545" t="inlineStr">
        <is>
          <t>DIPHTHERIA TOXOID / TETANUS TOXOID / PERTUSSIS / HAEMOPHILUS INFLUENZAE TYPE B / HEPATITIS B VACCINE INJECTION, SUSPENSION PARENTERAL 1 {dose} 0.5 mL</t>
        </is>
      </c>
      <c r="D545" t="inlineStr">
        <is>
          <t>ايزي فايو-تي تي   سوسپانسيون تزريقي پرنترال 1 {dose} 0.5 mL - سان فارمد آسيا</t>
        </is>
      </c>
      <c r="E545" t="inlineStr">
        <is>
          <t>تی‌تک و آریا</t>
        </is>
      </c>
    </row>
    <row r="546">
      <c r="A546" t="n">
        <v>545</v>
      </c>
      <c r="B546" t="n">
        <v>19586</v>
      </c>
      <c r="C546" t="inlineStr">
        <is>
          <t>MENTHOL / ZINC OXIDE / CALAMINE OINTMENT TOPICAL 0.44 g/20.625 g/10 g/100 g 70 g</t>
        </is>
      </c>
      <c r="D546" t="inlineStr">
        <is>
          <t>کالازينتول   پماد موضعي 0.44 g/20.625 g/10 g/100 g 70 g - سبحان دارو</t>
        </is>
      </c>
      <c r="E546" t="inlineStr">
        <is>
          <t>تی‌تک و آریا</t>
        </is>
      </c>
    </row>
    <row r="547">
      <c r="A547" t="n">
        <v>546</v>
      </c>
      <c r="B547" t="n">
        <v>19614</v>
      </c>
      <c r="C547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2500 mL</t>
        </is>
      </c>
      <c r="E547" t="inlineStr">
        <is>
          <t>فقط تی‌تک</t>
        </is>
      </c>
    </row>
    <row r="548">
      <c r="A548" t="n">
        <v>547</v>
      </c>
      <c r="B548" t="n">
        <v>19696</v>
      </c>
      <c r="C548" t="inlineStr">
        <is>
          <t>VANDETANIB TABLET ORAL 300 mg</t>
        </is>
      </c>
      <c r="D548" t="inlineStr">
        <is>
          <t>وندسا   قرص خوراکي 300 mg - نو آوران دارويي کيميا</t>
        </is>
      </c>
      <c r="E548" t="inlineStr">
        <is>
          <t>تی‌تک و آریا</t>
        </is>
      </c>
    </row>
    <row r="549">
      <c r="A549" t="n">
        <v>548</v>
      </c>
      <c r="B549" t="n">
        <v>19776</v>
      </c>
      <c r="C549" t="inlineStr">
        <is>
          <t>BENZOCAINE GEL BUCCAL 7.5 % 15 g</t>
        </is>
      </c>
      <c r="D549" t="inlineStr">
        <is>
          <t>بنزوکائين   ژل بوکال 7.5 % 15 g - ايران دارو</t>
        </is>
      </c>
      <c r="E549" t="inlineStr">
        <is>
          <t>تی‌تک و آریا</t>
        </is>
      </c>
    </row>
    <row r="550">
      <c r="A550" t="n">
        <v>549</v>
      </c>
      <c r="B550" t="n">
        <v>19787</v>
      </c>
      <c r="C550" t="inlineStr">
        <is>
          <t>POTASSIUM IODIDE TABLET ORAL 130 mg</t>
        </is>
      </c>
      <c r="D550" t="inlineStr">
        <is>
          <t>پتاسيم يديد   قرص خوراکي 130 mg - توليد مواد داروئي درسا دارو</t>
        </is>
      </c>
      <c r="E550" t="inlineStr">
        <is>
          <t>تی‌تک و آریا</t>
        </is>
      </c>
    </row>
    <row r="551">
      <c r="A551" t="n">
        <v>550</v>
      </c>
      <c r="B551" t="n">
        <v>19871</v>
      </c>
      <c r="C551" t="inlineStr">
        <is>
          <t>MINOXIDIL / AZELAIC ACID / TRETINOIN / BETAMETHASONE SOLUTION TOPICAL 5 %/5 %/0.025 %/0.025 % 50 mL</t>
        </is>
      </c>
      <c r="E551" t="inlineStr">
        <is>
          <t>فقط تی‌تک</t>
        </is>
      </c>
    </row>
    <row r="552">
      <c r="A552" t="n">
        <v>551</v>
      </c>
      <c r="B552" t="n">
        <v>19892</v>
      </c>
      <c r="C552" t="inlineStr">
        <is>
          <t>AMINO ACID 10% WITH ELECTROLYTE INJECTION, SOLUTION INTRAVENOUS 5 mg/8.9 mg/8.56 mg/4.4 mg/4.7 mg/4.2 mg/1.6 mg/6.2 mg/11.5 mg/3 mg/10.5 mg/12 mg/5.6 mg/7.2 mg/5.5 mg/2.3 mg/0.4 mg/2.858 mg/0.36 mg/2.453 mg/0.508 mg/3.581 mg/1mL 250 mL</t>
        </is>
      </c>
      <c r="D552" t="inlineStr">
        <is>
          <t>آمينوپلاسمال بي.براون 10% الکتروليت   محلول تزريقي داخل وريدي 250 mL - نيکان فارمد</t>
        </is>
      </c>
      <c r="E552" t="inlineStr">
        <is>
          <t>تی‌تک و آریا</t>
        </is>
      </c>
    </row>
    <row r="553">
      <c r="A553" t="n">
        <v>552</v>
      </c>
      <c r="B553" t="n">
        <v>19919</v>
      </c>
      <c r="C553" t="inlineStr">
        <is>
          <t>MINOXIDIL / AZELAIC ACID / BETAMETHASONE SOLUTION TOPICAL 5 %/5 %/0.025 % 50 mL</t>
        </is>
      </c>
      <c r="E553" t="inlineStr">
        <is>
          <t>فقط تی‌تک</t>
        </is>
      </c>
    </row>
    <row r="554">
      <c r="A554" t="n">
        <v>553</v>
      </c>
      <c r="B554" t="n">
        <v>19923</v>
      </c>
      <c r="C554" t="inlineStr">
        <is>
          <t>AMINO ACID 5% WITH ELECTROLYTE INJECTION, SOLUTION INTRAVENOUS 2.5 mg/4.45 mg/4.28 mg/2.2 mg/2.35 mg/2.1 mg/0.8 mg/3.1 mg/5.75 mg/1.5 mg/5.25 mg/6 mg/2.8 mg/3.6 mg/2.75 mg/1.15 mg/0.4 mg/1.361 mg/0.964 mg/0.14 mg/2.453 mg/0.508 mg/3.581 mg/1mL 250 mL</t>
        </is>
      </c>
      <c r="D554" t="inlineStr">
        <is>
          <t>آمينوپلاسمال بي.براون 5% الکتروليت   محلول تزريقي داخل وريدي 250 mL - نيکان فارمد</t>
        </is>
      </c>
      <c r="E554" t="inlineStr">
        <is>
          <t>تی‌تک و آریا</t>
        </is>
      </c>
    </row>
    <row r="555">
      <c r="A555" t="n">
        <v>554</v>
      </c>
      <c r="B555" t="n">
        <v>19959</v>
      </c>
      <c r="C555" t="inlineStr">
        <is>
          <t>HAEMOPHILUS INFLUENZAE TYPE B INJECTION, SOLUTION, CONCENTRATE PARENTERAL 1 {dose} 0.5 mL</t>
        </is>
      </c>
      <c r="D555" t="inlineStr">
        <is>
          <t>اکت-هيب   محلول غليظ تزريقي پرنترال 1 {dose} 0.5 {dose} - کي بي سي</t>
        </is>
      </c>
      <c r="E555" t="inlineStr">
        <is>
          <t>تی‌تک و آریا</t>
        </is>
      </c>
    </row>
    <row r="556">
      <c r="A556" t="n">
        <v>555</v>
      </c>
      <c r="B556" t="n">
        <v>20003</v>
      </c>
      <c r="C556" t="inlineStr">
        <is>
          <t>ABACAVIR (AS SULFATE) TABLET ORAL 300 mg</t>
        </is>
      </c>
      <c r="D556" t="inlineStr">
        <is>
          <t>آباوير   قرص خوراکي 300 mg - رايان دارو ايرانيان</t>
        </is>
      </c>
      <c r="E556" t="inlineStr">
        <is>
          <t>تی‌تک و آریا</t>
        </is>
      </c>
    </row>
    <row r="557">
      <c r="A557" t="n">
        <v>556</v>
      </c>
      <c r="B557" t="n">
        <v>20156</v>
      </c>
      <c r="D557" t="inlineStr">
        <is>
          <t>پيور تک دوز قطره چشمي - FARMIGEA</t>
        </is>
      </c>
      <c r="E557" t="inlineStr">
        <is>
          <t>فقط آریا</t>
        </is>
      </c>
    </row>
    <row r="558">
      <c r="A558" t="n">
        <v>557</v>
      </c>
      <c r="B558" t="n">
        <v>20185</v>
      </c>
      <c r="C558" t="inlineStr">
        <is>
          <t>SALMETEROL (AS XINAFOATE) / FLUTICASONE PROPIONATE DISC RESPIRATORY 50 ug/100 ug/1{dose} 60 {dose}</t>
        </is>
      </c>
      <c r="D558" t="inlineStr">
        <is>
          <t>سرتايد ديسکوس   ديسک استنشاقي 50 ug/100 ug/1{dose} 60 {dose} - کوبل دارو</t>
        </is>
      </c>
      <c r="E558" t="inlineStr">
        <is>
          <t>تی‌تک و آریا</t>
        </is>
      </c>
    </row>
    <row r="559">
      <c r="A559" t="n">
        <v>558</v>
      </c>
      <c r="B559" t="n">
        <v>20186</v>
      </c>
      <c r="D559" t="inlineStr">
        <is>
          <t>سرتايد ديسکاس 100/50 ميکروگرم 60پاف (فلوتيکازون پروپيونات / سالمترول زينافوات) اينهالر - GLAXOSMITHK</t>
        </is>
      </c>
      <c r="E559" t="inlineStr">
        <is>
          <t>فقط آریا</t>
        </is>
      </c>
    </row>
    <row r="560">
      <c r="A560" t="n">
        <v>559</v>
      </c>
      <c r="B560" t="n">
        <v>20298</v>
      </c>
      <c r="C560" t="inlineStr">
        <is>
          <t>IRINOTECAN HYDROCHLORIDE INJECTION, POWDER, FOR SOLUTION INTRAVENOUS 40 mg</t>
        </is>
      </c>
      <c r="D560" t="inlineStr">
        <is>
          <t>ايرينوتکان   پودر براي تهيه محلول تزريقي داخل وريدي 40 mg  mg - هيراد فارمد</t>
        </is>
      </c>
      <c r="E560" t="inlineStr">
        <is>
          <t>تی‌تک و آریا</t>
        </is>
      </c>
    </row>
    <row r="561">
      <c r="A561" t="n">
        <v>560</v>
      </c>
      <c r="B561" t="n">
        <v>20299</v>
      </c>
      <c r="C561" t="inlineStr">
        <is>
          <t>IRINOTECAN HYDROCHLORIDE INJECTION, POWDER, FOR SOLUTION INTRAVENOUS 100 mg</t>
        </is>
      </c>
      <c r="D561" t="inlineStr">
        <is>
          <t>ايرينوتکان   پودر براي تهيه محلول تزريقي داخل وريدي 100 mg  mg - بازرگاني اسپيد شاهد</t>
        </is>
      </c>
      <c r="E561" t="inlineStr">
        <is>
          <t>تی‌تک و آریا</t>
        </is>
      </c>
    </row>
    <row r="562">
      <c r="A562" t="n">
        <v>561</v>
      </c>
      <c r="B562" t="n">
        <v>20627</v>
      </c>
      <c r="C562" t="inlineStr">
        <is>
          <t>METHYLPREDNISOLONE (AS SODIUM SUCCINATE) INJECTION, POWDER, FOR SOLUTION PARENTERAL 1000 mg</t>
        </is>
      </c>
      <c r="E562" t="inlineStr">
        <is>
          <t>فقط تی‌تک</t>
        </is>
      </c>
    </row>
    <row r="563">
      <c r="A563" t="n">
        <v>562</v>
      </c>
      <c r="B563" t="n">
        <v>20711</v>
      </c>
      <c r="C563" t="inlineStr">
        <is>
          <t>ISOTRETINOIN CAPSULE, LIQUID FILLED ORAL 16 mg</t>
        </is>
      </c>
      <c r="D563" t="inlineStr">
        <is>
          <t>ايزوسوپرا   کپسول حاوي مايع خوراکي 16 mg - کوشان فارمد</t>
        </is>
      </c>
      <c r="E563" t="inlineStr">
        <is>
          <t>تی‌تک و آریا</t>
        </is>
      </c>
    </row>
    <row r="564">
      <c r="A564" t="n">
        <v>563</v>
      </c>
      <c r="B564" t="n">
        <v>20731</v>
      </c>
      <c r="C564" t="inlineStr">
        <is>
          <t>FELBAMATE TABLET ORAL 600 mg</t>
        </is>
      </c>
      <c r="D564" t="inlineStr">
        <is>
          <t>تالوکسا   قرص خوراکي 600 mg  [Amb'a'1'U] - فوريتهاي سينا آرات گستر</t>
        </is>
      </c>
      <c r="E564" t="inlineStr">
        <is>
          <t>تی‌تک و آریا</t>
        </is>
      </c>
    </row>
    <row r="565">
      <c r="A565" t="n">
        <v>564</v>
      </c>
      <c r="B565" t="n">
        <v>20878</v>
      </c>
      <c r="C565" t="inlineStr">
        <is>
          <t>SOMATROPIN INJECTION, POWDER, LYOPHILIZED, FOR SOLUTION PARENTERAL 16 [iU]</t>
        </is>
      </c>
      <c r="D565" t="inlineStr">
        <is>
          <t>ژنوتروپين    پودر لئوفيليزه براي تهيه محلول تزريقي پرنترال 16 [iU]  mg - بهستان دارو</t>
        </is>
      </c>
      <c r="E565" t="inlineStr">
        <is>
          <t>تی‌تک و آریا</t>
        </is>
      </c>
    </row>
    <row r="566">
      <c r="A566" t="n">
        <v>565</v>
      </c>
      <c r="B566" t="n">
        <v>20943</v>
      </c>
      <c r="C566" t="inlineStr">
        <is>
          <t>ERIBULIN (AS MESYLATE) INJECTION, SOLUTION PARENTERAL 0.44 mg/1mL 2 mL</t>
        </is>
      </c>
      <c r="D566" t="inlineStr">
        <is>
          <t>اريبولين   محلول تزريقي پرنترال 0.44 mg/1mL 2 mg - گسترش بازرگاني دارو پخش</t>
        </is>
      </c>
      <c r="E566" t="inlineStr">
        <is>
          <t>تی‌تک و آریا</t>
        </is>
      </c>
    </row>
    <row r="567">
      <c r="A567" t="n">
        <v>566</v>
      </c>
      <c r="B567" t="n">
        <v>21097</v>
      </c>
      <c r="C567" t="inlineStr">
        <is>
          <t>BOTULINUM A TOXIN INJECTION, POWDER, LYOPHILIZED, FOR SOLUTION PARENTERAL 50 [iU]</t>
        </is>
      </c>
      <c r="D567" t="inlineStr">
        <is>
          <t>زئومين   پودر لئوفيليزه براي تهيه محلول تزريقي پرنترال 50 [iU]  [iU] - بازرگاني خسرو مديسا طب</t>
        </is>
      </c>
      <c r="E567" t="inlineStr">
        <is>
          <t>تی‌تک و آریا</t>
        </is>
      </c>
    </row>
    <row r="568">
      <c r="A568" t="n">
        <v>567</v>
      </c>
      <c r="B568" t="n">
        <v>21121</v>
      </c>
      <c r="C568" t="inlineStr">
        <is>
          <t>FACTOR VII INJECTION, POWDER, FOR SOLUTION PARENTERAL 600 [iU]</t>
        </is>
      </c>
      <c r="E568" t="inlineStr">
        <is>
          <t>فقط تی‌تک</t>
        </is>
      </c>
    </row>
    <row r="569">
      <c r="A569" t="n">
        <v>568</v>
      </c>
      <c r="B569" t="n">
        <v>21258</v>
      </c>
      <c r="C569" t="inlineStr">
        <is>
          <t>MENINGOCOCCAL VACCINE ACYW-135 INJECTION PARENTERAL 1 {dose} 0.5 mL</t>
        </is>
      </c>
      <c r="D569" t="inlineStr">
        <is>
          <t>منوئو   تزريقي پرنترال 1 {dose} 0.5 mL - کوبل دارو</t>
        </is>
      </c>
      <c r="E569" t="inlineStr">
        <is>
          <t>تی‌تک و آریا</t>
        </is>
      </c>
    </row>
    <row r="570">
      <c r="A570" t="n">
        <v>569</v>
      </c>
      <c r="B570" t="n">
        <v>21313</v>
      </c>
      <c r="C570" t="inlineStr">
        <is>
          <t>GRANISETRON PATCH, EXTENDED RELEASE TRANSDERMAL 34.3 mg/52cm2</t>
        </is>
      </c>
      <c r="E570" t="inlineStr">
        <is>
          <t>فقط تی‌تک</t>
        </is>
      </c>
    </row>
    <row r="571">
      <c r="A571" t="n">
        <v>570</v>
      </c>
      <c r="B571" t="n">
        <v>21444</v>
      </c>
      <c r="C571" t="inlineStr">
        <is>
          <t>FERRIC DERISOMALTOSE INJECTION PARENTERAL 100 mg/1mL 1 mL</t>
        </is>
      </c>
      <c r="D571" t="inlineStr">
        <is>
          <t>فروونتا   تزريقي پرنترال 100 mg/1mL 1 mL - زيست اروند فارمد</t>
        </is>
      </c>
      <c r="E571" t="inlineStr">
        <is>
          <t>تی‌تک و آریا</t>
        </is>
      </c>
    </row>
    <row r="572">
      <c r="A572" t="n">
        <v>571</v>
      </c>
      <c r="B572" t="n">
        <v>21446</v>
      </c>
      <c r="C572" t="inlineStr">
        <is>
          <t>MOMETASONE FUROATE INHALANT RESPIRATORY 200 ug/1{Puff} 60 {dose}</t>
        </is>
      </c>
      <c r="D572" t="inlineStr">
        <is>
          <t>آسمانکس توئيست هالر   اينهالر استنشاقي 200 ug/1{Puff} 60 {Puff} - بهستان دارو</t>
        </is>
      </c>
      <c r="E572" t="inlineStr">
        <is>
          <t>تی‌تک و آریا</t>
        </is>
      </c>
    </row>
    <row r="573">
      <c r="A573" t="n">
        <v>572</v>
      </c>
      <c r="B573" t="n">
        <v>21447</v>
      </c>
      <c r="C573" t="inlineStr">
        <is>
          <t>MOMETASONE FUROATE INHALANT RESPIRATORY 400 ug/1{Puff} 30 {dose}</t>
        </is>
      </c>
      <c r="D573" t="inlineStr">
        <is>
          <t>آسمانکس توئيست هالر   اينهالر استنشاقي 400 ug/1{Puff} 30 {Puff} - بهستان دارو</t>
        </is>
      </c>
      <c r="E573" t="inlineStr">
        <is>
          <t>تی‌تک و آریا</t>
        </is>
      </c>
    </row>
    <row r="574">
      <c r="A574" t="n">
        <v>573</v>
      </c>
      <c r="B574" t="n">
        <v>21448</v>
      </c>
      <c r="C574" t="inlineStr">
        <is>
          <t>MOMETASONE FUROATE INHALANT RESPIRATORY 400 ug/1{Puff} 60 {dose}</t>
        </is>
      </c>
      <c r="D574" t="inlineStr">
        <is>
          <t>آسمانکس توئيست هالر   اينهالر استنشاقي 400 ug/1{Puff} 60 {Puff} - بهستان دارو</t>
        </is>
      </c>
      <c r="E574" t="inlineStr">
        <is>
          <t>تی‌تک و آریا</t>
        </is>
      </c>
    </row>
    <row r="575">
      <c r="A575" t="n">
        <v>574</v>
      </c>
      <c r="B575" t="n">
        <v>21484</v>
      </c>
      <c r="D575" t="inlineStr">
        <is>
          <t>آملوژين 10 (آملوديپين) قرص - ثنامد</t>
        </is>
      </c>
      <c r="E575" t="inlineStr">
        <is>
          <t>فقط آریا</t>
        </is>
      </c>
    </row>
    <row r="576">
      <c r="A576" t="n">
        <v>575</v>
      </c>
      <c r="B576" t="n">
        <v>21537</v>
      </c>
      <c r="C576" t="inlineStr">
        <is>
          <t>TOBRAMYCIN POWDER RESPIRATORY 28 mg</t>
        </is>
      </c>
      <c r="E576" t="inlineStr">
        <is>
          <t>فقط تی‌تک</t>
        </is>
      </c>
    </row>
    <row r="577">
      <c r="A577" t="n">
        <v>576</v>
      </c>
      <c r="B577" t="n">
        <v>21561</v>
      </c>
      <c r="C577" t="inlineStr">
        <is>
          <t>DIPHTHERIA TOXOID / TETANUS TOXOID / PERTUSSIS / HAEMOPHILUS INFLUENZAE TYPE B / HEPATITIS B VACCINE INJECTION, SUSPENSION PARENTERAL 10 {dose}</t>
        </is>
      </c>
      <c r="D577" t="inlineStr">
        <is>
          <t>ايزى فايو - تى تى   سوسپانسيون تزريقي پرنترال 10 {dose}  mL - مهندسي توسعه و تامين ستاره خاورميانه</t>
        </is>
      </c>
      <c r="E577" t="inlineStr">
        <is>
          <t>تی‌تک و آریا</t>
        </is>
      </c>
    </row>
    <row r="578">
      <c r="A578" t="n">
        <v>577</v>
      </c>
      <c r="B578" t="n">
        <v>21572</v>
      </c>
      <c r="C578" t="inlineStr">
        <is>
          <t>IPILIMUMAB INJECTION, SOLUTION, CONCENTRATE PARENTERAL 5 mg/1mL 40 mL</t>
        </is>
      </c>
      <c r="D578" t="inlineStr">
        <is>
          <t>يرووي   محلول غليظ تزريقي پرنترال 5 mg/1mL 40 - يارا طب خاورميانه</t>
        </is>
      </c>
      <c r="E578" t="inlineStr">
        <is>
          <t>تی‌تک و آریا</t>
        </is>
      </c>
    </row>
    <row r="579">
      <c r="A579" t="n">
        <v>578</v>
      </c>
      <c r="B579" t="n">
        <v>21607</v>
      </c>
      <c r="C579" t="inlineStr">
        <is>
          <t>CYPROTERONE ACETATE TABLET ORAL 100 mg</t>
        </is>
      </c>
      <c r="D579" t="inlineStr">
        <is>
          <t>سيپروترون استات   قرص خوراکي 100 mg - استراژن دارو</t>
        </is>
      </c>
      <c r="E579" t="inlineStr">
        <is>
          <t>تی‌تک و آریا</t>
        </is>
      </c>
    </row>
    <row r="580">
      <c r="A580" t="n">
        <v>579</v>
      </c>
      <c r="B580" t="n">
        <v>21667</v>
      </c>
      <c r="C580" t="inlineStr">
        <is>
          <t>ADULT COLD PREPARATIONS (5-2) CAPSULE, LIQUID FILLED ORAL 500 mg/10 mg/5 mg</t>
        </is>
      </c>
      <c r="E580" t="inlineStr">
        <is>
          <t>فقط تی‌تک</t>
        </is>
      </c>
    </row>
    <row r="581">
      <c r="A581" t="n">
        <v>580</v>
      </c>
      <c r="B581" t="n">
        <v>21744</v>
      </c>
      <c r="C581" t="inlineStr">
        <is>
          <t>SUFENTANIL (AS CITRATE) INJECTION PARENTERAL 50 ug/1mL</t>
        </is>
      </c>
      <c r="E581" t="inlineStr">
        <is>
          <t>فقط تی‌تک</t>
        </is>
      </c>
    </row>
    <row r="582">
      <c r="A582" t="n">
        <v>581</v>
      </c>
      <c r="B582" t="n">
        <v>21810</v>
      </c>
      <c r="C582" t="inlineStr">
        <is>
          <t>MINOXIDIL AEROSOL, FOAM TOPICAL 5 % 60 g</t>
        </is>
      </c>
      <c r="D582" t="inlineStr">
        <is>
          <t>پاورهردلتازکس   آئروسل، فوم موضعي 5 % 60 g - دلتا دارو</t>
        </is>
      </c>
      <c r="E582" t="inlineStr">
        <is>
          <t>تی‌تک و آریا</t>
        </is>
      </c>
    </row>
    <row r="583">
      <c r="A583" t="n">
        <v>582</v>
      </c>
      <c r="B583" t="n">
        <v>21982</v>
      </c>
      <c r="C583" t="inlineStr">
        <is>
          <t>RANITIDINE INJECTION PARENTERAL 50 mg</t>
        </is>
      </c>
      <c r="E583" t="inlineStr">
        <is>
          <t>فقط تی‌تک</t>
        </is>
      </c>
    </row>
    <row r="584">
      <c r="A584" t="n">
        <v>583</v>
      </c>
      <c r="B584" t="n">
        <v>22000</v>
      </c>
      <c r="C584" t="inlineStr">
        <is>
          <t>FLUCONAZOLE INJECTION PARENTERAL 2 mg/1mL 200 mL</t>
        </is>
      </c>
      <c r="E584" t="inlineStr">
        <is>
          <t>فقط تی‌تک</t>
        </is>
      </c>
    </row>
    <row r="585">
      <c r="A585" t="n">
        <v>584</v>
      </c>
      <c r="B585" t="n">
        <v>22103</v>
      </c>
      <c r="C585" t="inlineStr">
        <is>
          <t>ONDANSETRON (AS HYDROCHLORIDE) INJECTION, SOLUTION INTRAVENOUS 32 mg/50mL</t>
        </is>
      </c>
      <c r="E585" t="inlineStr">
        <is>
          <t>فقط تی‌تک</t>
        </is>
      </c>
    </row>
    <row r="586">
      <c r="A586" t="n">
        <v>585</v>
      </c>
      <c r="B586" t="n">
        <v>22315</v>
      </c>
      <c r="C586" t="inlineStr">
        <is>
          <t>CARFILZOMIB INJECTION, POWDER, FOR SOLUTION PARENTERAL 60 mg</t>
        </is>
      </c>
      <c r="D586" t="inlineStr">
        <is>
          <t>فيلزوما   پودر براي تهيه محلول تزريقي پرنترال 60 mg  mg - نانو فناوران داروئي الوند</t>
        </is>
      </c>
      <c r="E586" t="inlineStr">
        <is>
          <t>تی‌تک و آریا</t>
        </is>
      </c>
    </row>
    <row r="587">
      <c r="A587" t="n">
        <v>586</v>
      </c>
      <c r="B587" t="n">
        <v>22330</v>
      </c>
      <c r="C587" t="inlineStr">
        <is>
          <t>ARGATROBAN MONOHYDRATE INJECTION, SOLUTION, CONCENTRATE PARENTERAL 100 mg/1mL 2.5 mL</t>
        </is>
      </c>
      <c r="D587" t="inlineStr">
        <is>
          <t>آرگاترا   محلول غليظ تزريقي پرنترال 100 mg/1mL 2.5 mg - رايان دارو ايرانيان</t>
        </is>
      </c>
      <c r="E587" t="inlineStr">
        <is>
          <t>تی‌تک و آریا</t>
        </is>
      </c>
    </row>
    <row r="588">
      <c r="A588" t="n">
        <v>587</v>
      </c>
      <c r="B588" t="n">
        <v>22368</v>
      </c>
      <c r="C588" t="inlineStr">
        <is>
          <t>VITAMIN B1 (THIAMINE HYDROCHLORIDE) INJECTION PARENTERAL 100 mg/1mL</t>
        </is>
      </c>
      <c r="D588" t="inlineStr">
        <is>
          <t>ويتامين ب 1   تزريقي پرنترال 100 mg/1mL  mL - داروسازي کاسپين تأمين</t>
        </is>
      </c>
      <c r="E588" t="inlineStr">
        <is>
          <t>تی‌تک و آریا</t>
        </is>
      </c>
    </row>
    <row r="589">
      <c r="A589" t="n">
        <v>588</v>
      </c>
      <c r="B589" t="n">
        <v>22396</v>
      </c>
      <c r="C589" t="inlineStr">
        <is>
          <t>HEPATITIS B IMMUNE GLOBULIN INJECTION PARENTERAL 50 [iU]/1mL 2 mL</t>
        </is>
      </c>
      <c r="D589" t="inlineStr">
        <is>
          <t>هپاتکت سي پي   تزريقي پرنترال 50 [iU]/1mL 2 [iU] - درمان آرا</t>
        </is>
      </c>
      <c r="E589" t="inlineStr">
        <is>
          <t>تی‌تک و آریا</t>
        </is>
      </c>
    </row>
    <row r="590">
      <c r="A590" t="n">
        <v>589</v>
      </c>
      <c r="B590" t="n">
        <v>22398</v>
      </c>
      <c r="C590" t="inlineStr">
        <is>
          <t>HEPATITIS B IMMUNE GLOBULIN INJECTION PARENTERAL 50 [iU]/1mL 40 mL</t>
        </is>
      </c>
      <c r="D590" t="inlineStr">
        <is>
          <t>هپاتکت سي پي   تزريقي پرنترال 50 [iU]/1mL 40 [iU] - پلاسما گستر پارس</t>
        </is>
      </c>
      <c r="E590" t="inlineStr">
        <is>
          <t>تی‌تک و آریا</t>
        </is>
      </c>
    </row>
    <row r="591">
      <c r="A591" t="n">
        <v>590</v>
      </c>
      <c r="B591" t="n">
        <v>22412</v>
      </c>
      <c r="C591" t="inlineStr">
        <is>
          <t>PLERIXAFOR INJECTION PARENTERAL 20 mg/1mL 1.2 mL</t>
        </is>
      </c>
      <c r="D591" t="inlineStr">
        <is>
          <t>پلريکسادال   تزريقي پرنترال 20 mg/1mL 1.2 mg - سه دال نانو</t>
        </is>
      </c>
      <c r="E591" t="inlineStr">
        <is>
          <t>تی‌تک و آریا</t>
        </is>
      </c>
    </row>
    <row r="592">
      <c r="A592" t="n">
        <v>591</v>
      </c>
      <c r="B592" t="n">
        <v>22419</v>
      </c>
      <c r="C592" t="inlineStr">
        <is>
          <t>FACTOR VIII / VON WILLEBRAND FACTOR INJECTION, POWDER, LYOPHILIZED, FOR SOLUTION PARENTERAL 1000 [iU]/1000 [iU] 1000 [iU]</t>
        </is>
      </c>
      <c r="D592" t="inlineStr">
        <is>
          <t>ويليت   پودر لئوفيليزه براي تهيه محلول تزريقي پرنترال 1000 [iU]/1000 [iU] 1000 [iU] - پالايش و پژوهش خون</t>
        </is>
      </c>
      <c r="E592" t="inlineStr">
        <is>
          <t>تی‌تک و آریا</t>
        </is>
      </c>
    </row>
    <row r="593">
      <c r="A593" t="n">
        <v>592</v>
      </c>
      <c r="B593" t="n">
        <v>22456</v>
      </c>
      <c r="C593" t="inlineStr">
        <is>
          <t>AFLIBERCEPT INJECTION, SOLUTION, CONCENTRATE PARENTERAL 25 mg/1mL 4 mL</t>
        </is>
      </c>
      <c r="D593" t="inlineStr">
        <is>
          <t>زالترپ   محلول غليظ تزريقي پرنترال 25 mg/1mL 4 [Amb'a'1'U] - فوريتهاي سينا آرات گستر</t>
        </is>
      </c>
      <c r="E593" t="inlineStr">
        <is>
          <t>تی‌تک و آریا</t>
        </is>
      </c>
    </row>
    <row r="594">
      <c r="A594" t="n">
        <v>593</v>
      </c>
      <c r="B594" t="n">
        <v>22525</v>
      </c>
      <c r="C594" t="inlineStr">
        <is>
          <t>DARUNAVIR (AS ETHANOLATE) TABLET ORAL 600 mg</t>
        </is>
      </c>
      <c r="D594" t="inlineStr">
        <is>
          <t>داناوير   قرص خوراکي 600 mg - رايان دارو ايرانيان</t>
        </is>
      </c>
      <c r="E594" t="inlineStr">
        <is>
          <t>تی‌تک و آریا</t>
        </is>
      </c>
    </row>
    <row r="595">
      <c r="A595" t="n">
        <v>594</v>
      </c>
      <c r="B595" t="n">
        <v>22637</v>
      </c>
      <c r="C595" t="inlineStr">
        <is>
          <t>DICLOFENAC PLASTER TOPICAL 120 mg</t>
        </is>
      </c>
      <c r="D595" t="inlineStr">
        <is>
          <t>ديکلوفناک   پلاستر موضعي 120 mg  mL - هيواد دارو ايرانيان</t>
        </is>
      </c>
      <c r="E595" t="inlineStr">
        <is>
          <t>تی‌تک و آریا</t>
        </is>
      </c>
    </row>
    <row r="596">
      <c r="A596" t="n">
        <v>595</v>
      </c>
      <c r="B596" t="n">
        <v>22661</v>
      </c>
      <c r="D596" t="inlineStr">
        <is>
          <t>پي دي پويتين 10000 (اريتروپويتين آلفا ) سرنگ آماده -پويش دارو</t>
        </is>
      </c>
      <c r="E596" t="inlineStr">
        <is>
          <t>فقط آریا</t>
        </is>
      </c>
    </row>
    <row r="597">
      <c r="A597" t="n">
        <v>596</v>
      </c>
      <c r="B597" t="n">
        <v>22662</v>
      </c>
      <c r="D597" t="inlineStr">
        <is>
          <t>سيناپويتين10000(اريتروپويتين بتا)سرنگ آماده تزريق-سيناژن</t>
        </is>
      </c>
      <c r="E597" t="inlineStr">
        <is>
          <t>فقط آریا</t>
        </is>
      </c>
    </row>
    <row r="598">
      <c r="A598" t="n">
        <v>597</v>
      </c>
      <c r="B598" t="n">
        <v>22816</v>
      </c>
      <c r="C598" t="inlineStr">
        <is>
          <t>TAFLUPROST SOLUTION, DROPS OPHTHALMIC 15 ug/1mL 0.3 mL</t>
        </is>
      </c>
      <c r="D598" t="inlineStr">
        <is>
          <t>سافلوتان   محلول، قطره چشمي 15 ug/1mL 0.3 mL - بازرگاني سها کيش</t>
        </is>
      </c>
      <c r="E598" t="inlineStr">
        <is>
          <t>تی‌تک و آریا</t>
        </is>
      </c>
    </row>
    <row r="599">
      <c r="A599" t="n">
        <v>598</v>
      </c>
      <c r="B599" t="n">
        <v>22854</v>
      </c>
      <c r="C599" t="inlineStr">
        <is>
          <t>RAMUCIRUMAB INJECTION, SOLUTION, CONCENTRATE PARENTERAL 10 mg/1mL 10 mL</t>
        </is>
      </c>
      <c r="D599" t="inlineStr">
        <is>
          <t>سيرامزا   محلول غليظ تزريقي پرنترال 10 mg/1mL 10 mg - آرنيکا سلامت ايرانيان</t>
        </is>
      </c>
      <c r="E599" t="inlineStr">
        <is>
          <t>تی‌تک و آریا</t>
        </is>
      </c>
    </row>
    <row r="600">
      <c r="A600" t="n">
        <v>599</v>
      </c>
      <c r="B600" t="n">
        <v>22858</v>
      </c>
      <c r="C600" t="inlineStr">
        <is>
          <t>PAZOPANIB (AS HYDROCHLORIDE) TABLET ORAL 200 mg</t>
        </is>
      </c>
      <c r="D600" t="inlineStr">
        <is>
          <t>پازوپانيب   قرص خوراکي 200 mg - داروسازي سبحان انکولوژي</t>
        </is>
      </c>
      <c r="E600" t="inlineStr">
        <is>
          <t>تی‌تک و آریا</t>
        </is>
      </c>
    </row>
    <row r="601">
      <c r="A601" t="n">
        <v>600</v>
      </c>
      <c r="B601" t="n">
        <v>23065</v>
      </c>
      <c r="C601" t="inlineStr">
        <is>
          <t>PENTOSAN POLYSULFATE SODIUM TABLET ORAL 25 mg</t>
        </is>
      </c>
      <c r="D601" t="inlineStr">
        <is>
          <t>پنتوزان پلي سولفات سديم   قرص خوراکي 25 mg - بازرگاني سها کيش</t>
        </is>
      </c>
      <c r="E601" t="inlineStr">
        <is>
          <t>تی‌تک و آریا</t>
        </is>
      </c>
    </row>
    <row r="602">
      <c r="A602" t="n">
        <v>601</v>
      </c>
      <c r="B602" t="n">
        <v>23088</v>
      </c>
      <c r="C602" t="inlineStr">
        <is>
          <t>RITONAVIR TABLET ORAL 100 mg</t>
        </is>
      </c>
      <c r="D602" t="inlineStr">
        <is>
          <t>امپاتوس   قرص خوراکي 100 mg - ماه داروي حکيم</t>
        </is>
      </c>
      <c r="E602" t="inlineStr">
        <is>
          <t>تی‌تک و آریا</t>
        </is>
      </c>
    </row>
    <row r="603">
      <c r="A603" t="n">
        <v>602</v>
      </c>
      <c r="B603" t="n">
        <v>23108</v>
      </c>
      <c r="D603" t="inlineStr">
        <is>
          <t xml:space="preserve">ويتامين ب 12 1000 م ک گ   آمپول - دارو پخش </t>
        </is>
      </c>
      <c r="E603" t="inlineStr">
        <is>
          <t>فقط آریا</t>
        </is>
      </c>
    </row>
    <row r="604">
      <c r="A604" t="n">
        <v>603</v>
      </c>
      <c r="B604" t="n">
        <v>23171</v>
      </c>
      <c r="C604" t="inlineStr">
        <is>
          <t>MOMETASONE FUROATE/ FORMOTEROL FUMARATE AEROSOL, METERED RESPIRATORY 100 ug/5 ug/1{dose} 120 {dose}</t>
        </is>
      </c>
      <c r="D604" t="inlineStr">
        <is>
          <t>زنهيل   آئروسل با دوز اندازه گيري شده استنشاقي 100 ug/5 ug/1{dose} 120 {dose} - بهستان دارو</t>
        </is>
      </c>
      <c r="E604" t="inlineStr">
        <is>
          <t>تی‌تک و آریا</t>
        </is>
      </c>
    </row>
    <row r="605">
      <c r="A605" t="n">
        <v>604</v>
      </c>
      <c r="B605" t="n">
        <v>23172</v>
      </c>
      <c r="C605" t="inlineStr">
        <is>
          <t>MOMETASONE FUROATE/ FORMOTEROL FUMARATE AEROSOL, METERED RESPIRATORY 200 ug/5 ug/1{dose} 120 {dose}</t>
        </is>
      </c>
      <c r="D605" t="inlineStr">
        <is>
          <t>زنهيل   آئروسل با دوز اندازه گيري شده استنشاقي 200 ug/5 ug/1{dose} 120 {dose} - بهستان دارو</t>
        </is>
      </c>
      <c r="E605" t="inlineStr">
        <is>
          <t>تی‌تک و آریا</t>
        </is>
      </c>
    </row>
    <row r="606">
      <c r="A606" t="n">
        <v>605</v>
      </c>
      <c r="B606" t="n">
        <v>23212</v>
      </c>
      <c r="C606" t="inlineStr">
        <is>
          <t>METHOTREXATE SODIUM INJECTION PARENTERAL 10 mg/1mL 0.75 mL</t>
        </is>
      </c>
      <c r="E606" t="inlineStr">
        <is>
          <t>فقط تی‌تک</t>
        </is>
      </c>
    </row>
    <row r="607">
      <c r="A607" t="n">
        <v>606</v>
      </c>
      <c r="B607" t="n">
        <v>23213</v>
      </c>
      <c r="C607" t="inlineStr">
        <is>
          <t>METHOTREXATE SODIUM INJECTION PARENTERAL 10 mg/1mL 1.5 mL</t>
        </is>
      </c>
      <c r="D607" t="inlineStr">
        <is>
          <t>50mg/5 mlمحلول تزريقي متوترکسات    تزريقي پرنترال 10 mg/1mL 1.5</t>
        </is>
      </c>
      <c r="E607" t="inlineStr">
        <is>
          <t>تی‌تک و آریا</t>
        </is>
      </c>
    </row>
    <row r="608">
      <c r="A608" t="n">
        <v>607</v>
      </c>
      <c r="B608" t="n">
        <v>23214</v>
      </c>
      <c r="C608" t="inlineStr">
        <is>
          <t>METHOTREXATE SODIUM INJECTION PARENTERAL 10 mg/1mL 2 mL</t>
        </is>
      </c>
      <c r="E608" t="inlineStr">
        <is>
          <t>فقط تی‌تک</t>
        </is>
      </c>
    </row>
    <row r="609">
      <c r="A609" t="n">
        <v>608</v>
      </c>
      <c r="B609" t="n">
        <v>23306</v>
      </c>
      <c r="C609" t="inlineStr">
        <is>
          <t>HYDROXOCOBALAMIN INJECTION, SOLUTION PARENTERAL 1000 ug/1mL</t>
        </is>
      </c>
      <c r="D609" t="inlineStr">
        <is>
          <t>نئوسيتامين   محلول تزريقي پرنترال 1000 ug/1mL  ug - بازرگاني سها کيش</t>
        </is>
      </c>
      <c r="E609" t="inlineStr">
        <is>
          <t>تی‌تک و آریا</t>
        </is>
      </c>
    </row>
    <row r="610">
      <c r="A610" t="n">
        <v>609</v>
      </c>
      <c r="B610" t="n">
        <v>23311</v>
      </c>
      <c r="C610" t="inlineStr">
        <is>
          <t>BENZOYL PEROXIDE GEL TOPICAL 10 % 60 g</t>
        </is>
      </c>
      <c r="D610" t="inlineStr">
        <is>
          <t>پنژل   ژل موضعي 10 % 60 g - پارس بهروزان جم</t>
        </is>
      </c>
      <c r="E610" t="inlineStr">
        <is>
          <t>تی‌تک و آریا</t>
        </is>
      </c>
    </row>
    <row r="611">
      <c r="A611" t="n">
        <v>610</v>
      </c>
      <c r="B611" t="n">
        <v>23312</v>
      </c>
      <c r="C611" t="inlineStr">
        <is>
          <t>BENZOYL PEROXIDE GEL TOPICAL 5 % 60 g</t>
        </is>
      </c>
      <c r="D611" t="inlineStr">
        <is>
          <t>پنژل   ژل موضعي 5 % 60 g - پارس بهروزان جم</t>
        </is>
      </c>
      <c r="E611" t="inlineStr">
        <is>
          <t>تی‌تک و آریا</t>
        </is>
      </c>
    </row>
    <row r="612">
      <c r="A612" t="n">
        <v>611</v>
      </c>
      <c r="B612" t="n">
        <v>23358</v>
      </c>
      <c r="C612" t="inlineStr">
        <is>
          <t>MEGLUMINE COMPOUND INJECTION, SOLUTION PARENTERAL 66 %/10 %</t>
        </is>
      </c>
      <c r="D612" t="inlineStr">
        <is>
          <t>مگلومين کامپاند   محلول تزريقي پرنترال 66 %/10 %  mL - داروسازي شهيد قاضي</t>
        </is>
      </c>
      <c r="E612" t="inlineStr">
        <is>
          <t>تی‌تک و آریا</t>
        </is>
      </c>
    </row>
    <row r="613">
      <c r="A613" t="n">
        <v>612</v>
      </c>
      <c r="B613" t="n">
        <v>23448</v>
      </c>
      <c r="C613" t="inlineStr">
        <is>
          <t>RUXOLITINIB (AS PHOSPHATE) TABLET ORAL 5 mg</t>
        </is>
      </c>
      <c r="D613" t="inlineStr">
        <is>
          <t>جاکاوي   قرص خوراکي 5 mg  [Amb'a'1'U] - فوريتهاي سينا آرات گستر</t>
        </is>
      </c>
      <c r="E613" t="inlineStr">
        <is>
          <t>تی‌تک و آریا</t>
        </is>
      </c>
    </row>
    <row r="614">
      <c r="A614" t="n">
        <v>613</v>
      </c>
      <c r="B614" t="n">
        <v>23506</v>
      </c>
      <c r="C614" t="inlineStr">
        <is>
          <t>SARGRAMOSTIM INJECTION, POWDER, LYOPHILIZED, FOR SOLUTION PARENTERAL 250 ug</t>
        </is>
      </c>
      <c r="D614" t="inlineStr">
        <is>
          <t>لئوکين   پودر لئوفيليزه براي تهيه محلول تزريقي پرنترال 250 ug  ug - شهاب درمان</t>
        </is>
      </c>
      <c r="E614" t="inlineStr">
        <is>
          <t>تی‌تک و آریا</t>
        </is>
      </c>
    </row>
    <row r="615">
      <c r="A615" t="n">
        <v>614</v>
      </c>
      <c r="B615" t="n">
        <v>23538</v>
      </c>
      <c r="C615" t="inlineStr">
        <is>
          <t>VEMURAFENIB TABLET ORAL 240 mg</t>
        </is>
      </c>
      <c r="D615" t="inlineStr">
        <is>
          <t>زلبوراف   قرص خوراکي 240 mg  mg - رايان دارو ايرانيان</t>
        </is>
      </c>
      <c r="E615" t="inlineStr">
        <is>
          <t>تی‌تک و آریا</t>
        </is>
      </c>
    </row>
    <row r="616">
      <c r="A616" t="n">
        <v>615</v>
      </c>
      <c r="B616" t="n">
        <v>23984</v>
      </c>
      <c r="C616" t="inlineStr">
        <is>
          <t>IPILIMUMAB INJECTION, SOLUTION, CONCENTRATE PARENTERAL 5 mg/1mL 10 mL</t>
        </is>
      </c>
      <c r="D616" t="inlineStr">
        <is>
          <t>يرووي   محلول غليظ تزريقي پرنترال 5 mg/1mL 10 - يارا طب خاورميانه</t>
        </is>
      </c>
      <c r="E616" t="inlineStr">
        <is>
          <t>تی‌تک و آریا</t>
        </is>
      </c>
    </row>
    <row r="617">
      <c r="A617" t="n">
        <v>616</v>
      </c>
      <c r="B617" t="n">
        <v>24006</v>
      </c>
      <c r="C617" t="inlineStr">
        <is>
          <t>RAMUCIRUMAB INJECTION, SOLUTION, CONCENTRATE PARENTERAL 10 mg/1mL 50 mL</t>
        </is>
      </c>
      <c r="D617" t="inlineStr">
        <is>
          <t>سيرامزا   محلول غليظ تزريقي پرنترال 10 mg/1mL 50 mg - اوزان</t>
        </is>
      </c>
      <c r="E617" t="inlineStr">
        <is>
          <t>تی‌تک و آریا</t>
        </is>
      </c>
    </row>
    <row r="618">
      <c r="A618" t="n">
        <v>617</v>
      </c>
      <c r="B618" t="n">
        <v>24054</v>
      </c>
      <c r="C618" t="inlineStr">
        <is>
          <t>SOMATROPIN INJECTION, SOLUTION PARENTERAL 30 [iU]/2.7mL</t>
        </is>
      </c>
      <c r="D618" t="inlineStr">
        <is>
          <t>گروتروپين-2   محلول تزريقي پرنترال 30 [iU]/2.7mL  [iU] - رويان دارو</t>
        </is>
      </c>
      <c r="E618" t="inlineStr">
        <is>
          <t>تی‌تک و آریا</t>
        </is>
      </c>
    </row>
    <row r="619">
      <c r="A619" t="n">
        <v>618</v>
      </c>
      <c r="B619" t="n">
        <v>24191</v>
      </c>
      <c r="C619" t="inlineStr">
        <is>
          <t>IVERMECTIN CREAM TOPICAL 1 % 30 g</t>
        </is>
      </c>
      <c r="D619" t="inlineStr">
        <is>
          <t>سولانترا   کرم موضعي 1 % 30 % - شهاب درمان</t>
        </is>
      </c>
      <c r="E619" t="inlineStr">
        <is>
          <t>تی‌تک و آریا</t>
        </is>
      </c>
    </row>
    <row r="620">
      <c r="A620" t="n">
        <v>619</v>
      </c>
      <c r="B620" t="n">
        <v>24303</v>
      </c>
      <c r="C620" t="inlineStr">
        <is>
          <t>ULIPRISTAL ACETATE TABLET ORAL 5 mg</t>
        </is>
      </c>
      <c r="D620" t="inlineStr">
        <is>
          <t>اسميا    قرص خوراکي 5 mg  [Amb'a'1'U] - فوريتهاي سينا آرات گستر</t>
        </is>
      </c>
      <c r="E620" t="inlineStr">
        <is>
          <t>تی‌تک و آریا</t>
        </is>
      </c>
    </row>
    <row r="621">
      <c r="A621" t="n">
        <v>620</v>
      </c>
      <c r="B621" t="n">
        <v>24400</v>
      </c>
      <c r="C621" t="inlineStr">
        <is>
          <t>BOTULINUM A TOXIN INJECTION, POWDER, LYOPHILIZED, FOR SOLUTION PARENTERAL 200 [iU]</t>
        </is>
      </c>
      <c r="D621" t="inlineStr">
        <is>
          <t>زئومين   پودر لئوفيليزه براي تهيه محلول تزريقي پرنترال 200 [iU]  [iU] - بازرگاني خسرو مديسا طب</t>
        </is>
      </c>
      <c r="E621" t="inlineStr">
        <is>
          <t>تی‌تک و آریا</t>
        </is>
      </c>
    </row>
    <row r="622">
      <c r="A622" t="n">
        <v>621</v>
      </c>
      <c r="B622" t="n">
        <v>24452</v>
      </c>
      <c r="C622" t="inlineStr">
        <is>
          <t>CRIZOTINIB CAPSULE ORAL 250 mg</t>
        </is>
      </c>
      <c r="D622" t="inlineStr">
        <is>
          <t>ريزولانگ   کپسول خوراکي 250 mg - نو آوران دارويي کيميا</t>
        </is>
      </c>
      <c r="E622" t="inlineStr">
        <is>
          <t>تی‌تک و آریا</t>
        </is>
      </c>
    </row>
    <row r="623">
      <c r="A623" t="n">
        <v>622</v>
      </c>
      <c r="B623" t="n">
        <v>24484</v>
      </c>
      <c r="C623" t="inlineStr">
        <is>
          <t>PAZOPANIB (AS HYDROCHLORIDE) TABLET ORAL 400 mg</t>
        </is>
      </c>
      <c r="D623" t="inlineStr">
        <is>
          <t>پازوپانيب   قرص خوراکي 400 mg - داروسازي سبحان انکولوژي</t>
        </is>
      </c>
      <c r="E623" t="inlineStr">
        <is>
          <t>تی‌تک و آریا</t>
        </is>
      </c>
    </row>
    <row r="624">
      <c r="A624" t="n">
        <v>623</v>
      </c>
      <c r="B624" t="n">
        <v>24604</v>
      </c>
      <c r="C624" t="inlineStr">
        <is>
          <t>ROPIVACAINE HYDROCHLORIDE INJECTION, SOLUTION PARENTERAL 2 mg/1 mL 20 mL</t>
        </is>
      </c>
      <c r="E624" t="inlineStr">
        <is>
          <t>فقط تی‌تک</t>
        </is>
      </c>
    </row>
    <row r="625">
      <c r="A625" t="n">
        <v>624</v>
      </c>
      <c r="B625" t="n">
        <v>24616</v>
      </c>
      <c r="C625" t="inlineStr">
        <is>
          <t>RUXOLITINIB (AS PHOSPHATE) TABLET ORAL 20 mg</t>
        </is>
      </c>
      <c r="D625" t="inlineStr">
        <is>
          <t>جاکاوي   قرص خوراکي 20 mg  mg - رايان دارو ايرانيان</t>
        </is>
      </c>
      <c r="E625" t="inlineStr">
        <is>
          <t>تی‌تک و آریا</t>
        </is>
      </c>
    </row>
    <row r="626">
      <c r="A626" t="n">
        <v>625</v>
      </c>
      <c r="B626" t="n">
        <v>24689</v>
      </c>
      <c r="C626" t="inlineStr">
        <is>
          <t>RALTEGRAVIR TABLET, CHEWABLE ORAL 100 mg</t>
        </is>
      </c>
      <c r="D626" t="inlineStr">
        <is>
          <t>رالتگراوير   قرص جويدني خوراکي 100 mg - بازرگاني سها کيش</t>
        </is>
      </c>
      <c r="E626" t="inlineStr">
        <is>
          <t>تی‌تک و آریا</t>
        </is>
      </c>
    </row>
    <row r="627">
      <c r="A627" t="n">
        <v>626</v>
      </c>
      <c r="B627" t="n">
        <v>24746</v>
      </c>
      <c r="C627" t="inlineStr">
        <is>
          <t>ABACAVIR (AS SULFATE) SOLUTION ORAL 20 mg/1mL 240 mL</t>
        </is>
      </c>
      <c r="D627" t="inlineStr">
        <is>
          <t>آباکاوير   محلول خوراکي 20 mg/1mL 240 mL - ماه داروي حکيم</t>
        </is>
      </c>
      <c r="E627" t="inlineStr">
        <is>
          <t>تی‌تک و آریا</t>
        </is>
      </c>
    </row>
    <row r="628">
      <c r="A628" t="n">
        <v>627</v>
      </c>
      <c r="B628" t="n">
        <v>25082</v>
      </c>
      <c r="D628" t="inlineStr">
        <is>
          <t xml:space="preserve">گارداسيل 0.5 م ل واکسن آماده تزريق -9 ظرفيتي ام اس دي </t>
        </is>
      </c>
      <c r="E628" t="inlineStr">
        <is>
          <t>فقط آریا</t>
        </is>
      </c>
    </row>
    <row r="629">
      <c r="A629" t="n">
        <v>628</v>
      </c>
      <c r="B629" t="n">
        <v>25137</v>
      </c>
      <c r="C629" t="inlineStr">
        <is>
          <t>FEBUXOSTAT TABLET ORAL 120 mg</t>
        </is>
      </c>
      <c r="D629" t="inlineStr">
        <is>
          <t>آدنوريک   قرص خوراکي 120 mg  [Amb'a'1'U] - فوريتهاي سينا آرات گستر</t>
        </is>
      </c>
      <c r="E629" t="inlineStr">
        <is>
          <t>تی‌تک و آریا</t>
        </is>
      </c>
    </row>
    <row r="630">
      <c r="A630" t="n">
        <v>629</v>
      </c>
      <c r="B630" t="n">
        <v>50001</v>
      </c>
      <c r="C630" t="inlineStr">
        <is>
          <t>LIPID INFUSION 20% (2) INJECTION, SOLUTION INTRAVENOUS 5 %/6 %/6 %/3 % 500 mL</t>
        </is>
      </c>
      <c r="D630" t="inlineStr">
        <is>
          <t>اسموف ليپيد 20%   محلول تزريقي داخل وريدي 500 mL - روژين دارو</t>
        </is>
      </c>
      <c r="E630" t="inlineStr">
        <is>
          <t>تی‌تک و آریا</t>
        </is>
      </c>
    </row>
    <row r="631">
      <c r="A631" t="n">
        <v>630</v>
      </c>
      <c r="B631" t="n">
        <v>50021</v>
      </c>
      <c r="C631" t="inlineStr">
        <is>
          <t>SOMATOSTATIN INJECTION, POWDER, FOR SOLUTION PARENTERAL 3 mg</t>
        </is>
      </c>
      <c r="D631" t="inlineStr">
        <is>
          <t>سوماتواستاتين-ايومديکا   پودر براي تهيه محلول تزريقي پرنترال 3 mg  mg - وليان دارو</t>
        </is>
      </c>
      <c r="E631" t="inlineStr">
        <is>
          <t>تی‌تک و آریا</t>
        </is>
      </c>
    </row>
    <row r="632">
      <c r="A632" t="n">
        <v>631</v>
      </c>
      <c r="B632" t="n">
        <v>50024</v>
      </c>
      <c r="C632" t="inlineStr">
        <is>
          <t>SOMATROPIN INJECTION, SOLUTION PARENTERAL 15 [iU]/1mL 1.5 mL</t>
        </is>
      </c>
      <c r="E632" t="inlineStr">
        <is>
          <t>فقط تی‌تک</t>
        </is>
      </c>
    </row>
    <row r="633">
      <c r="A633" t="n">
        <v>632</v>
      </c>
      <c r="B633" t="n">
        <v>50033</v>
      </c>
      <c r="C633" t="inlineStr">
        <is>
          <t>RETEPLASE INJECTION, POWDER, FOR SOLUTION PARENTERAL 10.4 [iU]</t>
        </is>
      </c>
      <c r="D633" t="inlineStr">
        <is>
          <t>رتليز   پودر براي تهيه محلول تزريقي پرنترال 10.4 [iU]  mg - دارو سازي اسوه</t>
        </is>
      </c>
      <c r="E633" t="inlineStr">
        <is>
          <t>تی‌تک و آریا</t>
        </is>
      </c>
    </row>
    <row r="634">
      <c r="A634" t="n">
        <v>633</v>
      </c>
      <c r="B634" t="n">
        <v>50056</v>
      </c>
      <c r="C634" t="inlineStr">
        <is>
          <t>TOBRAMYCIN / DEXAMETHASONE SUSPENSION, DROPS OPHTHALMIC 0.3 %/0.1 % 5 mL</t>
        </is>
      </c>
      <c r="D634" t="inlineStr">
        <is>
          <t>توبرادکس   سوسپانسيون، قطره چشمي 0.3 %/0.1 % 5 mL - پويش دارو گستر برتر فارس</t>
        </is>
      </c>
      <c r="E634" t="inlineStr">
        <is>
          <t>تی‌تک و آریا</t>
        </is>
      </c>
    </row>
    <row r="635">
      <c r="A635" t="n">
        <v>634</v>
      </c>
      <c r="B635" t="n">
        <v>50059</v>
      </c>
      <c r="C635" t="inlineStr">
        <is>
          <t>FLUPENTHIXOL (AS DIHYDROCHLORIDE) TABLET ORAL 3 mg</t>
        </is>
      </c>
      <c r="D635" t="inlineStr">
        <is>
          <t>دپيکسول   قرص خوراکي 3 mg - آنکو دارو</t>
        </is>
      </c>
      <c r="E635" t="inlineStr">
        <is>
          <t>تی‌تک و آریا</t>
        </is>
      </c>
    </row>
    <row r="636">
      <c r="A636" t="n">
        <v>635</v>
      </c>
      <c r="B636" t="n">
        <v>50061</v>
      </c>
      <c r="C636" t="inlineStr">
        <is>
          <t>FLUPENTHIXOL DECANOATE INJECTION PARENTERAL 20 mg/1mL 1 mL</t>
        </is>
      </c>
      <c r="D636" t="inlineStr">
        <is>
          <t>آتيکسول   تزريقي پرنترال 20 mg/1mL 1 mg</t>
        </is>
      </c>
      <c r="E636" t="inlineStr">
        <is>
          <t>تی‌تک و آریا</t>
        </is>
      </c>
    </row>
    <row r="637">
      <c r="A637" t="n">
        <v>636</v>
      </c>
      <c r="B637" t="n">
        <v>50062</v>
      </c>
      <c r="C637" t="inlineStr">
        <is>
          <t>NOT EXIST Not Exist Not Exist</t>
        </is>
      </c>
      <c r="E637" t="inlineStr">
        <is>
          <t>فقط تی‌تک</t>
        </is>
      </c>
    </row>
    <row r="638">
      <c r="A638" t="n">
        <v>637</v>
      </c>
      <c r="B638" t="n">
        <v>50075</v>
      </c>
      <c r="C638" t="inlineStr">
        <is>
          <t>EDETATE CALCIUM DISODIUM INJECTION PARENTERAL 200 mg/1mL 5 mL</t>
        </is>
      </c>
      <c r="D638" t="inlineStr">
        <is>
          <t>ادتات کلسيم دي سديم   تزريقي پرنترال 200 mg/1mL 5 mg - ثمين دارو آرکا</t>
        </is>
      </c>
      <c r="E638" t="inlineStr">
        <is>
          <t>تی‌تک و آریا</t>
        </is>
      </c>
    </row>
    <row r="639">
      <c r="A639" t="n">
        <v>638</v>
      </c>
      <c r="B639" t="n">
        <v>50079</v>
      </c>
      <c r="C639" t="inlineStr">
        <is>
          <t>DIMERCAPROL INJECTION PARENTERAL 50 mg/1mL 2 mL</t>
        </is>
      </c>
      <c r="D639" t="inlineStr">
        <is>
          <t>آر-کاپرول   تزريقي پرنترال 50 mg/1mL 2 mg - بازرگاني سها کيش</t>
        </is>
      </c>
      <c r="E639" t="inlineStr">
        <is>
          <t>تی‌تک و آریا</t>
        </is>
      </c>
    </row>
    <row r="640">
      <c r="A640" t="n">
        <v>639</v>
      </c>
      <c r="B640" t="n">
        <v>50080</v>
      </c>
      <c r="C640" t="inlineStr">
        <is>
          <t>ANTITHYMOCYTE IMMUNOGLOBULIN (RABBIT) INJECTION PARENTERAL 20 mg/1mL</t>
        </is>
      </c>
      <c r="D640" t="inlineStr">
        <is>
          <t>اي تي جي-فرزنيوس   تزريقي پرنترال 20 mg/1mL  mg - درمان ياب آنا</t>
        </is>
      </c>
      <c r="E640" t="inlineStr">
        <is>
          <t>تی‌تک و آریا</t>
        </is>
      </c>
    </row>
    <row r="641">
      <c r="A641" t="n">
        <v>640</v>
      </c>
      <c r="B641" t="n">
        <v>50081</v>
      </c>
      <c r="C641" t="inlineStr">
        <is>
          <t>IMMUNE GLOBULIN INJECTION PARENTERAL 200 mg/1mL 5 mL</t>
        </is>
      </c>
      <c r="D641" t="inlineStr">
        <is>
          <t>هايزنترا   تزريقي پرنترال 200 mg/1mL 5 g - اوين دارو</t>
        </is>
      </c>
      <c r="E641" t="inlineStr">
        <is>
          <t>تی‌تک و آریا</t>
        </is>
      </c>
    </row>
    <row r="642">
      <c r="A642" t="n">
        <v>641</v>
      </c>
      <c r="B642" t="n">
        <v>50082</v>
      </c>
      <c r="C642" t="inlineStr">
        <is>
          <t>IMMUNE GLOBULIN INJECTION PARENTERAL 200 mg/1mL 10 mL</t>
        </is>
      </c>
      <c r="D642" t="inlineStr">
        <is>
          <t>هايزنترا   تزريقي پرنترال 200 mg/1mL 10 g - اوين دارو</t>
        </is>
      </c>
      <c r="E642" t="inlineStr">
        <is>
          <t>تی‌تک و آریا</t>
        </is>
      </c>
    </row>
    <row r="643">
      <c r="A643" t="n">
        <v>642</v>
      </c>
      <c r="B643" t="n">
        <v>50083</v>
      </c>
      <c r="C643" t="inlineStr">
        <is>
          <t>IMMUNE GLOBULIN INJECTION PARENTERAL 200 mg/1mL 20 mL</t>
        </is>
      </c>
      <c r="E643" t="inlineStr">
        <is>
          <t>فقط تی‌تک</t>
        </is>
      </c>
    </row>
    <row r="644">
      <c r="A644" t="n">
        <v>643</v>
      </c>
      <c r="B644" t="n">
        <v>50088</v>
      </c>
      <c r="C644" t="inlineStr">
        <is>
          <t>RISPERIDONE SOLUTION ORAL 1 mg/1mL 100 mL</t>
        </is>
      </c>
      <c r="D644" t="inlineStr">
        <is>
          <t>اويتريت   محلول خوراکي 1 mg/1mL 100 mL - تدبير کالاي جم</t>
        </is>
      </c>
      <c r="E644" t="inlineStr">
        <is>
          <t>تی‌تک و آریا</t>
        </is>
      </c>
    </row>
    <row r="645">
      <c r="A645" t="n">
        <v>644</v>
      </c>
      <c r="B645" t="n">
        <v>50111</v>
      </c>
      <c r="C645" t="inlineStr">
        <is>
          <t>SEVELAMER CARBONATE POWDER, FOR SUSPENSION ORAL 2.4 g</t>
        </is>
      </c>
      <c r="D645" t="inlineStr">
        <is>
          <t>رنولا   پودر براي تهيه سوسپانسيون   خوراکي 2.4 g  g - کوبل دارو</t>
        </is>
      </c>
      <c r="E645" t="inlineStr">
        <is>
          <t>تی‌تک و آریا</t>
        </is>
      </c>
    </row>
    <row r="646">
      <c r="A646" t="n">
        <v>645</v>
      </c>
      <c r="B646" t="n">
        <v>50130</v>
      </c>
      <c r="C646" t="inlineStr">
        <is>
          <t>FACTOR VIII / VON WILLEBRAND FACTOR INJECTION, POWDER, LYOPHILIZED, FOR SOLUTION PARENTERAL 1000 [iU]/1000 [iU] 500 [iU]</t>
        </is>
      </c>
      <c r="E646" t="inlineStr">
        <is>
          <t>فقط تی‌تک</t>
        </is>
      </c>
    </row>
    <row r="647">
      <c r="A647" t="n">
        <v>646</v>
      </c>
      <c r="B647" t="n">
        <v>50179</v>
      </c>
      <c r="C647" t="inlineStr">
        <is>
          <t>AMINO ACID / LIPID / GLUCOSE (2-1) INJECTION, EMULSION INTRAVENOUS 32 g/8 g/8.24 g/5.58 g/1.65 g/2.84 g/3.95 g/3.4 g/2.84 g/3.95 g/4.48 g/2.84 g/3.95 g/3.4 g/2.25 g/2.84 g/0.95 g/0.15 g/3.64 g/1.5 g/3.67 g/2.24 g/0.81 g/0.52 g/110 g/1000mL 1000 mL</t>
        </is>
      </c>
      <c r="D647" t="inlineStr">
        <is>
          <t>اليمل ان9اي   امولسيون تزريقي داخل وريدي 1000 mL - کار و انديشه</t>
        </is>
      </c>
      <c r="E647" t="inlineStr">
        <is>
          <t>تی‌تک و آریا</t>
        </is>
      </c>
    </row>
    <row r="648">
      <c r="A648" t="n">
        <v>647</v>
      </c>
      <c r="B648" t="n">
        <v>50180</v>
      </c>
      <c r="C648" t="inlineStr">
        <is>
          <t>AMINO ACID / LIPID / GLUCOSE (1-1) INJECTION, EMULSION INTRAVENOUS 32 g/8 g/6.41 g/4.34 g/1.28 g/2.21 g/3.07 g/2.64 g/2.21 g/3.07 g/3.48 g/2.21 g/3.07 g/2.64 g/1.75 g/2.21 g/0.74 g/0.11 g/2.83 g/1.5 g/3.67 g/2.24 g/0.81 g/0.52 g/140 g/1000 mL 1000 mL</t>
        </is>
      </c>
      <c r="D648" t="inlineStr">
        <is>
          <t>اليمل ان7اي   امولسيون تزريقي داخل وريدي 1000 mL - کار و انديشه</t>
        </is>
      </c>
      <c r="E648" t="inlineStr">
        <is>
          <t>تی‌تک و آریا</t>
        </is>
      </c>
    </row>
    <row r="649">
      <c r="A649" t="n">
        <v>648</v>
      </c>
      <c r="B649" t="n">
        <v>50181</v>
      </c>
      <c r="C649" t="inlineStr">
        <is>
          <t>(18F) FLUDEOXYGLUCOSE INJECTION, SOLUTION PARENTERAL 10 mCi</t>
        </is>
      </c>
      <c r="D649" t="inlineStr">
        <is>
          <t>فلوداکسي گلوکز اف18   محلول تزريقي پرنترال 10 mCi  uCi - پارس ايزوتوپ</t>
        </is>
      </c>
      <c r="E649" t="inlineStr">
        <is>
          <t>تی‌تک و آریا</t>
        </is>
      </c>
    </row>
    <row r="650">
      <c r="A650" t="n">
        <v>649</v>
      </c>
      <c r="B650" t="n">
        <v>50195</v>
      </c>
      <c r="C650" t="inlineStr">
        <is>
          <t>FOLLITROPIN BETA INJECTION, SOLUTION PARENTERAL 75 [iU]/0.5mL</t>
        </is>
      </c>
      <c r="E650" t="inlineStr">
        <is>
          <t>فقط تی‌تک</t>
        </is>
      </c>
    </row>
    <row r="651">
      <c r="A651" t="n">
        <v>650</v>
      </c>
      <c r="B651" t="n">
        <v>50196</v>
      </c>
      <c r="C651" t="inlineStr">
        <is>
          <t>PHOSPHOROUS [32P] CHROMIC PHOSPHATE COLLOID INJECTION, SOLUTION PARENTERAL 5 mCi</t>
        </is>
      </c>
      <c r="D651" t="inlineStr">
        <is>
          <t>کولوئيدال کروميک فسفات (فسفر-32)   محلول تزريقي پرنترال 5 mCi  mCi - پارس ايزوتوپ</t>
        </is>
      </c>
      <c r="E651" t="inlineStr">
        <is>
          <t>تی‌تک و آریا</t>
        </is>
      </c>
    </row>
    <row r="652">
      <c r="A652" t="n">
        <v>651</v>
      </c>
      <c r="B652" t="n">
        <v>50197</v>
      </c>
      <c r="C652" t="inlineStr">
        <is>
          <t>C-14 UREA CAPSULE ORAL 1 mCi</t>
        </is>
      </c>
      <c r="D652" t="inlineStr">
        <is>
          <t>کربن-14 اوره   کپسول خوراکي 1 mCi  mCi - پارس ايزوتوپ</t>
        </is>
      </c>
      <c r="E652" t="inlineStr">
        <is>
          <t>تی‌تک و آریا</t>
        </is>
      </c>
    </row>
    <row r="653">
      <c r="A653" t="n">
        <v>652</v>
      </c>
      <c r="B653" t="n">
        <v>50200</v>
      </c>
      <c r="C653" t="inlineStr">
        <is>
          <t>TECHNETIUM 99MTC ANTIMONY TRISULFIDE INJECTION, SOLUTION SUBCUTANEOUS 1.5 mg</t>
        </is>
      </c>
      <c r="D653" t="inlineStr">
        <is>
          <t>آنتيموني-تي. اس   محلول تزريقي زير جلدي 1.5 mg  mg - پارس ايزوتوپ</t>
        </is>
      </c>
      <c r="E653" t="inlineStr">
        <is>
          <t>تی‌تک و آریا</t>
        </is>
      </c>
    </row>
    <row r="654">
      <c r="A654" t="n">
        <v>653</v>
      </c>
      <c r="B654" t="n">
        <v>50221</v>
      </c>
      <c r="C654" t="inlineStr">
        <is>
          <t>POTASSIUM AMINOBENZOIC ACID (POTABA) POWDER ORAL 3 g</t>
        </is>
      </c>
      <c r="D654" t="inlineStr">
        <is>
          <t>پابا-کا   پودر خوراکي 3 g  g - سلامت انديشان راتا</t>
        </is>
      </c>
      <c r="E654" t="inlineStr">
        <is>
          <t>تی‌تک و آریا</t>
        </is>
      </c>
    </row>
    <row r="655">
      <c r="A655" t="n">
        <v>654</v>
      </c>
      <c r="B655" t="n">
        <v>50227</v>
      </c>
      <c r="C655" t="inlineStr">
        <is>
          <t>MIVACURIUM CHLORIDE INJECTION PARENTERAL 2 mg/1mL</t>
        </is>
      </c>
      <c r="E655" t="inlineStr">
        <is>
          <t>فقط تی‌تک</t>
        </is>
      </c>
    </row>
    <row r="656">
      <c r="A656" t="n">
        <v>655</v>
      </c>
      <c r="B656" t="n">
        <v>50244</v>
      </c>
      <c r="C656" t="inlineStr">
        <is>
          <t>DISOPYRAMIDE CAPSULE ORAL 100 mg</t>
        </is>
      </c>
      <c r="D656" t="inlineStr">
        <is>
          <t>ديزوپيراميد   کپسول خوراکي 100 mg - پويش دارو گستر برتر فارس</t>
        </is>
      </c>
      <c r="E656" t="inlineStr">
        <is>
          <t>تی‌تک و آریا</t>
        </is>
      </c>
    </row>
    <row r="657">
      <c r="A657" t="n">
        <v>656</v>
      </c>
      <c r="B657" t="n">
        <v>50253</v>
      </c>
      <c r="C657" t="inlineStr">
        <is>
          <t>CALCIUM CARBONATE TABLET ORAL 500 mg</t>
        </is>
      </c>
      <c r="D657" t="inlineStr">
        <is>
          <t>سي سي -نفرول   قرص خوراکي 500 mg</t>
        </is>
      </c>
      <c r="E657" t="inlineStr">
        <is>
          <t>تی‌تک و آریا</t>
        </is>
      </c>
    </row>
    <row r="658">
      <c r="A658" t="n">
        <v>657</v>
      </c>
      <c r="B658" t="n">
        <v>50267</v>
      </c>
      <c r="C658" t="inlineStr">
        <is>
          <t>ETHANOL SOLUTION NOT APPLICABLE 96 % 2.5 L</t>
        </is>
      </c>
      <c r="D658" t="inlineStr">
        <is>
          <t>اتانول   محلول غير قابل مصرف 96 % 2.5 L - پارس الکل</t>
        </is>
      </c>
      <c r="E658" t="inlineStr">
        <is>
          <t>تی‌تک و آریا</t>
        </is>
      </c>
    </row>
    <row r="659">
      <c r="A659" t="n">
        <v>658</v>
      </c>
      <c r="B659" t="n">
        <v>50268</v>
      </c>
      <c r="C659" t="inlineStr">
        <is>
          <t>ETHANOL SOLUTION NOT APPLICABLE 96 % 1 L</t>
        </is>
      </c>
      <c r="D659" t="inlineStr">
        <is>
          <t>اتانول   محلول غير قابل مصرف 96 % 1 L - الين الکل کاسپين</t>
        </is>
      </c>
      <c r="E659" t="inlineStr">
        <is>
          <t>تی‌تک و آریا</t>
        </is>
      </c>
    </row>
    <row r="660">
      <c r="A660" t="n">
        <v>659</v>
      </c>
      <c r="B660" t="n">
        <v>50270</v>
      </c>
      <c r="C660" t="inlineStr">
        <is>
          <t>ETHANOL SOLUTION NOT APPLICABLE 70 % 5 L</t>
        </is>
      </c>
      <c r="D660" t="inlineStr">
        <is>
          <t>اتانول   محلول غير قابل مصرف 70 % 5 L - الين الکل کاسپين</t>
        </is>
      </c>
      <c r="E660" t="inlineStr">
        <is>
          <t>تی‌تک و آریا</t>
        </is>
      </c>
    </row>
    <row r="661">
      <c r="A661" t="n">
        <v>660</v>
      </c>
      <c r="B661" t="n">
        <v>50271</v>
      </c>
      <c r="C661" t="inlineStr">
        <is>
          <t>ETHANOL SOLUTION NOT APPLICABLE 99.6 % 2.5 L</t>
        </is>
      </c>
      <c r="D661" t="inlineStr">
        <is>
          <t>اتانول   محلول غير قابل مصرف 99.6 % 2.5 L - پارس الکل</t>
        </is>
      </c>
      <c r="E661" t="inlineStr">
        <is>
          <t>تی‌تک و آریا</t>
        </is>
      </c>
    </row>
    <row r="662">
      <c r="A662" t="n">
        <v>661</v>
      </c>
      <c r="B662" t="n">
        <v>50272</v>
      </c>
      <c r="C662" t="inlineStr">
        <is>
          <t>ETHANOL SOLUTION NOT APPLICABLE 99.6 % 1 L</t>
        </is>
      </c>
      <c r="D662" t="inlineStr">
        <is>
          <t>اتانول   محلول غير قابل مصرف 99.6 % 1 L - پارس الکل</t>
        </is>
      </c>
      <c r="E662" t="inlineStr">
        <is>
          <t>تی‌تک و آریا</t>
        </is>
      </c>
    </row>
    <row r="663">
      <c r="A663" t="n">
        <v>662</v>
      </c>
      <c r="B663" t="n">
        <v>50275</v>
      </c>
      <c r="C663" t="inlineStr">
        <is>
          <t>MOMETASONE FUROATE INHALANT RESPIRATORY 200 ug/1{Puff} 30 {dose}</t>
        </is>
      </c>
      <c r="D663" t="inlineStr">
        <is>
          <t>آسمانکس توئيست هالر   اينهالر استنشاقي 200 ug/1{Puff} 30 {Puff} - بهستان دارو</t>
        </is>
      </c>
      <c r="E663" t="inlineStr">
        <is>
          <t>تی‌تک و آریا</t>
        </is>
      </c>
    </row>
    <row r="664">
      <c r="A664" t="n">
        <v>663</v>
      </c>
      <c r="B664" t="n">
        <v>50289</v>
      </c>
      <c r="C664" t="inlineStr">
        <is>
          <t>RANITIDINE SOLUTION ORAL 75 mg/5mL 120 mL</t>
        </is>
      </c>
      <c r="E664" t="inlineStr">
        <is>
          <t>فقط تی‌تک</t>
        </is>
      </c>
    </row>
    <row r="665">
      <c r="A665" t="n">
        <v>664</v>
      </c>
      <c r="B665" t="n">
        <v>50296</v>
      </c>
      <c r="C665" t="inlineStr">
        <is>
          <t>GEMCITABINE HYDROCHLORIDE INJECTION, SOLUTION, CONCENTRATE PARENTERAL 38 mg/1 mL 52.6 mL</t>
        </is>
      </c>
      <c r="E665" t="inlineStr">
        <is>
          <t>فقط تی‌تک</t>
        </is>
      </c>
    </row>
    <row r="666">
      <c r="A666" t="n">
        <v>665</v>
      </c>
      <c r="B666" t="n">
        <v>50297</v>
      </c>
      <c r="C666" t="inlineStr">
        <is>
          <t>METHOTREXATE SODIUM INJECTION PARENTERAL 25 mg/1mL 20 mL</t>
        </is>
      </c>
      <c r="D666" t="inlineStr">
        <is>
          <t>متوترکسات   تزريقي پرنترال 25 mg/1mL 20 mg - بهستان دارو</t>
        </is>
      </c>
      <c r="E666" t="inlineStr">
        <is>
          <t>تی‌تک و آریا</t>
        </is>
      </c>
    </row>
    <row r="667">
      <c r="A667" t="n">
        <v>666</v>
      </c>
      <c r="B667" t="n">
        <v>50298</v>
      </c>
      <c r="C667" t="inlineStr">
        <is>
          <t>DOCETAXEL INJECTION, SOLUTION INTRAVENOUS 10 mg/1mL 2 mL</t>
        </is>
      </c>
      <c r="E667" t="inlineStr">
        <is>
          <t>فقط تی‌تک</t>
        </is>
      </c>
    </row>
    <row r="668">
      <c r="A668" t="n">
        <v>667</v>
      </c>
      <c r="B668" t="n">
        <v>50299</v>
      </c>
      <c r="C668" t="inlineStr">
        <is>
          <t>DOCETAXEL INJECTION, SOLUTION INTRAVENOUS 10 mg/1mL 8 mL</t>
        </is>
      </c>
      <c r="E668" t="inlineStr">
        <is>
          <t>فقط تی‌تک</t>
        </is>
      </c>
    </row>
    <row r="669">
      <c r="A669" t="n">
        <v>668</v>
      </c>
      <c r="B669" t="n">
        <v>50308</v>
      </c>
      <c r="C669" t="inlineStr">
        <is>
          <t>ARTIFICIAL TEARS (CARBOMER) GEL OPHTHALMIC 0.25 % 0.5 g</t>
        </is>
      </c>
      <c r="E669" t="inlineStr">
        <is>
          <t>فقط تی‌تک</t>
        </is>
      </c>
    </row>
    <row r="670">
      <c r="A670" t="n">
        <v>669</v>
      </c>
      <c r="B670" t="n">
        <v>50309</v>
      </c>
      <c r="C670" t="inlineStr">
        <is>
          <t>ARTIFICIAL TEARS (CARBOMER) GEL OPHTHALMIC 0.25 % 10 g</t>
        </is>
      </c>
      <c r="E670" t="inlineStr">
        <is>
          <t>فقط تی‌تک</t>
        </is>
      </c>
    </row>
    <row r="671">
      <c r="A671" t="n">
        <v>670</v>
      </c>
      <c r="B671" t="n">
        <v>50330</v>
      </c>
      <c r="C671" t="inlineStr">
        <is>
          <t>FILGRASTIM INJECTION PARENTERAL 600 ug/1mL 0.2 mL</t>
        </is>
      </c>
      <c r="D671" t="inlineStr">
        <is>
          <t>تيناکيد   تزريقي پرنترال 600 ug/1mL 0.2 mL - آريا تينا ژن</t>
        </is>
      </c>
      <c r="E671" t="inlineStr">
        <is>
          <t>تی‌تک و آریا</t>
        </is>
      </c>
    </row>
    <row r="672">
      <c r="A672" t="n">
        <v>671</v>
      </c>
      <c r="B672" t="n">
        <v>50332</v>
      </c>
      <c r="C672" t="inlineStr">
        <is>
          <t>OSELTAMIVIR (AS PHOSPHATE) POWDER, FOR SOLUTION ORAL 30 mg/5mL 100 mL</t>
        </is>
      </c>
      <c r="D672" t="inlineStr">
        <is>
          <t>اسلتاميوير   پودر براي تهيه محلول خوراکي 30 mg/5mL 100 mL - ماه داروي تجهيز</t>
        </is>
      </c>
      <c r="E672" t="inlineStr">
        <is>
          <t>تی‌تک و آریا</t>
        </is>
      </c>
    </row>
    <row r="673">
      <c r="A673" t="n">
        <v>672</v>
      </c>
      <c r="B673" t="n">
        <v>50333</v>
      </c>
      <c r="C673" t="inlineStr">
        <is>
          <t>DARUNAVIR (AS ETHANOLATE) TABLET ORAL 150 mg</t>
        </is>
      </c>
      <c r="D673" t="inlineStr">
        <is>
          <t>داروناوير   قرص خوراکي 150 mg  [Amb'a'1'U] - ماه داروي تجهيز</t>
        </is>
      </c>
      <c r="E673" t="inlineStr">
        <is>
          <t>تی‌تک و آریا</t>
        </is>
      </c>
    </row>
    <row r="674">
      <c r="A674" t="n">
        <v>673</v>
      </c>
      <c r="B674" t="n">
        <v>50337</v>
      </c>
      <c r="C674" t="inlineStr">
        <is>
          <t>POLIOMYELITIS VACCINE SOLUTION ORAL 20 {dose}</t>
        </is>
      </c>
      <c r="D674" t="inlineStr">
        <is>
          <t>بيوپوليو   محلول خوراکي 20 {dose}  {dose} - پويش درمان راتا</t>
        </is>
      </c>
      <c r="E674" t="inlineStr">
        <is>
          <t>تی‌تک و آریا</t>
        </is>
      </c>
    </row>
    <row r="675">
      <c r="A675" t="n">
        <v>674</v>
      </c>
      <c r="B675" t="n">
        <v>50346</v>
      </c>
      <c r="C675" t="inlineStr">
        <is>
          <t>LEUPRORELIN ACETATE INJECTION, POWDER, FOR SUSPENSION, EXTENDED RELEASE PARENTERAL 22.5 mg</t>
        </is>
      </c>
      <c r="D675" t="inlineStr">
        <is>
          <t>اليگارد   پودر براي تهيه سوسپانسيون تزريقي پيوسته رهش پرنترال 22.5 mg  mg - بهستان دارو</t>
        </is>
      </c>
      <c r="E675" t="inlineStr">
        <is>
          <t>تی‌تک و آریا</t>
        </is>
      </c>
    </row>
    <row r="676">
      <c r="A676" t="n">
        <v>675</v>
      </c>
      <c r="B676" t="n">
        <v>50359</v>
      </c>
      <c r="C676" t="inlineStr">
        <is>
          <t>AMINO ACID / LIPID / GLUCOSE (1-1) INJECTION, EMULSION INTRAVENOUS 32 g/8 g/6.41 g/4.34 g/1.28 g/2.21 g/3.07 g/2.64 g/2.21 g/3.07 g/3.48 g/2.21 g/3.07 g/2.64 g/1.75 g/2.21 g/0.74 g/0.11 g/2.83 g/1.5 g/3.67 g/2.24 g/0.81 g/0.52 g/140 g/1000 mL 2000 mL</t>
        </is>
      </c>
      <c r="D676" t="inlineStr">
        <is>
          <t>اليمل ان7اي   امولسيون تزريقي داخل وريدي 2000 mL - کار و انديشه</t>
        </is>
      </c>
      <c r="E676" t="inlineStr">
        <is>
          <t>تی‌تک و آریا</t>
        </is>
      </c>
    </row>
    <row r="677">
      <c r="A677" t="n">
        <v>676</v>
      </c>
      <c r="B677" t="n">
        <v>50360</v>
      </c>
      <c r="C677" t="inlineStr">
        <is>
          <t>AMINO ACID / LIPID / GLUCOSE (2-1) INJECTION, EMULSION INTRAVENOUS 32 g/8 g/8.24 g/5.58 g/1.65 g/2.84 g/3.95 g/3.4 g/2.84 g/3.95 g/4.48 g/2.84 g/3.95 g/3.4 g/2.25 g/2.84 g/0.95 g/0.15 g/3.64 g/1.5 g/3.67 g/2.24 g/0.81 g/0.52 g/110 g/1000mL 2000 mL</t>
        </is>
      </c>
      <c r="D677" t="inlineStr">
        <is>
          <t>اليمل ان9اي   امولسيون تزريقي داخل وريدي 2000 mL - کار و انديشه</t>
        </is>
      </c>
      <c r="E677" t="inlineStr">
        <is>
          <t>تی‌تک و آریا</t>
        </is>
      </c>
    </row>
    <row r="678">
      <c r="A678" t="n">
        <v>677</v>
      </c>
      <c r="B678" t="n">
        <v>50366</v>
      </c>
      <c r="C678" t="inlineStr">
        <is>
          <t>AMINO ACID / LIPID / GLUCOSE (3-1) INJECTION, EMULSION INTRAVENOUS 24 g/6 g/3.66 g/2.48 g/0.73 g/1.26 g/1.76 g/1.51 g/1.26 g/1.76 g/1.99 g/1.26 g/1.76 g/1.51 g/1 g/1.26 g/0.42 g/0.06 g/1.62 g/1.16 g/1.91 g/1.19 g/0.45 g/0.3 g/75 g/1000mL 1500 mL</t>
        </is>
      </c>
      <c r="D678" t="inlineStr">
        <is>
          <t>پري اليمل ان4اي   امولسيون تزريقي داخل وريدي 1500 mL - کار و انديشه</t>
        </is>
      </c>
      <c r="E678" t="inlineStr">
        <is>
          <t>تی‌تک و آریا</t>
        </is>
      </c>
    </row>
    <row r="679">
      <c r="A679" t="n">
        <v>678</v>
      </c>
      <c r="B679" t="n">
        <v>50367</v>
      </c>
      <c r="C679" t="inlineStr">
        <is>
          <t>AMINO ACID / LIPID / GLUCOSE (3-1) INJECTION, EMULSION INTRAVENOUS 24 g/6 g/3.66 g/2.48 g/0.73 g/1.26 g/1.76 g/1.51 g/1.26 g/1.76 g/1.99 g/1.26 g/1.76 g/1.51 g/1 g/1.26 g/0.42 g/0.06 g/1.62 g/1.16 g/1.91 g/1.19 g/0.45 g/0.3 g/75 g/1000mL 2000 mL</t>
        </is>
      </c>
      <c r="D679" t="inlineStr">
        <is>
          <t>پري اليمل ان4اي   امولسيون تزريقي داخل وريدي 2000 mL - کار و انديشه</t>
        </is>
      </c>
      <c r="E679" t="inlineStr">
        <is>
          <t>تی‌تک و آریا</t>
        </is>
      </c>
    </row>
    <row r="680">
      <c r="A680" t="n">
        <v>679</v>
      </c>
      <c r="B680" t="n">
        <v>50371</v>
      </c>
      <c r="C680" t="inlineStr">
        <is>
          <t>LEVOFLOXACIN HEMIHYDRATE SOLUTION, DROPS OPHTHALMIC 0.5 % 0.3 mL</t>
        </is>
      </c>
      <c r="D680" t="inlineStr">
        <is>
          <t>آفتاکوييکس   محلول، قطره چشمي 0.5 % 0.3 mL - راسن درمان</t>
        </is>
      </c>
      <c r="E680" t="inlineStr">
        <is>
          <t>تی‌تک و آریا</t>
        </is>
      </c>
    </row>
    <row r="681">
      <c r="A681" t="n">
        <v>680</v>
      </c>
      <c r="B681" t="n">
        <v>50382</v>
      </c>
      <c r="C681" t="inlineStr">
        <is>
          <t>ROPIVACAINE HYDROCHLORIDE INJECTION, SOLUTION PARENTERAL 2 mg/1 mL 100 mL</t>
        </is>
      </c>
      <c r="D681" t="inlineStr">
        <is>
          <t>روپيواکائين کابي   محلول تزريقي پرنترال 2 mg/1 mL 100 mg - درمان ياب دارو</t>
        </is>
      </c>
      <c r="E681" t="inlineStr">
        <is>
          <t>تی‌تک و آریا</t>
        </is>
      </c>
    </row>
    <row r="682">
      <c r="A682" t="n">
        <v>681</v>
      </c>
      <c r="B682" t="n">
        <v>50415</v>
      </c>
      <c r="C682" t="inlineStr">
        <is>
          <t>MEASLES / MUMPS / RUBELLA VACCINE INJECTION, POWDER, LYOPHILIZED, FOR SOLUTION PARENTERAL 5 {dose} 2.5 mL</t>
        </is>
      </c>
      <c r="D682" t="inlineStr">
        <is>
          <t>واکسن زنده تخفيف حدت يافته سرخک، اوريون و سرخجه   پودر لئوفيليزه براي تهيه محلول تزريقي پرنترال 5 {dose} 2.5 {dose} - موسسه تحقيقات واکسن وسرم سازي رازي</t>
        </is>
      </c>
      <c r="E682" t="inlineStr">
        <is>
          <t>تی‌تک و آریا</t>
        </is>
      </c>
    </row>
    <row r="683">
      <c r="A683" t="n">
        <v>682</v>
      </c>
      <c r="B683" t="n">
        <v>50429</v>
      </c>
      <c r="C683" t="inlineStr">
        <is>
          <t>ARTIFICIAL TEARS SOLUTION OPHTHALMIC 3.2 mg/1mL 0.5 mL</t>
        </is>
      </c>
      <c r="D683" t="inlineStr">
        <is>
          <t>آرتلاک   محلول چشمي 3.2 mg/1mL 0.5 mg</t>
        </is>
      </c>
      <c r="E683" t="inlineStr">
        <is>
          <t>تی‌تک و آریا</t>
        </is>
      </c>
    </row>
    <row r="684">
      <c r="A684" t="n">
        <v>683</v>
      </c>
      <c r="B684" t="n">
        <v>50460</v>
      </c>
      <c r="C684" t="inlineStr">
        <is>
          <t>GADODIAMIDE INJECTION PARENTERAL 287 mg/1mL 10 mL</t>
        </is>
      </c>
      <c r="D684" t="inlineStr">
        <is>
          <t>امني اسکن   تزريقي پرنترال 287 mg/1mL 10 g - اهران تجارت</t>
        </is>
      </c>
      <c r="E684" t="inlineStr">
        <is>
          <t>تی‌تک و آریا</t>
        </is>
      </c>
    </row>
    <row r="685">
      <c r="A685" t="n">
        <v>684</v>
      </c>
      <c r="B685" t="n">
        <v>50461</v>
      </c>
      <c r="C685" t="inlineStr">
        <is>
          <t>GADODIAMIDE INJECTION PARENTERAL 287 mg/1mL 20 mL</t>
        </is>
      </c>
      <c r="D685" t="inlineStr">
        <is>
          <t>امني اسکن   تزريقي پرنترال 287 mg/1mL 20 g - اهران تجارت</t>
        </is>
      </c>
      <c r="E685" t="inlineStr">
        <is>
          <t>تی‌تک و آریا</t>
        </is>
      </c>
    </row>
    <row r="686">
      <c r="A686" t="n">
        <v>685</v>
      </c>
      <c r="B686" t="n">
        <v>50472</v>
      </c>
      <c r="C686" t="inlineStr">
        <is>
          <t>LEVETIRACETAM INJECTION, SOLUTION PARENTERAL 5 mg/1mL 100 mL</t>
        </is>
      </c>
      <c r="D686" t="inlineStr">
        <is>
          <t>کوزي   محلول تزريقي پرنترال 5 mg/1mL 100 mg - استراژن دارو</t>
        </is>
      </c>
      <c r="E686" t="inlineStr">
        <is>
          <t>تی‌تک و آریا</t>
        </is>
      </c>
    </row>
    <row r="687">
      <c r="A687" t="n">
        <v>686</v>
      </c>
      <c r="B687" t="n">
        <v>50473</v>
      </c>
      <c r="C687" t="inlineStr">
        <is>
          <t>NEVIRAPINE SUSPENSION ORAL 50 mg/5mL 100 mL</t>
        </is>
      </c>
      <c r="D687" t="inlineStr">
        <is>
          <t>نويراپين   سوسپانسيون خوراکي 50 mg/5mL 100 [Amb'a'1'U] - ماه داروي تجهيز</t>
        </is>
      </c>
      <c r="E687" t="inlineStr">
        <is>
          <t>تی‌تک و آریا</t>
        </is>
      </c>
    </row>
    <row r="688">
      <c r="A688" t="n">
        <v>687</v>
      </c>
      <c r="B688" t="n">
        <v>50485</v>
      </c>
      <c r="C688" t="inlineStr">
        <is>
          <t>SODIUM TETRADECYL SULFATE INJECTION PARENTERAL 0.2 % 5 mL</t>
        </is>
      </c>
      <c r="D688" t="inlineStr">
        <is>
          <t>فيبرووين   تزريقي پرنترال 0.2 % 5 mg - سينا پيشگام دارو نوين</t>
        </is>
      </c>
      <c r="E688" t="inlineStr">
        <is>
          <t>تی‌تک و آریا</t>
        </is>
      </c>
    </row>
    <row r="689">
      <c r="A689" t="n">
        <v>688</v>
      </c>
      <c r="B689" t="n">
        <v>50494</v>
      </c>
      <c r="C689" t="inlineStr">
        <is>
          <t>POTASSIUM CHLORIDE CONCENTRATED INJECTION, SOLUTION, CONCENTRATE INTRAVENOUS 1 meq/1mL 50 mL</t>
        </is>
      </c>
      <c r="D689" t="inlineStr">
        <is>
          <t>پتاسيم کلرايد   محلول غليظ تزريقي داخل وريدي 1 meq/1mL 50 mL - داروسازي ابوريحان</t>
        </is>
      </c>
      <c r="E689" t="inlineStr">
        <is>
          <t>تی‌تک و آریا</t>
        </is>
      </c>
    </row>
    <row r="690">
      <c r="A690" t="n">
        <v>689</v>
      </c>
      <c r="B690" t="n">
        <v>50505</v>
      </c>
      <c r="C690" t="inlineStr">
        <is>
          <t>IOPROMIDE INJECTION PARENTERAL 370 mg/1mL 20 mL</t>
        </is>
      </c>
      <c r="D690" t="inlineStr">
        <is>
          <t>آيوپرومايد   تزريقي پرنترال 370 mg/1mL 20 mL - هيراد فارمد</t>
        </is>
      </c>
      <c r="E690" t="inlineStr">
        <is>
          <t>تی‌تک و آریا</t>
        </is>
      </c>
    </row>
    <row r="691">
      <c r="A691" t="n">
        <v>690</v>
      </c>
      <c r="B691" t="n">
        <v>50528</v>
      </c>
      <c r="C691" t="inlineStr">
        <is>
          <t>ACETYLCYSTEINE SOLUTION RESPIRATORY 100 mg/1mL 3 mL</t>
        </is>
      </c>
      <c r="D691" t="inlineStr">
        <is>
          <t>فلويموسيل   محلول استنشاقي 100 mg/1mL 3 mg - درمان ياب آنا</t>
        </is>
      </c>
      <c r="E691" t="inlineStr">
        <is>
          <t>تی‌تک و آریا</t>
        </is>
      </c>
    </row>
    <row r="692">
      <c r="A692" t="n">
        <v>691</v>
      </c>
      <c r="B692" t="n">
        <v>50541</v>
      </c>
      <c r="C692" t="inlineStr">
        <is>
          <t>LEUPRORELIN ACETATE INJECTION, POWDER, FOR SUSPENSION, EXTENDED RELEASE PARENTERAL 45 mg</t>
        </is>
      </c>
      <c r="D692" t="inlineStr">
        <is>
          <t>اليگارد   پودر براي تهيه سوسپانسيون تزريقي پيوسته رهش پرنترال 45 mg  mg - بهستان دارو</t>
        </is>
      </c>
      <c r="E692" t="inlineStr">
        <is>
          <t>تی‌تک و آریا</t>
        </is>
      </c>
    </row>
    <row r="693">
      <c r="A693" t="n">
        <v>692</v>
      </c>
      <c r="B693" t="n">
        <v>50615</v>
      </c>
      <c r="C693" t="inlineStr">
        <is>
          <t>ARTESUNATE SUPPOSITORY RECTAL 50 mg</t>
        </is>
      </c>
      <c r="D693" t="inlineStr">
        <is>
          <t>آرتسونيت   شياف مقعدي 50 mg - اريکه تجارت ويستا</t>
        </is>
      </c>
      <c r="E693" t="inlineStr">
        <is>
          <t>تی‌تک و آریا</t>
        </is>
      </c>
    </row>
    <row r="694">
      <c r="A694" t="n">
        <v>693</v>
      </c>
      <c r="B694" t="n">
        <v>50618</v>
      </c>
      <c r="C694" t="inlineStr">
        <is>
          <t>ARTIFICIAL SALIVA SPRAY ORAL  40 mL</t>
        </is>
      </c>
      <c r="D694" t="inlineStr">
        <is>
          <t>کين هيدرات   اسپري خوراکي  40 mL - داروئي بهداشتي ليوار</t>
        </is>
      </c>
      <c r="E694" t="inlineStr">
        <is>
          <t>تی‌تک و آریا</t>
        </is>
      </c>
    </row>
    <row r="695">
      <c r="A695" t="n">
        <v>694</v>
      </c>
      <c r="B695" t="n">
        <v>50627</v>
      </c>
      <c r="C695" t="inlineStr">
        <is>
          <t>BOTULISM ANTITOXIN MONOVALENT TYPE A (EQUINE) INJECTION PARENTERAL 5000 [iU]/1mL 10 mL</t>
        </is>
      </c>
      <c r="D695" t="inlineStr">
        <is>
          <t>زابوت- آ   تزريقي پرنترال 5000 [iU]/1mL 10 [iU] - داروسازي مصون دارو</t>
        </is>
      </c>
      <c r="E695" t="inlineStr">
        <is>
          <t>تی‌تک و آریا</t>
        </is>
      </c>
    </row>
    <row r="696">
      <c r="A696" t="n">
        <v>695</v>
      </c>
      <c r="B696" t="n">
        <v>50642</v>
      </c>
      <c r="C696" t="inlineStr">
        <is>
          <t>SODIUM CHLORIDE SOLUTION, DROPS OPHTHALMIC 5 % 0.5 mL</t>
        </is>
      </c>
      <c r="D696" t="inlineStr">
        <is>
          <t>ناتريپيک   محلول، قطره چشمي 5 % 0.5 mL - فرآورده هاي تزريقي و دارويي ايران</t>
        </is>
      </c>
      <c r="E696" t="inlineStr">
        <is>
          <t>تی‌تک و آریا</t>
        </is>
      </c>
    </row>
    <row r="697">
      <c r="A697" t="n">
        <v>696</v>
      </c>
      <c r="B697" t="n">
        <v>50694</v>
      </c>
      <c r="C697" t="inlineStr">
        <is>
          <t>INOSINE MONOPHOSPHATE DISODIUM SOLUTION, DROPS OPHTHALMIC 0.1 % 10 mL</t>
        </is>
      </c>
      <c r="D697" t="inlineStr">
        <is>
          <t>کاتاکول کوليره   محلول، قطره چشمي 0.1 % 10 [Amb'a'1'U] - فوريتهاي سينا آرات گستر</t>
        </is>
      </c>
      <c r="E697" t="inlineStr">
        <is>
          <t>تی‌تک و آریا</t>
        </is>
      </c>
    </row>
    <row r="698">
      <c r="A698" t="n">
        <v>697</v>
      </c>
      <c r="B698" t="n">
        <v>50695</v>
      </c>
      <c r="C698" t="inlineStr">
        <is>
          <t>ESTRADIOL HEMIHYDRATE / LEVONORGESTREL PATCH TRANSDERMAL 1.5 mg/0.525 mg/15cm2</t>
        </is>
      </c>
      <c r="D698" t="inlineStr">
        <is>
          <t>فم   پچ از راه پوستي 1.5 mg/0.525 mg/15cm2  [Amb'a'1'U] - فوريتهاي سينا آرات گستر</t>
        </is>
      </c>
      <c r="E698" t="inlineStr">
        <is>
          <t>تی‌تک و آریا</t>
        </is>
      </c>
    </row>
    <row r="699">
      <c r="A699" t="n">
        <v>698</v>
      </c>
      <c r="B699" t="n">
        <v>50710</v>
      </c>
      <c r="C699" t="inlineStr">
        <is>
          <t>MYCOPHENOLATE MOFETIL POWDER, FOR SUSPENSION ORAL 1 g/5mL 110 g</t>
        </is>
      </c>
      <c r="D699" t="inlineStr">
        <is>
          <t>سل سپت   پودر براي تهيه سوسپانسيون   خوراکي 1 g/5mL 110 mg - بازرگاني سها کيش</t>
        </is>
      </c>
      <c r="E699" t="inlineStr">
        <is>
          <t>تی‌تک و آریا</t>
        </is>
      </c>
    </row>
    <row r="700">
      <c r="A700" t="n">
        <v>699</v>
      </c>
      <c r="B700" t="n">
        <v>50727</v>
      </c>
      <c r="C700" t="inlineStr">
        <is>
          <t>AMISULPRIDE TABLET ORAL 400 mg</t>
        </is>
      </c>
      <c r="D700" t="inlineStr">
        <is>
          <t>آمي سولپرايد   قرص خوراکي 400 mg - بازرگاني سها کيش</t>
        </is>
      </c>
      <c r="E700" t="inlineStr">
        <is>
          <t>تی‌تک و آریا</t>
        </is>
      </c>
    </row>
    <row r="701">
      <c r="A701" t="n">
        <v>700</v>
      </c>
      <c r="B701" t="n">
        <v>50757</v>
      </c>
      <c r="C701" t="inlineStr">
        <is>
          <t>ROTIGOTINE PATCH TRANSDERMAL 13.5 mg/30cm2</t>
        </is>
      </c>
      <c r="D701" t="inlineStr">
        <is>
          <t>نئوپرو   پچ از راه پوستي 13.5 mg/30cm2  [Amb'a'1'U] - فوريتهاي سينا آرات گستر</t>
        </is>
      </c>
      <c r="E701" t="inlineStr">
        <is>
          <t>تی‌تک و آریا</t>
        </is>
      </c>
    </row>
    <row r="702">
      <c r="A702" t="n">
        <v>701</v>
      </c>
      <c r="B702" t="n">
        <v>50758</v>
      </c>
      <c r="C702" t="inlineStr">
        <is>
          <t>LENVATINIB (AS MESILATE) CAPSULE ORAL 10 mg</t>
        </is>
      </c>
      <c r="D702" t="inlineStr">
        <is>
          <t>لنتريس   کپسول خوراکي 10 mg - رايان دارو ايرانيان</t>
        </is>
      </c>
      <c r="E702" t="inlineStr">
        <is>
          <t>تی‌تک و آریا</t>
        </is>
      </c>
    </row>
    <row r="703">
      <c r="A703" t="n">
        <v>702</v>
      </c>
      <c r="B703" t="n">
        <v>50760</v>
      </c>
      <c r="C703" t="inlineStr">
        <is>
          <t>ARTIFICIAL TEAR SOLUTION, DROPS OPHTHALMIC /1mL 10 mL</t>
        </is>
      </c>
      <c r="D703" t="inlineStr">
        <is>
          <t>کاتيونورم ام دي   محلول، قطره چشمي /1mL 10 mL - بازرگاني سها کيش</t>
        </is>
      </c>
      <c r="E703" t="inlineStr">
        <is>
          <t>تی‌تک و آریا</t>
        </is>
      </c>
    </row>
    <row r="704">
      <c r="A704" t="n">
        <v>703</v>
      </c>
      <c r="B704" t="n">
        <v>50765</v>
      </c>
      <c r="C704" t="inlineStr">
        <is>
          <t>MEPOLIZOMAB INJECTION, POWDER, FOR SOLUTION PARENTERAL 100 mg</t>
        </is>
      </c>
      <c r="D704" t="inlineStr">
        <is>
          <t>نوکالا   پودر براي تهيه محلول تزريقي پرنترال 100 mg  mg - کي بي سي</t>
        </is>
      </c>
      <c r="E704" t="inlineStr">
        <is>
          <t>تی‌تک و آریا</t>
        </is>
      </c>
    </row>
    <row r="705">
      <c r="A705" t="n">
        <v>704</v>
      </c>
      <c r="B705" t="n">
        <v>50771</v>
      </c>
      <c r="C705" t="inlineStr">
        <is>
          <t>DALFAMPRIDINE TABLET ORAL 10 mg</t>
        </is>
      </c>
      <c r="D705" t="inlineStr">
        <is>
          <t>فامپيرا   قرص خوراکي 10 mg  [Amb'a'1'U] - فوريتهاي سينا آرات گستر</t>
        </is>
      </c>
      <c r="E705" t="inlineStr">
        <is>
          <t>تی‌تک و آریا</t>
        </is>
      </c>
    </row>
    <row r="706">
      <c r="A706" t="n">
        <v>705</v>
      </c>
      <c r="B706" t="n">
        <v>50772</v>
      </c>
      <c r="C706" t="inlineStr">
        <is>
          <t>BEXAROTENE GEL TOPICAL 1 % 60 g</t>
        </is>
      </c>
      <c r="D706" t="inlineStr">
        <is>
          <t>تارگرتين   ژل موضعي 1 % 60 g - فوريتهاي سينا آرات گستر</t>
        </is>
      </c>
      <c r="E706" t="inlineStr">
        <is>
          <t>تی‌تک و آریا</t>
        </is>
      </c>
    </row>
    <row r="707">
      <c r="A707" t="n">
        <v>706</v>
      </c>
      <c r="B707" t="n">
        <v>50821</v>
      </c>
      <c r="C707" t="inlineStr">
        <is>
          <t>FOLLITROPIN BETA INJECTION, SOLUTION PARENTERAL 833 [iU]/1mL 0.36 mL</t>
        </is>
      </c>
      <c r="D707" t="inlineStr">
        <is>
          <t>پيورگون   محلول تزريقي پرنترال 833 [iU]/1mL 0.36 [iU] - بهستان دارو</t>
        </is>
      </c>
      <c r="E707" t="inlineStr">
        <is>
          <t>تی‌تک و آریا</t>
        </is>
      </c>
    </row>
    <row r="708">
      <c r="A708" t="n">
        <v>707</v>
      </c>
      <c r="B708" t="n">
        <v>50822</v>
      </c>
      <c r="C708" t="inlineStr">
        <is>
          <t>FOLLITROPIN BETA INJECTION, SOLUTION PARENTERAL 833 [iU]/1mL 0.72 mL</t>
        </is>
      </c>
      <c r="D708" t="inlineStr">
        <is>
          <t>پيورگون   محلول تزريقي پرنترال 833 [iU]/1mL 0.72 [iU] - بهستان دارو</t>
        </is>
      </c>
      <c r="E708" t="inlineStr">
        <is>
          <t>تی‌تک و آریا</t>
        </is>
      </c>
    </row>
    <row r="709">
      <c r="A709" t="n">
        <v>708</v>
      </c>
      <c r="B709" t="n">
        <v>50837</v>
      </c>
      <c r="C709" t="inlineStr">
        <is>
          <t>C1-ESTRASE INHIBITOR INJECTION, POWDER, FOR SOLUTION PARENTERAL 500 [iU]</t>
        </is>
      </c>
      <c r="E709" t="inlineStr">
        <is>
          <t>فقط تی‌تک</t>
        </is>
      </c>
    </row>
    <row r="710">
      <c r="A710" t="n">
        <v>709</v>
      </c>
      <c r="B710" t="n">
        <v>50838</v>
      </c>
      <c r="C710" t="inlineStr">
        <is>
          <t>CYCLOPENTOLATE HYDROCHLORIDE SOLUTION OPHTHALMIC 1 % 5 mL</t>
        </is>
      </c>
      <c r="D710" t="inlineStr">
        <is>
          <t>سيکلوپلژي   محلول چشمي 1 % 5 mL - بازرگاني سها کيش</t>
        </is>
      </c>
      <c r="E710" t="inlineStr">
        <is>
          <t>تی‌تک و آریا</t>
        </is>
      </c>
    </row>
    <row r="711">
      <c r="A711" t="n">
        <v>710</v>
      </c>
      <c r="B711" t="n">
        <v>50878</v>
      </c>
      <c r="C711" t="inlineStr">
        <is>
          <t>CERITINIB CAPSULE ORAL 150 mg</t>
        </is>
      </c>
      <c r="D711" t="inlineStr">
        <is>
          <t>زايکاديا   کپسول خوراکي 150 mg  mg - رايان دارو ايرانيان</t>
        </is>
      </c>
      <c r="E711" t="inlineStr">
        <is>
          <t>تی‌تک و آریا</t>
        </is>
      </c>
    </row>
    <row r="712">
      <c r="A712" t="n">
        <v>711</v>
      </c>
      <c r="B712" t="n">
        <v>50891</v>
      </c>
      <c r="C712" t="inlineStr">
        <is>
          <t>LENVATINIB (AS MESILATE) CAPSULE ORAL 4 mg</t>
        </is>
      </c>
      <c r="D712" t="inlineStr">
        <is>
          <t>لنتريس   کپسول خوراکي 4 mg - رايان دارو ايرانيان</t>
        </is>
      </c>
      <c r="E712" t="inlineStr">
        <is>
          <t>تی‌تک و آریا</t>
        </is>
      </c>
    </row>
    <row r="713">
      <c r="A713" t="n">
        <v>712</v>
      </c>
      <c r="B713" t="n">
        <v>50893</v>
      </c>
      <c r="C713" t="inlineStr">
        <is>
          <t>IMMUNE GLOBULIN INJECTION INTRAVENOUS 50 mg/1mL 200 mL</t>
        </is>
      </c>
      <c r="D713" t="inlineStr">
        <is>
          <t>آي جي ونا   تزريقي داخل وريدي 50 mg/1mL 200 g - بهستان دارو</t>
        </is>
      </c>
      <c r="E713" t="inlineStr">
        <is>
          <t>تی‌تک و آریا</t>
        </is>
      </c>
    </row>
    <row r="714">
      <c r="A714" t="n">
        <v>713</v>
      </c>
      <c r="B714" t="n">
        <v>50894</v>
      </c>
      <c r="C714" t="inlineStr">
        <is>
          <t>IMMUNE GLOBULIN INJECTION INTRAVENOUS 50 mg/1mL 20 mL</t>
        </is>
      </c>
      <c r="D714" t="inlineStr">
        <is>
          <t>آي جي ونا   تزريقي داخل وريدي 50 mg/1mL 20 g - بهستان دارو</t>
        </is>
      </c>
      <c r="E714" t="inlineStr">
        <is>
          <t>تی‌تک و آریا</t>
        </is>
      </c>
    </row>
    <row r="715">
      <c r="A715" t="n">
        <v>714</v>
      </c>
      <c r="B715" t="n">
        <v>50895</v>
      </c>
      <c r="C715" t="inlineStr">
        <is>
          <t>SODIUM IODIDE (SUP131/SUPI) SOLUTION ORAL 100 mCi</t>
        </is>
      </c>
      <c r="D715" t="inlineStr">
        <is>
          <t>سديم آيدايد (يد131)   محلول خوراکي 100 mCi  mCi - پارس ايزوتوپ</t>
        </is>
      </c>
      <c r="E715" t="inlineStr">
        <is>
          <t>تی‌تک و آریا</t>
        </is>
      </c>
    </row>
    <row r="716">
      <c r="A716" t="n">
        <v>715</v>
      </c>
      <c r="B716" t="n">
        <v>50908</v>
      </c>
      <c r="C716" t="inlineStr">
        <is>
          <t>TOCILIZUMAB INJECTION, SOLUTION, CONCENTRATE PARENTERAL 20 mg/1mL 10 mL</t>
        </is>
      </c>
      <c r="D716" t="inlineStr">
        <is>
          <t>آکتمرا   محلول غليظ تزريقي پرنترال 20 mg/1mL 10 mg - بازرگاني سها کيش</t>
        </is>
      </c>
      <c r="E716" t="inlineStr">
        <is>
          <t>تی‌تک و آریا</t>
        </is>
      </c>
    </row>
    <row r="717">
      <c r="A717" t="n">
        <v>716</v>
      </c>
      <c r="B717" t="n">
        <v>50913</v>
      </c>
      <c r="C717" t="inlineStr">
        <is>
          <t>RUXOLITINIB (AS PHOSPHATE) TABLET ORAL 10 mg</t>
        </is>
      </c>
      <c r="D717" t="inlineStr">
        <is>
          <t>جاکاوي   قرص خوراکي 10 mg  [Amb'a'1'U] - فوريتهاي سينا آرات گستر</t>
        </is>
      </c>
      <c r="E717" t="inlineStr">
        <is>
          <t>تی‌تک و آریا</t>
        </is>
      </c>
    </row>
    <row r="718">
      <c r="A718" t="n">
        <v>717</v>
      </c>
      <c r="B718" t="n">
        <v>50914</v>
      </c>
      <c r="C718" t="inlineStr">
        <is>
          <t>RUXOLITINIB (AS PHOSPHATE) TABLET ORAL 15 mg</t>
        </is>
      </c>
      <c r="D718" t="inlineStr">
        <is>
          <t>جاکاوي   قرص خوراکي 15 mg - بازرگاني سها کيش</t>
        </is>
      </c>
      <c r="E718" t="inlineStr">
        <is>
          <t>تی‌تک و آریا</t>
        </is>
      </c>
    </row>
    <row r="719">
      <c r="A719" t="n">
        <v>718</v>
      </c>
      <c r="B719" t="n">
        <v>50919</v>
      </c>
      <c r="C719" t="inlineStr">
        <is>
          <t>FUROSEMIDE SOLUTION ORAL 10 mg/1mL 120 mL</t>
        </is>
      </c>
      <c r="D719" t="inlineStr">
        <is>
          <t>لازيکس   محلول خوراکي 10 mg/1mL 120 mL - فوريتهاي سينا آرات گستر</t>
        </is>
      </c>
      <c r="E719" t="inlineStr">
        <is>
          <t>تی‌تک و آریا</t>
        </is>
      </c>
    </row>
    <row r="720">
      <c r="A720" t="n">
        <v>719</v>
      </c>
      <c r="B720" t="n">
        <v>50920</v>
      </c>
      <c r="C720" t="inlineStr">
        <is>
          <t>DIHYDROTESTOSTERONE GEL TOPICAL 2.5 % 80 g</t>
        </is>
      </c>
      <c r="D720" t="inlineStr">
        <is>
          <t>آندراستانولون   ژل موضعي 2.5 % 80 - فوريتهاي سينا آرات گستر</t>
        </is>
      </c>
      <c r="E720" t="inlineStr">
        <is>
          <t>تی‌تک و آریا</t>
        </is>
      </c>
    </row>
    <row r="721">
      <c r="A721" t="n">
        <v>720</v>
      </c>
      <c r="B721" t="n">
        <v>50927</v>
      </c>
      <c r="C721" t="inlineStr">
        <is>
          <t>RABIES IMMUNE GLOBULIN (HUMAN) INJECTION PARENTERAL 150 [iU]/1mL 5 mL</t>
        </is>
      </c>
      <c r="D721" t="inlineStr">
        <is>
          <t>بريرب پي   تزريقي پرنترال 150 [iU]/1mL 5 [iU] - اوين دارو</t>
        </is>
      </c>
      <c r="E721" t="inlineStr">
        <is>
          <t>تی‌تک و آریا</t>
        </is>
      </c>
    </row>
    <row r="722">
      <c r="A722" t="n">
        <v>721</v>
      </c>
      <c r="B722" t="n">
        <v>50936</v>
      </c>
      <c r="C722" t="inlineStr">
        <is>
          <t>METHENAMINE HIPPURATE TABLET ORAL 1 g</t>
        </is>
      </c>
      <c r="D722" t="inlineStr">
        <is>
          <t>هايپرکس   قرص خوراکي 1 g - بازرگاني سها کيش</t>
        </is>
      </c>
      <c r="E722" t="inlineStr">
        <is>
          <t>تی‌تک و آریا</t>
        </is>
      </c>
    </row>
    <row r="723">
      <c r="A723" t="n">
        <v>722</v>
      </c>
      <c r="B723" t="n">
        <v>50954</v>
      </c>
      <c r="C723" t="inlineStr">
        <is>
          <t>ALBUMIN (HUMAN) INJECTION, SOLUTION PARENTERAL 20 % 250 mL</t>
        </is>
      </c>
      <c r="D723" t="inlineStr">
        <is>
          <t>آلبومينا کدريون   محلول تزريقي پرنترال 20 % 250 g - گسترش بازرگاني دارو پخش</t>
        </is>
      </c>
      <c r="E723" t="inlineStr">
        <is>
          <t>تی‌تک و آریا</t>
        </is>
      </c>
    </row>
    <row r="724">
      <c r="A724" t="n">
        <v>723</v>
      </c>
      <c r="B724" t="n">
        <v>50993</v>
      </c>
      <c r="C724" t="inlineStr">
        <is>
          <t>PRAMIPEXOLE (AS DIHYDROCHLORIDE) TABLET, EXTENDED RELEASE ORAL 2.1 mg</t>
        </is>
      </c>
      <c r="D724" t="inlineStr">
        <is>
          <t>پرامي پکسول نورمون   قرص پيوسته رهش خوراکي 2.1 mg - تچرا دارو</t>
        </is>
      </c>
      <c r="E724" t="inlineStr">
        <is>
          <t>تی‌تک و آریا</t>
        </is>
      </c>
    </row>
    <row r="725">
      <c r="A725" t="n">
        <v>724</v>
      </c>
      <c r="B725" t="n">
        <v>51006</v>
      </c>
      <c r="C725" t="inlineStr">
        <is>
          <t>DIMETHYLGLYCINE CAPSULE ORAL 125 mg</t>
        </is>
      </c>
      <c r="D725" t="inlineStr">
        <is>
          <t>دي ام جي   کپسول خوراکي 125 mg  mg - شهاب درمان</t>
        </is>
      </c>
      <c r="E725" t="inlineStr">
        <is>
          <t>تی‌تک و آریا</t>
        </is>
      </c>
    </row>
    <row r="726">
      <c r="A726" t="n">
        <v>725</v>
      </c>
      <c r="B726" t="n">
        <v>51007</v>
      </c>
      <c r="C726" t="inlineStr">
        <is>
          <t>FENTANYL (AS CITRATE) TABLET SUBLINGUAL 100 ug</t>
        </is>
      </c>
      <c r="D726" t="inlineStr">
        <is>
          <t>آبسترال   قرص زيرزباني 100 ug - فوريتهاي سينا آرات گستر</t>
        </is>
      </c>
      <c r="E726" t="inlineStr">
        <is>
          <t>تی‌تک و آریا</t>
        </is>
      </c>
    </row>
    <row r="727">
      <c r="A727" t="n">
        <v>726</v>
      </c>
      <c r="B727" t="n">
        <v>51012</v>
      </c>
      <c r="C727" t="inlineStr">
        <is>
          <t>FACTOR VIII / VON WILLEBRAND FACTOR INJECTION, POWDER, LYOPHILIZED, FOR SOLUTION PARENTERAL 500 [iU]/500 [iU]</t>
        </is>
      </c>
      <c r="D727" t="inlineStr">
        <is>
          <t>ويليت   پودر لئوفيليزه براي تهيه محلول تزريقي پرنترال 500 [iU]/500 [iU]  [iU] - پالايش و پژوهش خون</t>
        </is>
      </c>
      <c r="E727" t="inlineStr">
        <is>
          <t>تی‌تک و آریا</t>
        </is>
      </c>
    </row>
    <row r="728">
      <c r="A728" t="n">
        <v>727</v>
      </c>
      <c r="B728" t="n">
        <v>51013</v>
      </c>
      <c r="C728" t="inlineStr">
        <is>
          <t>FENTANYL (AS CITRATE) TABLET SUBLINGUAL 200 ug</t>
        </is>
      </c>
      <c r="D728" t="inlineStr">
        <is>
          <t>آبسترال   قرص زيرزباني 200 ug - فوريتهاي سينا آرات گستر</t>
        </is>
      </c>
      <c r="E728" t="inlineStr">
        <is>
          <t>تی‌تک و آریا</t>
        </is>
      </c>
    </row>
    <row r="729">
      <c r="A729" t="n">
        <v>728</v>
      </c>
      <c r="B729" t="n">
        <v>51014</v>
      </c>
      <c r="C729" t="inlineStr">
        <is>
          <t>FENTANYL (AS CITRATE) TABLET SUBLINGUAL 300 ug</t>
        </is>
      </c>
      <c r="D729" t="inlineStr">
        <is>
          <t>آبسترال   قرص زيرزباني 300 ug - فوريتهاي سينا آرات گستر</t>
        </is>
      </c>
      <c r="E729" t="inlineStr">
        <is>
          <t>تی‌تک و آریا</t>
        </is>
      </c>
    </row>
    <row r="730">
      <c r="A730" t="n">
        <v>729</v>
      </c>
      <c r="B730" t="n">
        <v>51027</v>
      </c>
      <c r="C730" t="inlineStr">
        <is>
          <t>OLARATUMAB INJECTION PARENTERAL 10 mg/1mL 50 mL</t>
        </is>
      </c>
      <c r="D730" t="inlineStr">
        <is>
          <t>لارتروو   تزريقي پرنترال 10 mg/1mL 50 mg - شفاياب فردا</t>
        </is>
      </c>
      <c r="E730" t="inlineStr">
        <is>
          <t>تی‌تک و آریا</t>
        </is>
      </c>
    </row>
    <row r="731">
      <c r="A731" t="n">
        <v>730</v>
      </c>
      <c r="B731" t="n">
        <v>51031</v>
      </c>
      <c r="C731" t="inlineStr">
        <is>
          <t>HUMAN THROMBIN / FIBRINOGEN POWDER TOPICAL 500 [iU]</t>
        </is>
      </c>
      <c r="E731" t="inlineStr">
        <is>
          <t>فقط تی‌تک</t>
        </is>
      </c>
    </row>
    <row r="732">
      <c r="A732" t="n">
        <v>731</v>
      </c>
      <c r="B732" t="n">
        <v>51054</v>
      </c>
      <c r="C732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1250 mL</t>
        </is>
      </c>
      <c r="E732" t="inlineStr">
        <is>
          <t>فقط تی‌تک</t>
        </is>
      </c>
    </row>
    <row r="733">
      <c r="A733" t="n">
        <v>732</v>
      </c>
      <c r="B733" t="n">
        <v>51055</v>
      </c>
      <c r="C733" t="inlineStr">
        <is>
          <t>AMINO ACID / LIPID / GLUCOSE (1-2) INJECTION, EMULSION INTRAVENOUS 2.26 mg/3.01 mg/2.73 mg/1.88 mg/1.74 mg/2.5 mg/2.59 mg/1.62 mg/4.66 mg/1.58 mg/1.44 mg/3.37 mg/3.26 mg/2.88 mg/3.37 mg/0.54 mg/132 mg/0.781 mg/0.402 mg/0.222 mg/1.872 mg/2.747 mg/0.686 mg/0.47 mg/5.264 ug/20 mg/20 mg/1mL 1875 mL</t>
        </is>
      </c>
      <c r="E733" t="inlineStr">
        <is>
          <t>فقط تی‌تک</t>
        </is>
      </c>
    </row>
    <row r="734">
      <c r="A734" t="n">
        <v>733</v>
      </c>
      <c r="B734" t="n">
        <v>51060</v>
      </c>
      <c r="C734" t="inlineStr">
        <is>
          <t>ALEMTUZUMAB INJECTION, SOLUTION, CONCENTRATE INTRAVENOUS 10 mg/1mL 1.2 mL</t>
        </is>
      </c>
      <c r="D734" t="inlineStr">
        <is>
          <t>لمترادا   محلول غليظ تزريقي داخل وريدي 10 mg/1mL 1.2 mg - بازرگاني سها کيش</t>
        </is>
      </c>
      <c r="E734" t="inlineStr">
        <is>
          <t>تی‌تک و آریا</t>
        </is>
      </c>
    </row>
    <row r="735">
      <c r="A735" t="n">
        <v>734</v>
      </c>
      <c r="B735" t="n">
        <v>51061</v>
      </c>
      <c r="C735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1250 mL</t>
        </is>
      </c>
      <c r="E735" t="inlineStr">
        <is>
          <t>فقط تی‌تک</t>
        </is>
      </c>
    </row>
    <row r="736">
      <c r="A736" t="n">
        <v>735</v>
      </c>
      <c r="B736" t="n">
        <v>51062</v>
      </c>
      <c r="C736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1875 mL</t>
        </is>
      </c>
      <c r="E736" t="inlineStr">
        <is>
          <t>فقط تی‌تک</t>
        </is>
      </c>
    </row>
    <row r="737">
      <c r="A737" t="n">
        <v>736</v>
      </c>
      <c r="B737" t="n">
        <v>51063</v>
      </c>
      <c r="C737" t="inlineStr">
        <is>
          <t>AMINO ACID / LIPID / GLUCOSE (3-2) INJECTION, EMULSION INTRAVENOUS 1.87 mg/2.5 mg/2.27 mg/1.57 mg/1.46 mg/2.08 mg/2.16 mg/1.35 mg/3.88 mg/1.32 mg/1.2 mg/2.8 mg/2.72 mg/2.4 mg/2.81 mg/0.46 mg/70.4 mg/0.64 mg/0.865 mg/0.435 mg/0.936 mg/2.354 mg/0.515 mg/0.353 mg/5.3 ug/20 mg/20 mg/1mL 2500 mL</t>
        </is>
      </c>
      <c r="E737" t="inlineStr">
        <is>
          <t>فقط تی‌تک</t>
        </is>
      </c>
    </row>
    <row r="738">
      <c r="A738" t="n">
        <v>737</v>
      </c>
      <c r="B738" t="n">
        <v>51064</v>
      </c>
      <c r="C738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625 mL</t>
        </is>
      </c>
      <c r="E738" t="inlineStr">
        <is>
          <t>فقط تی‌تک</t>
        </is>
      </c>
    </row>
    <row r="739">
      <c r="A739" t="n">
        <v>738</v>
      </c>
      <c r="B739" t="n">
        <v>51065</v>
      </c>
      <c r="C739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1250 mL</t>
        </is>
      </c>
      <c r="E739" t="inlineStr">
        <is>
          <t>فقط تی‌تک</t>
        </is>
      </c>
    </row>
    <row r="740">
      <c r="A740" t="n">
        <v>739</v>
      </c>
      <c r="B740" t="n">
        <v>51066</v>
      </c>
      <c r="C740" t="inlineStr">
        <is>
          <t>AMINO ACID / LIPID / GLUCOSE (2-2) INJECTION, EMULSION INTRAVENOUS 3.28 mg/4.38 mg/3.98 mg/2.74 mg/2.54 mg/3.6 mg/3.78 mg/2.37 mg/6.79 mg/2.31 mg/2.1 mg/4.91 mg/4.76 mg/4.2 mg/4.92 mg/0.8 mg/158.4 mg/1.171 mg/0.378 mg/0.25 mg/2.496 mg/3.689 mg/0.91 mg/0.623 mg/7.02 ug/20 mg/20 mg/1mL 1875 mL</t>
        </is>
      </c>
      <c r="E740" t="inlineStr">
        <is>
          <t>فقط تی‌تک</t>
        </is>
      </c>
    </row>
    <row r="741">
      <c r="A741" t="n">
        <v>740</v>
      </c>
      <c r="B741" t="n">
        <v>51073</v>
      </c>
      <c r="C741" t="inlineStr">
        <is>
          <t>ARTESUNATE SUPPOSITORY RECTAL 200 mg</t>
        </is>
      </c>
      <c r="D741" t="inlineStr">
        <is>
          <t>آرتسونيت   شياف مقعدي 200 mg - اريکه تجارت ويستا</t>
        </is>
      </c>
      <c r="E741" t="inlineStr">
        <is>
          <t>تی‌تک و آریا</t>
        </is>
      </c>
    </row>
    <row r="742">
      <c r="A742" t="n">
        <v>741</v>
      </c>
      <c r="B742" t="n">
        <v>51074</v>
      </c>
      <c r="C742" t="inlineStr">
        <is>
          <t>ARTESUNATE INJECTION PARENTERAL 60 mg/1mL</t>
        </is>
      </c>
      <c r="D742" t="inlineStr">
        <is>
          <t>آرتسونيت   تزريقي پرنترال 60 mg/1mL  mg - بهسام آرا دارو</t>
        </is>
      </c>
      <c r="E742" t="inlineStr">
        <is>
          <t>تی‌تک و آریا</t>
        </is>
      </c>
    </row>
    <row r="743">
      <c r="A743" t="n">
        <v>742</v>
      </c>
      <c r="B743" t="n">
        <v>51078</v>
      </c>
      <c r="C743" t="inlineStr">
        <is>
          <t>GALLIUM (SUP67 / SUPGA) CITRATE INJECTION INTRAVENOUS 10 mCi</t>
        </is>
      </c>
      <c r="D743" t="inlineStr">
        <is>
          <t>گاليوم-67 سيترات   تزريقي داخل وريدي 10 mCi  mCi - پارس ايزوتوپ</t>
        </is>
      </c>
      <c r="E743" t="inlineStr">
        <is>
          <t>تی‌تک و آریا</t>
        </is>
      </c>
    </row>
    <row r="744">
      <c r="A744" t="n">
        <v>743</v>
      </c>
      <c r="B744" t="n">
        <v>51079</v>
      </c>
      <c r="C744" t="inlineStr">
        <is>
          <t>GALLIUM (SUP67 / SUPGA) CITRATE INJECTION INTRAVENOUS 5 mCi</t>
        </is>
      </c>
      <c r="D744" t="inlineStr">
        <is>
          <t>گاليوم-67 سيترات   تزريقي داخل وريدي 5 mCi  mCi - پارس ايزوتوپ</t>
        </is>
      </c>
      <c r="E744" t="inlineStr">
        <is>
          <t>تی‌تک و آریا</t>
        </is>
      </c>
    </row>
    <row r="745">
      <c r="A745" t="n">
        <v>744</v>
      </c>
      <c r="B745" t="n">
        <v>51084</v>
      </c>
      <c r="C745" t="inlineStr">
        <is>
          <t>IOBENGUANE (SUP131/SUPI) INJECTION, SOLUTION PARENTERAL 50 mCi</t>
        </is>
      </c>
      <c r="D745" t="inlineStr">
        <is>
          <t>متايدوبنزيل گوانيدين (يد -131)   محلول تزريقي پرنترال 50 mCi  mCi - پارس ايزوتوپ</t>
        </is>
      </c>
      <c r="E745" t="inlineStr">
        <is>
          <t>تی‌تک و آریا</t>
        </is>
      </c>
    </row>
    <row r="746">
      <c r="A746" t="n">
        <v>745</v>
      </c>
      <c r="B746" t="n">
        <v>51085</v>
      </c>
      <c r="C746" t="inlineStr">
        <is>
          <t>IOBENGUANE (SUP131/SUPI) INJECTION, SOLUTION PARENTERAL 0.5 mCi</t>
        </is>
      </c>
      <c r="D746" t="inlineStr">
        <is>
          <t>متايدوبنزيل گوانيدين (يد -131)   محلول تزريقي پرنترال 0.5 mCi  mCi - پارس ايزوتوپ</t>
        </is>
      </c>
      <c r="E746" t="inlineStr">
        <is>
          <t>تی‌تک و آریا</t>
        </is>
      </c>
    </row>
    <row r="747">
      <c r="A747" t="n">
        <v>746</v>
      </c>
      <c r="B747" t="n">
        <v>51086</v>
      </c>
      <c r="C747" t="inlineStr">
        <is>
          <t>SODIUM IODIDE (SUP131/SUPI) SOLUTION ORAL 150 mCi</t>
        </is>
      </c>
      <c r="D747" t="inlineStr">
        <is>
          <t>سديم آيدايد (يد131)   محلول خوراکي 150 mCi  mCi - پارس ايزوتوپ</t>
        </is>
      </c>
      <c r="E747" t="inlineStr">
        <is>
          <t>تی‌تک و آریا</t>
        </is>
      </c>
    </row>
    <row r="748">
      <c r="A748" t="n">
        <v>747</v>
      </c>
      <c r="B748" t="n">
        <v>51087</v>
      </c>
      <c r="C748" t="inlineStr">
        <is>
          <t>SODIUM IODIDE (SUP131/SUPI) SOLUTION ORAL 200 mCi</t>
        </is>
      </c>
      <c r="D748" t="inlineStr">
        <is>
          <t>سديم آيدايد (يد131)   محلول خوراکي 200 mCi  uCi - پارس ايزوتوپ</t>
        </is>
      </c>
      <c r="E748" t="inlineStr">
        <is>
          <t>تی‌تک و آریا</t>
        </is>
      </c>
    </row>
    <row r="749">
      <c r="A749" t="n">
        <v>748</v>
      </c>
      <c r="B749" t="n">
        <v>51088</v>
      </c>
      <c r="C749" t="inlineStr">
        <is>
          <t>SODIUM IODIDE (SUP131/SUPI) SOLUTION ORAL 50 mCi</t>
        </is>
      </c>
      <c r="D749" t="inlineStr">
        <is>
          <t>سديم آيدايد (يد131)   محلول خوراکي 50 mCi  uCi - پارس ايزوتوپ</t>
        </is>
      </c>
      <c r="E749" t="inlineStr">
        <is>
          <t>تی‌تک و آریا</t>
        </is>
      </c>
    </row>
    <row r="750">
      <c r="A750" t="n">
        <v>749</v>
      </c>
      <c r="B750" t="n">
        <v>51089</v>
      </c>
      <c r="C750" t="inlineStr">
        <is>
          <t>TECHNETIUM (SUP99M/SUPTC) MEDRONIC ACID INJECTION, POWDER, LYOPHILIZED, FOR SOLUTION INTRAVENOUS 300 mCi</t>
        </is>
      </c>
      <c r="D750" t="inlineStr">
        <is>
          <t>مدرونيت   پودر لئوفيليزه براي تهيه محلول تزريقي داخل وريدي 300 mCi  mg - پارس ايزوتوپ</t>
        </is>
      </c>
      <c r="E750" t="inlineStr">
        <is>
          <t>تی‌تک و آریا</t>
        </is>
      </c>
    </row>
    <row r="751">
      <c r="A751" t="n">
        <v>750</v>
      </c>
      <c r="B751" t="n">
        <v>51091</v>
      </c>
      <c r="C751" t="inlineStr">
        <is>
          <t>SODIUM IODIDE (SUP131/SUPI) CAPSULE ORAL 0.1 mCi</t>
        </is>
      </c>
      <c r="D751" t="inlineStr">
        <is>
          <t>سديم يدايد(يد-131)   کپسول خوراکي 0.1 mCi  uCi - پارس ايزوتوپ</t>
        </is>
      </c>
      <c r="E751" t="inlineStr">
        <is>
          <t>تی‌تک و آریا</t>
        </is>
      </c>
    </row>
    <row r="752">
      <c r="A752" t="n">
        <v>751</v>
      </c>
      <c r="B752" t="n">
        <v>51092</v>
      </c>
      <c r="C752" t="inlineStr">
        <is>
          <t>SODIUM IODIDE (SUP131/SUPI) CAPSULE ORAL 0.016 mCi</t>
        </is>
      </c>
      <c r="D752" t="inlineStr">
        <is>
          <t>سديم يدايد(يد-131)   کپسول خوراکي 0.016 mCi  uCi - پارس ايزوتوپ</t>
        </is>
      </c>
      <c r="E752" t="inlineStr">
        <is>
          <t>تی‌تک و آریا</t>
        </is>
      </c>
    </row>
    <row r="753">
      <c r="A753" t="n">
        <v>752</v>
      </c>
      <c r="B753" t="n">
        <v>51093</v>
      </c>
      <c r="C753" t="inlineStr">
        <is>
          <t>SODIUM IODIDE (SUP131/SUPI) CAPSULE ORAL 0.03 mCi</t>
        </is>
      </c>
      <c r="D753" t="inlineStr">
        <is>
          <t>سديم يدايد(يد-131)   کپسول خوراکي 0.03 mCi  uCi - پارس ايزوتوپ</t>
        </is>
      </c>
      <c r="E753" t="inlineStr">
        <is>
          <t>تی‌تک و آریا</t>
        </is>
      </c>
    </row>
    <row r="754">
      <c r="A754" t="n">
        <v>753</v>
      </c>
      <c r="B754" t="n">
        <v>51094</v>
      </c>
      <c r="C754" t="inlineStr">
        <is>
          <t>SODIUM IODIDE (SUP131/SUPI) CAPSULE ORAL 0.05 mCi</t>
        </is>
      </c>
      <c r="D754" t="inlineStr">
        <is>
          <t>سديم يدايد(يد-131)   کپسول خوراکي 0.05 mCi  uCi - پارس ايزوتوپ</t>
        </is>
      </c>
      <c r="E754" t="inlineStr">
        <is>
          <t>تی‌تک و آریا</t>
        </is>
      </c>
    </row>
    <row r="755">
      <c r="A755" t="n">
        <v>754</v>
      </c>
      <c r="B755" t="n">
        <v>51098</v>
      </c>
      <c r="C755" t="inlineStr">
        <is>
          <t>SODIUM PHOSPHATE (SUP32/SUPP) SOLUTION ORAL 5 mCi</t>
        </is>
      </c>
      <c r="D755" t="inlineStr">
        <is>
          <t>فسفات سديم(فسفر-32)   محلول خوراکي 5 mCi  mCi - پارس ايزوتوپ</t>
        </is>
      </c>
      <c r="E755" t="inlineStr">
        <is>
          <t>تی‌تک و آریا</t>
        </is>
      </c>
    </row>
    <row r="756">
      <c r="A756" t="n">
        <v>755</v>
      </c>
      <c r="B756" t="n">
        <v>51099</v>
      </c>
      <c r="C756" t="inlineStr">
        <is>
          <t>RHENIUM (SUP186/SUPRE) ETIDRONIC ACID INJECTION, SOLUTION PARENTERAL 80 mCi</t>
        </is>
      </c>
      <c r="D756" t="inlineStr">
        <is>
          <t>رنيوم اچ اي دي پي (رنيوم-186)   محلول تزريقي پرنترال 80 mCi  mCi - پارس ايزوتوپ</t>
        </is>
      </c>
      <c r="E756" t="inlineStr">
        <is>
          <t>تی‌تک و آریا</t>
        </is>
      </c>
    </row>
    <row r="757">
      <c r="A757" t="n">
        <v>756</v>
      </c>
      <c r="B757" t="n">
        <v>51100</v>
      </c>
      <c r="C757" t="inlineStr">
        <is>
          <t>RHENIUM (SUP186/SUPRE) SULFIDE COLLOID INJECTION, SUSPENSION PARENTERAL 5 mCi</t>
        </is>
      </c>
      <c r="D757" t="inlineStr">
        <is>
          <t>رنيوم سولفيد کلوئيد(رنيوم-186)   سوسپانسيون تزريقي پرنترال 5 mCi  mCi - پارس ايزوتوپ</t>
        </is>
      </c>
      <c r="E757" t="inlineStr">
        <is>
          <t>تی‌تک و آریا</t>
        </is>
      </c>
    </row>
    <row r="758">
      <c r="A758" t="n">
        <v>757</v>
      </c>
      <c r="B758" t="n">
        <v>51101</v>
      </c>
      <c r="C758" t="inlineStr">
        <is>
          <t>SAMARIUM (SUP153/SUPSM) LEXIDRONAM INJECTION, SOLUTION PARENTERAL 80 mCi 80 mCi</t>
        </is>
      </c>
      <c r="D758" t="inlineStr">
        <is>
          <t>ساماريوم-153 اي دي تي ام پي   محلول تزريقي پرنترال 80 mCi 80 mCi - پارس ايزوتوپ</t>
        </is>
      </c>
      <c r="E758" t="inlineStr">
        <is>
          <t>تی‌تک و آریا</t>
        </is>
      </c>
    </row>
    <row r="759">
      <c r="A759" t="n">
        <v>758</v>
      </c>
      <c r="B759" t="n">
        <v>51102</v>
      </c>
      <c r="C759" t="inlineStr">
        <is>
          <t>SODIUM FLUORIDE (SUP18/SUPF) INJECTION, SOLUTION PARENTERAL 10 mCi</t>
        </is>
      </c>
      <c r="D759" t="inlineStr">
        <is>
          <t>سديم فلورايد ( اف-18)   محلول تزريقي پرنترال 10 mCi  mCi - پارس ايزوتوپ</t>
        </is>
      </c>
      <c r="E759" t="inlineStr">
        <is>
          <t>تی‌تک و آریا</t>
        </is>
      </c>
    </row>
    <row r="760">
      <c r="A760" t="n">
        <v>759</v>
      </c>
      <c r="B760" t="n">
        <v>51110</v>
      </c>
      <c r="C760" t="inlineStr">
        <is>
          <t>TECHNETIUM (99mTc)-HYNIC-BOMBESIN INJECTION, POWDER, LYOPHILIZED, FOR SOLUTION PARENTERAL 25 ug</t>
        </is>
      </c>
      <c r="D760" t="inlineStr">
        <is>
          <t>بمبزين   پودر لئوفيليزه براي تهيه محلول تزريقي پرنترال 25 ug  ug - پارس ايزوتوپ</t>
        </is>
      </c>
      <c r="E760" t="inlineStr">
        <is>
          <t>تی‌تک و آریا</t>
        </is>
      </c>
    </row>
    <row r="761">
      <c r="A761" t="n">
        <v>760</v>
      </c>
      <c r="B761" t="n">
        <v>51112</v>
      </c>
      <c r="C761" t="inlineStr">
        <is>
          <t>TECHNETIUM (SUP99M/SUPTC) BICISATE INJECTION, POWDER, LYOPHILIZED, FOR SOLUTION INTRAVENOUS 10 mCi</t>
        </is>
      </c>
      <c r="D761" t="inlineStr">
        <is>
          <t>اي سي دي (اتيل سيستئينات ديمر)   پودر لئوفيليزه براي تهيه محلول تزريقي داخل وريدي 10 mCi  mg - پارس ايزوتوپ</t>
        </is>
      </c>
      <c r="E761" t="inlineStr">
        <is>
          <t>تی‌تک و آریا</t>
        </is>
      </c>
    </row>
    <row r="762">
      <c r="A762" t="n">
        <v>761</v>
      </c>
      <c r="B762" t="n">
        <v>51114</v>
      </c>
      <c r="C762" t="inlineStr">
        <is>
          <t>TECHNETIUM (99MTC) ETHYLENEDICYSTEUNE INJECTION, POWDER, LYOPHILIZED, FOR SOLUTION INTRAVENOUS 1 mg</t>
        </is>
      </c>
      <c r="D762" t="inlineStr">
        <is>
          <t>اي سي (اتيلن دي سيستئين)   پودر لئوفيليزه براي تهيه محلول تزريقي داخل وريدي 1 mg  mg - پارس ايزوتوپ</t>
        </is>
      </c>
      <c r="E762" t="inlineStr">
        <is>
          <t>تی‌تک و آریا</t>
        </is>
      </c>
    </row>
    <row r="763">
      <c r="A763" t="n">
        <v>762</v>
      </c>
      <c r="B763" t="n">
        <v>51116</v>
      </c>
      <c r="C763" t="inlineStr">
        <is>
          <t>TECHNETIUM (SUP99M/SUPTC) EXAMETAZIME HMPAO WBC INJECTION, POWDER, LYOPHILIZED, FOR SOLUTION INTRAVENOUS 10 mCi</t>
        </is>
      </c>
      <c r="D763" t="inlineStr">
        <is>
          <t>وايت بي سي   پودر لئوفيليزه براي تهيه محلول تزريقي داخل وريدي 10 mCi  mg - پارس ايزوتوپ</t>
        </is>
      </c>
      <c r="E763" t="inlineStr">
        <is>
          <t>تی‌تک و آریا</t>
        </is>
      </c>
    </row>
    <row r="764">
      <c r="A764" t="n">
        <v>763</v>
      </c>
      <c r="B764" t="n">
        <v>51119</v>
      </c>
      <c r="C764" t="inlineStr">
        <is>
          <t>TESTOSTERONE UNDECANOATE CAPSULE ORAL 40 mg</t>
        </is>
      </c>
      <c r="D764" t="inlineStr">
        <is>
          <t>آندريول تستوکپس   کپسول خوراکي 40 mg - بهستان دارو</t>
        </is>
      </c>
      <c r="E764" t="inlineStr">
        <is>
          <t>تی‌تک و آریا</t>
        </is>
      </c>
    </row>
    <row r="765">
      <c r="A765" t="n">
        <v>764</v>
      </c>
      <c r="B765" t="n">
        <v>51121</v>
      </c>
      <c r="C765" t="inlineStr">
        <is>
          <t>EPINEPHRINE INJECTION, SOLUTION PARENTERAL 0.5 mg/1mL 0.3 mL</t>
        </is>
      </c>
      <c r="D765" t="inlineStr">
        <is>
          <t>اپي پن جي آر   محلول تزريقي پرنترال 0.5 mg/1mL 0.3 mg - گسترش بازرگاني دارو درمان پارس</t>
        </is>
      </c>
      <c r="E765" t="inlineStr">
        <is>
          <t>تی‌تک و آریا</t>
        </is>
      </c>
    </row>
    <row r="766">
      <c r="A766" t="n">
        <v>765</v>
      </c>
      <c r="B766" t="n">
        <v>51127</v>
      </c>
      <c r="C766" t="inlineStr">
        <is>
          <t>BORTEZOMIB INJECTION, POWDER, LYOPHILIZED, FOR SOLUTION PARENTERAL 1 mg</t>
        </is>
      </c>
      <c r="D766" t="inlineStr">
        <is>
          <t>الوکيد   پودر لئوفيليزه براي تهيه محلول تزريقي پرنترال 1 mg  mg - نانو فناوران داروئي الوند</t>
        </is>
      </c>
      <c r="E766" t="inlineStr">
        <is>
          <t>تی‌تک و آریا</t>
        </is>
      </c>
    </row>
    <row r="767">
      <c r="A767" t="n">
        <v>766</v>
      </c>
      <c r="B767" t="n">
        <v>51128</v>
      </c>
      <c r="C767" t="inlineStr">
        <is>
          <t>TECHNETIUM (SUP99M/SUPTC) MACROSALB INJECTION, POWDER, LYOPHILIZED, FOR SOLUTION INTRAVENOUS 30 mCi</t>
        </is>
      </c>
      <c r="D767" t="inlineStr">
        <is>
          <t>ام آ آ (سرم آلبومين انساني ماکرواگريگيت شده)   پودر لئوفيليزه براي تهيه محلول تزريقي داخل وريدي 30 mCi  mg - پارس ايزوتوپ</t>
        </is>
      </c>
      <c r="E767" t="inlineStr">
        <is>
          <t>تی‌تک و آریا</t>
        </is>
      </c>
    </row>
    <row r="768">
      <c r="A768" t="n">
        <v>767</v>
      </c>
      <c r="B768" t="n">
        <v>51131</v>
      </c>
      <c r="C768" t="inlineStr">
        <is>
          <t>TECHNETIUM (SUP99M/SUPTC) MEBROFENIN INJECTION, POWDER, LYOPHILIZED, FOR SOLUTION INTRAVENOUS 100 mCi</t>
        </is>
      </c>
      <c r="D768" t="inlineStr">
        <is>
          <t>برم آيدا   پودر لئوفيليزه براي تهيه محلول تزريقي داخل وريدي 100 mCi  mg - پارس ايزوتوپ</t>
        </is>
      </c>
      <c r="E768" t="inlineStr">
        <is>
          <t>تی‌تک و آریا</t>
        </is>
      </c>
    </row>
    <row r="769">
      <c r="A769" t="n">
        <v>768</v>
      </c>
      <c r="B769" t="n">
        <v>51133</v>
      </c>
      <c r="C769" t="inlineStr">
        <is>
          <t>TECHNETIUM (SUP99M/SUPTC) PENTETIC ACID INJECTION, POWDER, LYOPHILIZED, FOR SOLUTION INTRAVENOUS 300 mCi</t>
        </is>
      </c>
      <c r="D769" t="inlineStr">
        <is>
          <t>دي تي پي آ ( دي اتيلن  تري آمين پنتا استيک اسيد)   پودر لئوفيليزه براي تهيه محلول تزريقي داخل وريدي 300 mCi  mg - پارس ايزوتوپ</t>
        </is>
      </c>
      <c r="E769" t="inlineStr">
        <is>
          <t>تی‌تک و آریا</t>
        </is>
      </c>
    </row>
    <row r="770">
      <c r="A770" t="n">
        <v>769</v>
      </c>
      <c r="B770" t="n">
        <v>51135</v>
      </c>
      <c r="C770" t="inlineStr">
        <is>
          <t>TECHNETIUM (SUP99M/SUPTC) PERTECHNETATE INJECTION INTRAVENOUS 200 mCi</t>
        </is>
      </c>
      <c r="D770" t="inlineStr">
        <is>
          <t>تکنسيوم (99 ) پرتکنتات   تزريقي داخل وريدي 200 mCi  mCi - پارس ايزوتوپ</t>
        </is>
      </c>
      <c r="E770" t="inlineStr">
        <is>
          <t>تی‌تک و آریا</t>
        </is>
      </c>
    </row>
    <row r="771">
      <c r="A771" t="n">
        <v>770</v>
      </c>
      <c r="B771" t="n">
        <v>51136</v>
      </c>
      <c r="C771" t="inlineStr">
        <is>
          <t>IFOSFAMIDE INJECTION, SOLUTION PARENTERAL 40 mg/1mL 25 mL</t>
        </is>
      </c>
      <c r="D771" t="inlineStr">
        <is>
          <t>آيفو-سل   محلول تزريقي پرنترال 40 mg/1mL 25 mg - وليان دارو</t>
        </is>
      </c>
      <c r="E771" t="inlineStr">
        <is>
          <t>تی‌تک و آریا</t>
        </is>
      </c>
    </row>
    <row r="772">
      <c r="A772" t="n">
        <v>771</v>
      </c>
      <c r="B772" t="n">
        <v>51139</v>
      </c>
      <c r="C772" t="inlineStr">
        <is>
          <t>TECHNETIUM (SUP99M/SUPTC) PERTECHNETATE INJECTION INTRAVENOUS 400 mCi</t>
        </is>
      </c>
      <c r="D772" t="inlineStr">
        <is>
          <t>تکنسيوم (99 ) پرتکنتات   تزريقي داخل وريدي 400 mCi  uCi - پارس ايزوتوپ</t>
        </is>
      </c>
      <c r="E772" t="inlineStr">
        <is>
          <t>تی‌تک و آریا</t>
        </is>
      </c>
    </row>
    <row r="773">
      <c r="A773" t="n">
        <v>772</v>
      </c>
      <c r="B773" t="n">
        <v>51140</v>
      </c>
      <c r="C773" t="inlineStr">
        <is>
          <t>TECHNETIUM (SUP99M/SUPTC) PHYTATE INJECTION, POWDER, LYOPHILIZED, FOR SOLUTION INTRAVENOUS 100 mCi</t>
        </is>
      </c>
      <c r="D773" t="inlineStr">
        <is>
          <t>فيتيت   پودر لئوفيليزه براي تهيه محلول تزريقي داخل وريدي 100 mCi  mg - پارس ايزوتوپ</t>
        </is>
      </c>
      <c r="E773" t="inlineStr">
        <is>
          <t>تی‌تک و آریا</t>
        </is>
      </c>
    </row>
    <row r="774">
      <c r="A774" t="n">
        <v>773</v>
      </c>
      <c r="B774" t="n">
        <v>51142</v>
      </c>
      <c r="C774" t="inlineStr">
        <is>
          <t>THALLIUM (SUP201/SUPTL) CHLORIDE INJECTION INTRAVENOUS 10 mCi</t>
        </is>
      </c>
      <c r="D774" t="inlineStr">
        <is>
          <t>تاليوم (201) کلرايد   تزريقي داخل وريدي 10 mCi  mCi - پارس ايزوتوپ</t>
        </is>
      </c>
      <c r="E774" t="inlineStr">
        <is>
          <t>تی‌تک و آریا</t>
        </is>
      </c>
    </row>
    <row r="775">
      <c r="A775" t="n">
        <v>774</v>
      </c>
      <c r="B775" t="n">
        <v>51143</v>
      </c>
      <c r="C775" t="inlineStr">
        <is>
          <t>THALLIUM (SUP201/SUPTL) CHLORIDE INJECTION INTRAVENOUS 5 mCi</t>
        </is>
      </c>
      <c r="D775" t="inlineStr">
        <is>
          <t>تاليوم (201) کلرايد   تزريقي داخل وريدي 5 mCi  mCi - پارس ايزوتوپ</t>
        </is>
      </c>
      <c r="E775" t="inlineStr">
        <is>
          <t>تی‌تک و آریا</t>
        </is>
      </c>
    </row>
    <row r="776">
      <c r="A776" t="n">
        <v>775</v>
      </c>
      <c r="B776" t="n">
        <v>51154</v>
      </c>
      <c r="C776" t="inlineStr">
        <is>
          <t>TECHNETIUM (SUP99M/SUPTC) SUCCIMER INJECTION, POWDER, LYOPHILIZED, FOR SOLUTION INTRAVENOUS 40 mCi</t>
        </is>
      </c>
      <c r="D776" t="inlineStr">
        <is>
          <t>دي مر کاپتو سوکسينيک اسيد (دي ام اس آ)   پودر لئوفيليزه براي تهيه محلول تزريقي داخل وريدي 40 mCi  mg - پارس ايزوتوپ</t>
        </is>
      </c>
      <c r="E776" t="inlineStr">
        <is>
          <t>تی‌تک و آریا</t>
        </is>
      </c>
    </row>
    <row r="777">
      <c r="A777" t="n">
        <v>776</v>
      </c>
      <c r="B777" t="n">
        <v>51170</v>
      </c>
      <c r="C777" t="inlineStr">
        <is>
          <t>BECLOMETHASONE DIPROPIONATE INHALANT RESPIRATORY 0.4 mg/1mL 2 mL</t>
        </is>
      </c>
      <c r="D777" t="inlineStr">
        <is>
          <t>کلنيل   اينهالر استنشاقي 0.4 mg/1mL 2 mg - درمان ياب دارو</t>
        </is>
      </c>
      <c r="E777" t="inlineStr">
        <is>
          <t>تی‌تک و آریا</t>
        </is>
      </c>
    </row>
    <row r="778">
      <c r="A778" t="n">
        <v>777</v>
      </c>
      <c r="B778" t="n">
        <v>51178</v>
      </c>
      <c r="C778" t="inlineStr">
        <is>
          <t>TECHNETIUM (SUP99M/SUPTC) SESTAMIBI INJECTION, POWDER, LYOPHILIZED, FOR SOLUTION INTRAVENOUS 100 mCi</t>
        </is>
      </c>
      <c r="D778" t="inlineStr">
        <is>
          <t>ام آي بي آي (متوکسي  ايزوبوتيل ايزونيتريل)   پودر لئوفيليزه براي تهيه محلول تزريقي داخل وريدي 100 mCi  mg - پارس ايزوتوپ</t>
        </is>
      </c>
      <c r="E778" t="inlineStr">
        <is>
          <t>تی‌تک و آریا</t>
        </is>
      </c>
    </row>
    <row r="779">
      <c r="A779" t="n">
        <v>778</v>
      </c>
      <c r="B779" t="n">
        <v>51179</v>
      </c>
      <c r="C779" t="inlineStr">
        <is>
          <t>BOTULISM ANTITOXIN POLYVALENT A+B+E (EQUINE) INJECTION PARENTERAL 6500 [iU]/1mL 10 mL</t>
        </is>
      </c>
      <c r="D779" t="inlineStr">
        <is>
          <t>زابوتريکس-آ ب اي   تزريقي پرنترال 6500 [iU]/1mL 10 [iU] - داروسازي مصون دارو</t>
        </is>
      </c>
      <c r="E779" t="inlineStr">
        <is>
          <t>تی‌تک و آریا</t>
        </is>
      </c>
    </row>
    <row r="780">
      <c r="A780" t="n">
        <v>779</v>
      </c>
      <c r="B780" t="n">
        <v>51182</v>
      </c>
      <c r="C780" t="inlineStr">
        <is>
          <t>C1-ESTRASE INHIBITOR PLASMA DERIVED INJECTION, POWDER, FOR SOLUTION PARENTERAL 500 [iU]</t>
        </is>
      </c>
      <c r="D780" t="inlineStr">
        <is>
          <t>برينرت   پودر براي تهيه محلول تزريقي پرنترال 500 [iU]  [iU] - اوين دارو</t>
        </is>
      </c>
      <c r="E780" t="inlineStr">
        <is>
          <t>تی‌تک و آریا</t>
        </is>
      </c>
    </row>
    <row r="781">
      <c r="A781" t="n">
        <v>780</v>
      </c>
      <c r="B781" t="n">
        <v>51202</v>
      </c>
      <c r="C781" t="inlineStr">
        <is>
          <t>PALIPERIDONE PALMITATE INJECTION, SUSPENSION, EXTENDED RELEASE PARENTERAL 117 mg/0.75mL</t>
        </is>
      </c>
      <c r="D781" t="inlineStr">
        <is>
          <t>اينوگا   سوسپانسيون تزريقي پيوسته رهش پرنترال 117 mg/0.75mL  mg - بازرگاني سها کيش</t>
        </is>
      </c>
      <c r="E781" t="inlineStr">
        <is>
          <t>تی‌تک و آریا</t>
        </is>
      </c>
    </row>
    <row r="782">
      <c r="A782" t="n">
        <v>781</v>
      </c>
      <c r="B782" t="n">
        <v>51238</v>
      </c>
      <c r="C782" t="inlineStr">
        <is>
          <t>FLUTICASONE FUROATE SPRAY, METERED NASAL 27.5 ug/1 {Puff} 120 {Puff}</t>
        </is>
      </c>
      <c r="D782" t="inlineStr">
        <is>
          <t>آواميس   اسپري با دوز اندازه گيري شده از راه بيني 27.5 ug/1 {Puff} 120 {dose} - کوبل دارو</t>
        </is>
      </c>
      <c r="E782" t="inlineStr">
        <is>
          <t>تی‌تک و آریا</t>
        </is>
      </c>
    </row>
    <row r="783">
      <c r="A783" t="n">
        <v>782</v>
      </c>
      <c r="B783" t="n">
        <v>51241</v>
      </c>
      <c r="C783" t="inlineStr">
        <is>
          <t>TECHNETIUM (SUP99M/SUPTC) PYROPHOSPHATE INJECTION, POWDER INTRAVENOUS 14 mg</t>
        </is>
      </c>
      <c r="D783" t="inlineStr">
        <is>
          <t>پي واي پي (سديم پيروفسفات دکاهيدرات)   پودر براي تهيه فرآورده تزريقي داخل وريدي 14 mg  mg - پارس ايزوتوپ</t>
        </is>
      </c>
      <c r="E783" t="inlineStr">
        <is>
          <t>تی‌تک و آریا</t>
        </is>
      </c>
    </row>
    <row r="784">
      <c r="A784" t="n">
        <v>783</v>
      </c>
      <c r="B784" t="n">
        <v>51242</v>
      </c>
      <c r="C784" t="inlineStr">
        <is>
          <t>TECHNETIUM (SUP99M/SUPTC) STANNOUS AGENT LABELLED CELLS INJECTION, POWDER, LYOPHILIZED, FOR SOLUTION INTRAVENOUS 100 mCi</t>
        </is>
      </c>
      <c r="D784" t="inlineStr">
        <is>
          <t>آر بي سي (قلع ++) کيت  براي نشاندار کردن گلبول قرمز   پودر لئوفيليزه براي تهيه محلول تزريقي داخل وريدي 100 mCi  mg - پارس ايزوتوپ</t>
        </is>
      </c>
      <c r="E784" t="inlineStr">
        <is>
          <t>تی‌تک و آریا</t>
        </is>
      </c>
    </row>
    <row r="785">
      <c r="A785" t="n">
        <v>784</v>
      </c>
      <c r="B785" t="n">
        <v>51244</v>
      </c>
      <c r="C785" t="inlineStr">
        <is>
          <t>TECHNETIUM (99MTC) TYROSINE OCTREOTIDE INJECTION, POWDER, LYOPHILIZED, FOR SOLUTION INTRAVENOUS 25 ug</t>
        </is>
      </c>
      <c r="D785" t="inlineStr">
        <is>
          <t>هاينيک-توک   پودر لئوفيليزه براي تهيه محلول تزريقي داخل وريدي 25 ug  ug - پارس ايزوتوپ</t>
        </is>
      </c>
      <c r="E785" t="inlineStr">
        <is>
          <t>تی‌تک و آریا</t>
        </is>
      </c>
    </row>
    <row r="786">
      <c r="A786" t="n">
        <v>785</v>
      </c>
      <c r="B786" t="n">
        <v>51246</v>
      </c>
      <c r="C786" t="inlineStr">
        <is>
          <t>TECHNETIUM (99MTC) HYNIC-UBIQUICIDINE (29-41) INJECTION, POWDER, LYOPHILIZED, FOR SOLUTION INTRAVENOUS 50 ug</t>
        </is>
      </c>
      <c r="D786" t="inlineStr">
        <is>
          <t>هاينيک يو بي آي   پودر لئوفيليزه براي تهيه محلول تزريقي داخل وريدي 50 ug  ug - پارس ايزوتوپ</t>
        </is>
      </c>
      <c r="E786" t="inlineStr">
        <is>
          <t>تی‌تک و آریا</t>
        </is>
      </c>
    </row>
    <row r="787">
      <c r="A787" t="n">
        <v>786</v>
      </c>
      <c r="B787" t="n">
        <v>51249</v>
      </c>
      <c r="C787" t="inlineStr">
        <is>
          <t>GERMANIUM (68 Ge) / GALLIUM (68 Ga) SOLUTION INTRAVENOUS 20 mCi 3 mL</t>
        </is>
      </c>
      <c r="D787" t="inlineStr">
        <is>
          <t>ژرمانيوم68/گاليوم68   محلول داخل وريدي 20 mCi 3 mCi - پارس ايزوتوپ</t>
        </is>
      </c>
      <c r="E787" t="inlineStr">
        <is>
          <t>تی‌تک و آریا</t>
        </is>
      </c>
    </row>
    <row r="788">
      <c r="A788" t="n">
        <v>787</v>
      </c>
      <c r="B788" t="n">
        <v>51281</v>
      </c>
      <c r="C788" t="inlineStr">
        <is>
          <t>PENTOSAN POLYSULFATE SODIUM TABLET ORAL 100 mg</t>
        </is>
      </c>
      <c r="D788" t="inlineStr">
        <is>
          <t>الميرون   قرص خوراکي 100 mg - بازرگاني سها کيش</t>
        </is>
      </c>
      <c r="E788" t="inlineStr">
        <is>
          <t>تی‌تک و آریا</t>
        </is>
      </c>
    </row>
    <row r="789">
      <c r="A789" t="n">
        <v>788</v>
      </c>
      <c r="B789" t="n">
        <v>51284</v>
      </c>
      <c r="C789" t="inlineStr">
        <is>
          <t>AMOXAPINE TABLET ORAL 50 mg</t>
        </is>
      </c>
      <c r="D789" t="inlineStr">
        <is>
          <t>دفانيل   قرص خوراکي 50 mg - بازرگاني سها کيش</t>
        </is>
      </c>
      <c r="E789" t="inlineStr">
        <is>
          <t>تی‌تک و آریا</t>
        </is>
      </c>
    </row>
    <row r="790">
      <c r="A790" t="n">
        <v>789</v>
      </c>
      <c r="B790" t="n">
        <v>51285</v>
      </c>
      <c r="C790" t="inlineStr">
        <is>
          <t>SERTINDOLE TABLET ORAL 4 mg</t>
        </is>
      </c>
      <c r="D790" t="inlineStr">
        <is>
          <t>سردولکت   قرص خوراکي 4 mg - بازرگاني سها کيش</t>
        </is>
      </c>
      <c r="E790" t="inlineStr">
        <is>
          <t>تی‌تک و آریا</t>
        </is>
      </c>
    </row>
    <row r="791">
      <c r="A791" t="n">
        <v>790</v>
      </c>
      <c r="B791" t="n">
        <v>51286</v>
      </c>
      <c r="C791" t="inlineStr">
        <is>
          <t>LIPID INFUSION 20% (1) INJECTION, SOLUTION PARENTERAL 100 mg/100 mg/1mL 500 mL</t>
        </is>
      </c>
      <c r="D791" t="inlineStr">
        <is>
          <t>ليپوفوندين ام سي تي/ ال سي تي   محلول تزريقي پرنترال 500 mL - رضا دارو پارس</t>
        </is>
      </c>
      <c r="E791" t="inlineStr">
        <is>
          <t>تی‌تک و آریا</t>
        </is>
      </c>
    </row>
    <row r="792">
      <c r="A792" t="n">
        <v>791</v>
      </c>
      <c r="B792" t="n">
        <v>51302</v>
      </c>
      <c r="C792" t="inlineStr">
        <is>
          <t>CO-AMOXICLAV INJECTION, POWDER, FOR SOLUTION PARENTERAL 1000 mg/200 mg</t>
        </is>
      </c>
      <c r="D792" t="inlineStr">
        <is>
          <t>آموکسي سيلين / کلاوولانيک اسيد نورمون   پودر براي تهيه محلول تزريقي پرنترال 1000 mg/200 mg  mg - تچرا دارو</t>
        </is>
      </c>
      <c r="E792" t="inlineStr">
        <is>
          <t>تی‌تک و آریا</t>
        </is>
      </c>
    </row>
    <row r="793">
      <c r="A793" t="n">
        <v>792</v>
      </c>
      <c r="B793" t="n">
        <v>51328</v>
      </c>
      <c r="C793" t="inlineStr">
        <is>
          <t>GALANTAMINE (AS HYDROBROMIDE) SOLUTION ORAL 4 mg/1mL</t>
        </is>
      </c>
      <c r="D793" t="inlineStr">
        <is>
          <t>گالانيل   محلول خوراکي 4 mg/1mL  mL - نسيم دارو سلامت</t>
        </is>
      </c>
      <c r="E793" t="inlineStr">
        <is>
          <t>تی‌تک و آریا</t>
        </is>
      </c>
    </row>
    <row r="794">
      <c r="A794" t="n">
        <v>793</v>
      </c>
      <c r="B794" t="n">
        <v>51329</v>
      </c>
      <c r="C794" t="inlineStr">
        <is>
          <t>EXENATIDE INJECTION, SUSPENSION, EXTENDED RELEASE PARENTERAL 2 mg</t>
        </is>
      </c>
      <c r="D794" t="inlineStr">
        <is>
          <t>ميکروتايد   سوسپانسيون تزريقي پيوسته رهش پرنترال 2 mg  mg - فرآورده هاي پويش دارو</t>
        </is>
      </c>
      <c r="E794" t="inlineStr">
        <is>
          <t>تی‌تک و آریا</t>
        </is>
      </c>
    </row>
    <row r="795">
      <c r="A795" t="n">
        <v>794</v>
      </c>
      <c r="B795" t="n">
        <v>51331</v>
      </c>
      <c r="C795" t="inlineStr">
        <is>
          <t>GANCICLOVIR GEL OPHTHALMIC 0.15 % 5 g</t>
        </is>
      </c>
      <c r="D795" t="inlineStr">
        <is>
          <t>ويرگان   ژل چشمي 0.15 % 5 g - يارا طب خاورميانه</t>
        </is>
      </c>
      <c r="E795" t="inlineStr">
        <is>
          <t>تی‌تک و آریا</t>
        </is>
      </c>
    </row>
    <row r="796">
      <c r="A796" t="n">
        <v>795</v>
      </c>
      <c r="B796" t="n">
        <v>51351</v>
      </c>
      <c r="C796" t="inlineStr">
        <is>
          <t>EMTRICITABINE / TENOFOVIR DISOPROXIL FUMARATE / EFAVIRENZ TABLET ORAL 200 mg/300 mg/600 mg</t>
        </is>
      </c>
      <c r="D796" t="inlineStr">
        <is>
          <t>امتريسيتابين/ تنوفوويرديسوپروکسيل فومارات/ افاويرنز   قرص خوراکي 200 mg/300 mg/600 mg - ماه داروي حکيم</t>
        </is>
      </c>
      <c r="E796" t="inlineStr">
        <is>
          <t>تی‌تک و آریا</t>
        </is>
      </c>
    </row>
    <row r="797">
      <c r="A797" t="n">
        <v>796</v>
      </c>
      <c r="B797" t="n">
        <v>51361</v>
      </c>
      <c r="C797" t="inlineStr">
        <is>
          <t>METHOTREXATE SODIUM INJECTION, SOLUTION PARENTERAL 100 mg/1mL 50 mL</t>
        </is>
      </c>
      <c r="E797" t="inlineStr">
        <is>
          <t>فقط تی‌تک</t>
        </is>
      </c>
    </row>
    <row r="798">
      <c r="A798" t="n">
        <v>797</v>
      </c>
      <c r="B798" t="n">
        <v>51370</v>
      </c>
      <c r="C798" t="inlineStr">
        <is>
          <t>DANTROLENE SODIUM CAPSULE ORAL 25 mg</t>
        </is>
      </c>
      <c r="D798" t="inlineStr">
        <is>
          <t>دانترولن   کپسول خوراکي 25 mg - بهار نگين توسعه</t>
        </is>
      </c>
      <c r="E798" t="inlineStr">
        <is>
          <t>تی‌تک و آریا</t>
        </is>
      </c>
    </row>
    <row r="799">
      <c r="A799" t="n">
        <v>798</v>
      </c>
      <c r="B799" t="n">
        <v>51377</v>
      </c>
      <c r="C799" t="inlineStr">
        <is>
          <t>DESOGESTREL TABLET ORAL 75 ug</t>
        </is>
      </c>
      <c r="D799" t="inlineStr">
        <is>
          <t>آزورل   قرص خوراکي 75 ug - دارو سازي آتي فارمد</t>
        </is>
      </c>
      <c r="E799" t="inlineStr">
        <is>
          <t>تی‌تک و آریا</t>
        </is>
      </c>
    </row>
    <row r="800">
      <c r="A800" t="n">
        <v>799</v>
      </c>
      <c r="B800" t="n">
        <v>51396</v>
      </c>
      <c r="C800" t="inlineStr">
        <is>
          <t>LANREOTIDE INJECTION, SOLUTION PARENTERAL 120 mg</t>
        </is>
      </c>
      <c r="D800" t="inlineStr">
        <is>
          <t>سوماتولين اتوژل   محلول تزريقي پرنترال 120 mg  mg - کوبل دارو</t>
        </is>
      </c>
      <c r="E800" t="inlineStr">
        <is>
          <t>تی‌تک و آریا</t>
        </is>
      </c>
    </row>
    <row r="801">
      <c r="A801" t="n">
        <v>800</v>
      </c>
      <c r="B801" t="n">
        <v>51403</v>
      </c>
      <c r="C801" t="inlineStr">
        <is>
          <t>LIDOCAINE HYDROCHLORIDE SPRAY TOPICAL 6.5 % 65 mL</t>
        </is>
      </c>
      <c r="D801" t="inlineStr">
        <is>
          <t>لارگو   اسپري موضعي 6.5 % 65 % - دلتا دارو</t>
        </is>
      </c>
      <c r="E801" t="inlineStr">
        <is>
          <t>تی‌تک و آریا</t>
        </is>
      </c>
    </row>
    <row r="802">
      <c r="A802" t="n">
        <v>801</v>
      </c>
      <c r="B802" t="n">
        <v>51404</v>
      </c>
      <c r="C802" t="inlineStr">
        <is>
          <t>CABAZITAXEL INJECTION, SOLUTION, CONCENTRATE INTRAVENOUS 40 mg/1mL 1.5 mL</t>
        </is>
      </c>
      <c r="D802" t="inlineStr">
        <is>
          <t>جفتانا   محلول غليظ تزريقي داخل وريدي 40 mg/1mL 1.5 mg - فوريتهاي سينا آرات گستر</t>
        </is>
      </c>
      <c r="E802" t="inlineStr">
        <is>
          <t>تی‌تک و آریا</t>
        </is>
      </c>
    </row>
    <row r="803">
      <c r="A803" t="n">
        <v>802</v>
      </c>
      <c r="B803" t="n">
        <v>51409</v>
      </c>
      <c r="C803" t="inlineStr">
        <is>
          <t>LUBIPROSTONE CAPSULE ORAL 8 ug</t>
        </is>
      </c>
      <c r="D803" t="inlineStr">
        <is>
          <t>آميتيزا   کپسول خوراکي 8 ug - بازرگاني سها کيش</t>
        </is>
      </c>
      <c r="E803" t="inlineStr">
        <is>
          <t>تی‌تک و آریا</t>
        </is>
      </c>
    </row>
    <row r="804">
      <c r="A804" t="n">
        <v>803</v>
      </c>
      <c r="B804" t="n">
        <v>51410</v>
      </c>
      <c r="C804" t="inlineStr">
        <is>
          <t>INSULIN LISPRO INJECTION PARENTERAL 100 [iU]/1mL 3 mL</t>
        </is>
      </c>
      <c r="D804" t="inlineStr">
        <is>
          <t>انسولين ليسپرو   تزريقي پرنترال 100 [iU]/1mL 3 mL - فرآورده هاي پويش دارو</t>
        </is>
      </c>
      <c r="E804" t="inlineStr">
        <is>
          <t>تی‌تک و آریا</t>
        </is>
      </c>
    </row>
    <row r="805">
      <c r="A805" t="n">
        <v>804</v>
      </c>
      <c r="B805" t="n">
        <v>51414</v>
      </c>
      <c r="C805" t="inlineStr">
        <is>
          <t>ELBASVIR / GRAZOPREVIR TABLET ORAL 50 mg/100 mg</t>
        </is>
      </c>
      <c r="D805" t="inlineStr">
        <is>
          <t>زپاتير   قرص خوراکي 50 mg/100 mg - بازرگاني سها کيش</t>
        </is>
      </c>
      <c r="E805" t="inlineStr">
        <is>
          <t>تی‌تک و آریا</t>
        </is>
      </c>
    </row>
    <row r="806">
      <c r="A806" t="n">
        <v>805</v>
      </c>
      <c r="B806" t="n">
        <v>51415</v>
      </c>
      <c r="C806" t="inlineStr">
        <is>
          <t>LUMACAFTOR / IVACAFTOR TABLET ORAL 200 mg/125 mg</t>
        </is>
      </c>
      <c r="D806" t="inlineStr">
        <is>
          <t>ارکامبي   قرص خوراکي 200 mg/125 mg - بازرگاني سها کيش</t>
        </is>
      </c>
      <c r="E806" t="inlineStr">
        <is>
          <t>تی‌تک و آریا</t>
        </is>
      </c>
    </row>
    <row r="807">
      <c r="A807" t="n">
        <v>806</v>
      </c>
      <c r="B807" t="n">
        <v>51421</v>
      </c>
      <c r="C807" t="inlineStr">
        <is>
          <t>TRACE METAL COMBINATION (2-3) INJECTION PARENTERAL 540 ug/1050 ug/19.79 ug/102.3 ug/17.29 ug/16.6 ug/5.33 ug/210 ug/4.85 ug/1mL 10 mL</t>
        </is>
      </c>
      <c r="D807" t="inlineStr">
        <is>
          <t>آداون   تزريقي پرنترال 540 ug/1050 ug/19.79 ug/102.3 ug/17.29 ug/16.6 ug/5.33 ug/210 ug/4.85 ug/1mL 10 mL - درمان ياب دارو</t>
        </is>
      </c>
      <c r="E807" t="inlineStr">
        <is>
          <t>تی‌تک و آریا</t>
        </is>
      </c>
    </row>
    <row r="808">
      <c r="A808" t="n">
        <v>807</v>
      </c>
      <c r="B808" t="n">
        <v>51441</v>
      </c>
      <c r="C808" t="inlineStr">
        <is>
          <t>MILTEFOSINE CAPSULE ORAL 50 mg</t>
        </is>
      </c>
      <c r="D808" t="inlineStr">
        <is>
          <t>ايمپاويدو   کپسول خوراکي 50 mg - ماه داروي حکيم</t>
        </is>
      </c>
      <c r="E808" t="inlineStr">
        <is>
          <t>تی‌تک و آریا</t>
        </is>
      </c>
    </row>
    <row r="809">
      <c r="A809" t="n">
        <v>808</v>
      </c>
      <c r="B809" t="n">
        <v>51458</v>
      </c>
      <c r="C809" t="inlineStr">
        <is>
          <t>NINTEDANIB ESILATE CAPSULE, LIQUID FILLED ORAL 100 mg</t>
        </is>
      </c>
      <c r="D809" t="inlineStr">
        <is>
          <t>افنيب   کپسول حاوي مايع خوراکي 100 mg - داروسازان سانا فارمد</t>
        </is>
      </c>
      <c r="E809" t="inlineStr">
        <is>
          <t>تی‌تک و آریا</t>
        </is>
      </c>
    </row>
    <row r="810">
      <c r="A810" t="n">
        <v>809</v>
      </c>
      <c r="B810" t="n">
        <v>51477</v>
      </c>
      <c r="C810" t="inlineStr">
        <is>
          <t>LANREOTIDE INJECTION, SOLUTION PARENTERAL 60 mg</t>
        </is>
      </c>
      <c r="D810" t="inlineStr">
        <is>
          <t>سوماتولين اتوژل   محلول تزريقي پرنترال 60 mg  mg - کوبل دارو</t>
        </is>
      </c>
      <c r="E810" t="inlineStr">
        <is>
          <t>تی‌تک و آریا</t>
        </is>
      </c>
    </row>
    <row r="811">
      <c r="A811" t="n">
        <v>810</v>
      </c>
      <c r="B811" t="n">
        <v>51478</v>
      </c>
      <c r="C811" t="inlineStr">
        <is>
          <t>LANREOTIDE INJECTION, SOLUTION PARENTERAL 90 mg</t>
        </is>
      </c>
      <c r="D811" t="inlineStr">
        <is>
          <t>سوماتولين اتوژل   محلول تزريقي پرنترال 90 mg  mg - کوبل دارو</t>
        </is>
      </c>
      <c r="E811" t="inlineStr">
        <is>
          <t>تی‌تک و آریا</t>
        </is>
      </c>
    </row>
    <row r="812">
      <c r="A812" t="n">
        <v>811</v>
      </c>
      <c r="B812" t="n">
        <v>51505</v>
      </c>
      <c r="C812" t="inlineStr">
        <is>
          <t>HEMOFILTRATION / HEMODIAFILTRATION (2) SOLUTION PARENTERAL 5.4 g/5.145 g/2.033 g/6.45 g/3.09 g/22 g/0.157 g/1000mL 5000 mL</t>
        </is>
      </c>
      <c r="D812" t="inlineStr">
        <is>
          <t>پريسماسول 2   محلول پرنترال 5000 L - کار و انديشه</t>
        </is>
      </c>
      <c r="E812" t="inlineStr">
        <is>
          <t>تی‌تک و آریا</t>
        </is>
      </c>
    </row>
    <row r="813">
      <c r="A813" t="n">
        <v>812</v>
      </c>
      <c r="B813" t="n">
        <v>51508</v>
      </c>
      <c r="C813" t="inlineStr">
        <is>
          <t>LOPINAVIR / RITONAVIR TABLET ORAL 100 mg/25 mg</t>
        </is>
      </c>
      <c r="D813" t="inlineStr">
        <is>
          <t>لوپيناوير / ريتوناوير   قرص خوراکي 100 mg/25 mg - ماه داروي حکيم</t>
        </is>
      </c>
      <c r="E813" t="inlineStr">
        <is>
          <t>تی‌تک و آریا</t>
        </is>
      </c>
    </row>
    <row r="814">
      <c r="A814" t="n">
        <v>813</v>
      </c>
      <c r="B814" t="n">
        <v>51527</v>
      </c>
      <c r="C814" t="inlineStr">
        <is>
          <t>OXYCODONE HYDROCHLORIDE TABLET, EXTENDED RELEASE ORAL 80 mg</t>
        </is>
      </c>
      <c r="D814" t="inlineStr">
        <is>
          <t>فاروکسي   قرص پيوسته رهش خوراکي 80 mg - داروسازي فاران شيمي</t>
        </is>
      </c>
      <c r="E814" t="inlineStr">
        <is>
          <t>تی‌تک و آریا</t>
        </is>
      </c>
    </row>
    <row r="815">
      <c r="A815" t="n">
        <v>814</v>
      </c>
      <c r="B815" t="n">
        <v>51564</v>
      </c>
      <c r="C815" t="inlineStr">
        <is>
          <t>PLASMA, CRYPOOR INJECTION PARENTERAL</t>
        </is>
      </c>
      <c r="D815" t="inlineStr">
        <is>
          <t>پلاسماي فاقد کرايو   تزريقي پرنترال   mL - سازمان انتقال خون ايران</t>
        </is>
      </c>
      <c r="E815" t="inlineStr">
        <is>
          <t>تی‌تک و آریا</t>
        </is>
      </c>
    </row>
    <row r="816">
      <c r="A816" t="n">
        <v>815</v>
      </c>
      <c r="B816" t="n">
        <v>51565</v>
      </c>
      <c r="C816" t="inlineStr">
        <is>
          <t>PLASMA, CRYPRECIPITATE INJECTION PARENTERAL</t>
        </is>
      </c>
      <c r="D816" t="inlineStr">
        <is>
          <t>کرايوپرسيپيتيت   تزريقي پرنترال   mL - سازمان انتقال خون ايران</t>
        </is>
      </c>
      <c r="E816" t="inlineStr">
        <is>
          <t>تی‌تک و آریا</t>
        </is>
      </c>
    </row>
    <row r="817">
      <c r="A817" t="n">
        <v>816</v>
      </c>
      <c r="B817" t="n">
        <v>51566</v>
      </c>
      <c r="C817" t="inlineStr">
        <is>
          <t>PLASMA, FRESH FROZEN INJECTION PARENTERAL</t>
        </is>
      </c>
      <c r="D817" t="inlineStr">
        <is>
          <t>پلاسما تازه منجمد   تزريقي پرنترال   mL - توسعه پلاسما درمان خزر</t>
        </is>
      </c>
      <c r="E817" t="inlineStr">
        <is>
          <t>تی‌تک و آریا</t>
        </is>
      </c>
    </row>
    <row r="818">
      <c r="A818" t="n">
        <v>817</v>
      </c>
      <c r="B818" t="n">
        <v>51572</v>
      </c>
      <c r="C818" t="inlineStr">
        <is>
          <t>POTASSIUM CHLORIDE INJECTION INTRAVENOUS 0.3 % 500 mL</t>
        </is>
      </c>
      <c r="D818" t="inlineStr">
        <is>
          <t>پتاسيم کلرايد   تزريقي داخل وريدي 0.3 % 500 g - داروسازي ثامن</t>
        </is>
      </c>
      <c r="E818" t="inlineStr">
        <is>
          <t>تی‌تک و آریا</t>
        </is>
      </c>
    </row>
    <row r="819">
      <c r="A819" t="n">
        <v>818</v>
      </c>
      <c r="B819" t="n">
        <v>51577</v>
      </c>
      <c r="C819" t="inlineStr">
        <is>
          <t>POVIDONE-IODINE SUPPOSITORY VAGINAL 200 mg</t>
        </is>
      </c>
      <c r="D819" t="inlineStr">
        <is>
          <t>بتادين   شياف واژينال 200 mg - کيميا آرا هرم</t>
        </is>
      </c>
      <c r="E819" t="inlineStr">
        <is>
          <t>تی‌تک و آریا</t>
        </is>
      </c>
    </row>
    <row r="820">
      <c r="A820" t="n">
        <v>819</v>
      </c>
      <c r="B820" t="n">
        <v>51632</v>
      </c>
      <c r="C820" t="inlineStr">
        <is>
          <t>OFATUMUMAB INJECTION, SOLUTION, CONCENTRATE PARENTERAL 20 mg/1mL 5 mL</t>
        </is>
      </c>
      <c r="D820" t="inlineStr">
        <is>
          <t>آرزرا   محلول غليظ تزريقي پرنترال 20 mg/1mL 5 mg - بازرگاني سها کيش</t>
        </is>
      </c>
      <c r="E820" t="inlineStr">
        <is>
          <t>تی‌تک و آریا</t>
        </is>
      </c>
    </row>
    <row r="821">
      <c r="A821" t="n">
        <v>820</v>
      </c>
      <c r="B821" t="n">
        <v>51637</v>
      </c>
      <c r="C821" t="inlineStr">
        <is>
          <t>MECLOZINE DIHYDROCHLORIDE TABLET ORAL 25 mg</t>
        </is>
      </c>
      <c r="D821" t="inlineStr">
        <is>
          <t>پوستافن   قرص خوراکي 25 mg - بازرگاني سها کيش</t>
        </is>
      </c>
      <c r="E821" t="inlineStr">
        <is>
          <t>تی‌تک و آریا</t>
        </is>
      </c>
    </row>
    <row r="822">
      <c r="A822" t="n">
        <v>821</v>
      </c>
      <c r="B822" t="n">
        <v>51638</v>
      </c>
      <c r="C822" t="inlineStr">
        <is>
          <t>VANDETANIB TABLET ORAL 100 mg</t>
        </is>
      </c>
      <c r="D822" t="inlineStr">
        <is>
          <t>وندسا   قرص خوراکي 100 mg - نو آوران دارويي کيميا</t>
        </is>
      </c>
      <c r="E822" t="inlineStr">
        <is>
          <t>تی‌تک و آریا</t>
        </is>
      </c>
    </row>
    <row r="823">
      <c r="A823" t="n">
        <v>822</v>
      </c>
      <c r="B823" t="n">
        <v>51673</v>
      </c>
      <c r="C823" t="inlineStr">
        <is>
          <t>SILVER SULFADIAZINE / EGF CREAM TOPICAL 1 %/0.001 % 15 g</t>
        </is>
      </c>
      <c r="D823" t="inlineStr">
        <is>
          <t>برنامين   کرم موضعي 1 %/0.001 % 15 g - دارو درمان برنا</t>
        </is>
      </c>
      <c r="E823" t="inlineStr">
        <is>
          <t>تی‌تک و آریا</t>
        </is>
      </c>
    </row>
    <row r="824">
      <c r="A824" t="n">
        <v>823</v>
      </c>
      <c r="B824" t="n">
        <v>51691</v>
      </c>
      <c r="C824" t="inlineStr">
        <is>
          <t>THIETHYLPERAZINE TABLET ORAL 6.5 mg</t>
        </is>
      </c>
      <c r="E824" t="inlineStr">
        <is>
          <t>فقط تی‌تک</t>
        </is>
      </c>
    </row>
    <row r="825">
      <c r="A825" t="n">
        <v>824</v>
      </c>
      <c r="B825" t="n">
        <v>51703</v>
      </c>
      <c r="C825" t="inlineStr">
        <is>
          <t>ARTIFICIAL TEARS (HYALURONATE SODIUM) SOLUTION, DROPS OPHTHALMIC 0.2 %</t>
        </is>
      </c>
      <c r="D825" t="inlineStr">
        <is>
          <t>آرتيپيک ادونسد    محلول، قطره چشمي 0.2 %  mL</t>
        </is>
      </c>
      <c r="E825" t="inlineStr">
        <is>
          <t>تی‌تک و آریا</t>
        </is>
      </c>
    </row>
    <row r="826">
      <c r="A826" t="n">
        <v>825</v>
      </c>
      <c r="B826" t="n">
        <v>51709</v>
      </c>
      <c r="C826" t="inlineStr">
        <is>
          <t>TRIAMCINOLONE ACETONIDE SPRAY NASAL 55 ug/1{dose}</t>
        </is>
      </c>
      <c r="D826" t="inlineStr">
        <is>
          <t>دي بي-تريامسين   اسپري از راه بيني 55 ug/1{dose}  mL - لابراتوار هاي دنياي بهداشت</t>
        </is>
      </c>
      <c r="E826" t="inlineStr">
        <is>
          <t>تی‌تک و آریا</t>
        </is>
      </c>
    </row>
    <row r="827">
      <c r="A827" t="n">
        <v>826</v>
      </c>
      <c r="B827" t="n">
        <v>51718</v>
      </c>
      <c r="C827" t="inlineStr">
        <is>
          <t>TRICLOCARBAN SOAP TOPICAL 1 % 100 g</t>
        </is>
      </c>
      <c r="D827" t="inlineStr">
        <is>
          <t>بي باکتر   صابون موضعي 1 % 100 g - ساپونين ايران</t>
        </is>
      </c>
      <c r="E827" t="inlineStr">
        <is>
          <t>تی‌تک و آریا</t>
        </is>
      </c>
    </row>
    <row r="828">
      <c r="A828" t="n">
        <v>827</v>
      </c>
      <c r="B828" t="n">
        <v>51720</v>
      </c>
      <c r="C828" t="inlineStr">
        <is>
          <t>SUPERPARAMAGNETIC DEXTRAN NANOPARTICLES INJECTION, SUSPENSION PARENTERAL 13 %/87 % 10 mL</t>
        </is>
      </c>
      <c r="D828" t="inlineStr">
        <is>
          <t>نانومگ-دي-اسپيو   سوسپانسيون تزريقي پرنترال 13 %/87 % 10 mL - بازرگاني سها کيش</t>
        </is>
      </c>
      <c r="E828" t="inlineStr">
        <is>
          <t>تی‌تک و آریا</t>
        </is>
      </c>
    </row>
    <row r="829">
      <c r="A829" t="n">
        <v>828</v>
      </c>
      <c r="B829" t="n">
        <v>51722</v>
      </c>
      <c r="C829" t="inlineStr">
        <is>
          <t>VINFLUNINE DITARTRATE INJECTION PARENTERAL 25 mg/1mL 10 mL</t>
        </is>
      </c>
      <c r="D829" t="inlineStr">
        <is>
          <t>جاولور   تزريقي پرنترال 25 mg/1mL 10 mg - بازرگاني سها کيش</t>
        </is>
      </c>
      <c r="E829" t="inlineStr">
        <is>
          <t>تی‌تک و آریا</t>
        </is>
      </c>
    </row>
    <row r="830">
      <c r="A830" t="n">
        <v>829</v>
      </c>
      <c r="B830" t="n">
        <v>51725</v>
      </c>
      <c r="C830" t="inlineStr">
        <is>
          <t>NEOMYCIN SULFATE / POLYMYXIN B SULFATE / DEXAMETHASONE SUSPENSION, DROPS OPHTHALMIC 3500 [iU]/6000 [iU]/1 mg/1mL 5 mL</t>
        </is>
      </c>
      <c r="D830" t="inlineStr">
        <is>
          <t>مکسي ترول   سوسپانسيون، قطره چشمي 3500 [iU]/6000 [iU]/1 mg/1mL 5 mL - نوين دارو پژوه ايرانيان</t>
        </is>
      </c>
      <c r="E830" t="inlineStr">
        <is>
          <t>تی‌تک و آریا</t>
        </is>
      </c>
    </row>
    <row r="831">
      <c r="A831" t="n">
        <v>830</v>
      </c>
      <c r="B831" t="n">
        <v>51747</v>
      </c>
      <c r="C831" t="inlineStr">
        <is>
          <t>ZIDOVUDINE INJECTION, SOLUTION, CONCENTRATE PARENTERAL 10 mg/1mL</t>
        </is>
      </c>
      <c r="D831" t="inlineStr">
        <is>
          <t>رترووير   محلول غليظ تزريقي پرنترال 10 mg/1mL  mg - کي بي سي</t>
        </is>
      </c>
      <c r="E831" t="inlineStr">
        <is>
          <t>تی‌تک و آریا</t>
        </is>
      </c>
    </row>
    <row r="832">
      <c r="A832" t="n">
        <v>831</v>
      </c>
      <c r="B832" t="n">
        <v>51790</v>
      </c>
      <c r="C832" t="inlineStr">
        <is>
          <t>NICOTINE (AS POLACRILEX) LOZENGE ORAL 2 mg</t>
        </is>
      </c>
      <c r="D832" t="inlineStr">
        <is>
          <t>نيکوکات   قرص مکيدني خوراکي 2 mg - هست آفرين دارو</t>
        </is>
      </c>
      <c r="E832" t="inlineStr">
        <is>
          <t>تی‌تک و آریا</t>
        </is>
      </c>
    </row>
    <row r="833">
      <c r="A833" t="n">
        <v>832</v>
      </c>
      <c r="B833" t="n">
        <v>51793</v>
      </c>
      <c r="C833" t="inlineStr">
        <is>
          <t>NICOTINE (AS POLACRILEX) LOZENGE ORAL 4 mg</t>
        </is>
      </c>
      <c r="D833" t="inlineStr">
        <is>
          <t>نيکوکات   قرص مکيدني خوراکي 4 mg - هست آفرين دارو</t>
        </is>
      </c>
      <c r="E833" t="inlineStr">
        <is>
          <t>تی‌تک و آریا</t>
        </is>
      </c>
    </row>
    <row r="834">
      <c r="A834" t="n">
        <v>833</v>
      </c>
      <c r="B834" t="n">
        <v>51809</v>
      </c>
      <c r="C834" t="inlineStr">
        <is>
          <t>NITROUS OXIDE / OXYGEN GAS RESPIRATORY 50 %/50 % 7 kg</t>
        </is>
      </c>
      <c r="D834" t="inlineStr">
        <is>
          <t>درمان نوکس   گاز استنشاقي 50 %/50 % 7 L - درمان گاز</t>
        </is>
      </c>
      <c r="E834" t="inlineStr">
        <is>
          <t>تی‌تک و آریا</t>
        </is>
      </c>
    </row>
    <row r="835">
      <c r="A835" t="n">
        <v>834</v>
      </c>
      <c r="B835" t="n">
        <v>51816</v>
      </c>
      <c r="C835" t="inlineStr">
        <is>
          <t>SODIUM TETRADECYL SULFATE INJECTION PARENTERAL 0.5 % 2 mL</t>
        </is>
      </c>
      <c r="D835" t="inlineStr">
        <is>
          <t>فيبرووين   تزريقي پرنترال 0.5 % 2 mg - سينا پيشگام دارو نوين</t>
        </is>
      </c>
      <c r="E835" t="inlineStr">
        <is>
          <t>تی‌تک و آریا</t>
        </is>
      </c>
    </row>
    <row r="836">
      <c r="A836" t="n">
        <v>835</v>
      </c>
      <c r="B836" t="n">
        <v>51822</v>
      </c>
      <c r="C836" t="inlineStr">
        <is>
          <t>THALIDOMIDE CAPSULE ORAL 50 mg</t>
        </is>
      </c>
      <c r="D836" t="inlineStr">
        <is>
          <t>تاليدومايد   کپسول خوراکي 50 mg - رضا دارو پارس</t>
        </is>
      </c>
      <c r="E836" t="inlineStr">
        <is>
          <t>تی‌تک و آریا</t>
        </is>
      </c>
    </row>
    <row r="837">
      <c r="A837" t="n">
        <v>836</v>
      </c>
      <c r="B837" t="n">
        <v>51828</v>
      </c>
      <c r="C837" t="inlineStr">
        <is>
          <t>HEPATITIS B VIRUS INJECTION PARENTERAL 1 {dose} 1 mL</t>
        </is>
      </c>
      <c r="D837" t="inlineStr">
        <is>
          <t>واکسن هپاتيت بي    تزريقي پرنترال 1 {dose} 1 {dose} - اوين دارو</t>
        </is>
      </c>
      <c r="E837" t="inlineStr">
        <is>
          <t>تی‌تک و آریا</t>
        </is>
      </c>
    </row>
    <row r="838">
      <c r="A838" t="n">
        <v>837</v>
      </c>
      <c r="B838" t="n">
        <v>51831</v>
      </c>
      <c r="C838" t="inlineStr">
        <is>
          <t>PEMBROLIZUMAB INJECTION, POWDER, LYOPHILIZED, FOR SOLUTION PARENTERAL 50 mg</t>
        </is>
      </c>
      <c r="D838" t="inlineStr">
        <is>
          <t>کيترودا   پودر لئوفيليزه براي تهيه محلول تزريقي پرنترال 50 mg  mg - بازرگاني سها کيش</t>
        </is>
      </c>
      <c r="E838" t="inlineStr">
        <is>
          <t>تی‌تک و آریا</t>
        </is>
      </c>
    </row>
    <row r="839">
      <c r="A839" t="n">
        <v>838</v>
      </c>
      <c r="B839" t="n">
        <v>51840</v>
      </c>
      <c r="C839" t="inlineStr">
        <is>
          <t>POSACONAZOLE TABLET, DELAYED RELEASE ORAL 100 mg</t>
        </is>
      </c>
      <c r="D839" t="inlineStr">
        <is>
          <t>موکورفيکس   قرص انتريک کوتد خوراکي 100 mg - يارا طب خاورميانه</t>
        </is>
      </c>
      <c r="E839" t="inlineStr">
        <is>
          <t>تی‌تک و آریا</t>
        </is>
      </c>
    </row>
    <row r="840">
      <c r="A840" t="n">
        <v>839</v>
      </c>
      <c r="B840" t="n">
        <v>51847</v>
      </c>
      <c r="C840" t="inlineStr">
        <is>
          <t>BUPIVACAINE HYDROCHLORIDE INJECTION PARENTERAL 0.5 % 10 mL</t>
        </is>
      </c>
      <c r="D840" t="inlineStr">
        <is>
          <t>بوپيواکائين گريندکس   تزريقي پرنترال 0.5 % 10 mL - دارو اثرت گستر</t>
        </is>
      </c>
      <c r="E840" t="inlineStr">
        <is>
          <t>تی‌تک و آریا</t>
        </is>
      </c>
    </row>
    <row r="841">
      <c r="A841" t="n">
        <v>840</v>
      </c>
      <c r="B841" t="n">
        <v>51860</v>
      </c>
      <c r="C841" t="inlineStr">
        <is>
          <t>NITROGLYCERIN INJECTION PARENTERAL 1 mg/1mL 10 mL</t>
        </is>
      </c>
      <c r="D841" t="inlineStr">
        <is>
          <t>نيتروگليسيرين   تزريقي پرنترال 1 mg/1mL 10 mg - دارو گستر تدبير نيکان</t>
        </is>
      </c>
      <c r="E841" t="inlineStr">
        <is>
          <t>تی‌تک و آریا</t>
        </is>
      </c>
    </row>
    <row r="842">
      <c r="A842" t="n">
        <v>841</v>
      </c>
      <c r="B842" t="n">
        <v>51864</v>
      </c>
      <c r="C842" t="inlineStr">
        <is>
          <t>CARBAMAZEPINE SUSPENSION ORAL 100 mg/5mL 120 mL</t>
        </is>
      </c>
      <c r="E842" t="inlineStr">
        <is>
          <t>فقط تی‌تک</t>
        </is>
      </c>
    </row>
    <row r="843">
      <c r="A843" t="n">
        <v>842</v>
      </c>
      <c r="B843" t="n">
        <v>51865</v>
      </c>
      <c r="C843" t="inlineStr">
        <is>
          <t>PALIPERIDONE TABLET, EXTENDED RELEASE ORAL 3 mg</t>
        </is>
      </c>
      <c r="E843" t="inlineStr">
        <is>
          <t>فقط تی‌تک</t>
        </is>
      </c>
    </row>
    <row r="844">
      <c r="A844" t="n">
        <v>843</v>
      </c>
      <c r="B844" t="n">
        <v>51870</v>
      </c>
      <c r="C844" t="inlineStr">
        <is>
          <t>METHADONE HYDROCHLORIDE TABLET, FOR SUSPENSION ORAL 20 mg</t>
        </is>
      </c>
      <c r="E844" t="inlineStr">
        <is>
          <t>فقط تی‌تک</t>
        </is>
      </c>
    </row>
    <row r="845">
      <c r="A845" t="n">
        <v>844</v>
      </c>
      <c r="B845" t="n">
        <v>51871</v>
      </c>
      <c r="C845" t="inlineStr">
        <is>
          <t>METHADONE HYDROCHLORIDE TABLET, FOR SUSPENSION ORAL 40 mg</t>
        </is>
      </c>
      <c r="E845" t="inlineStr">
        <is>
          <t>فقط تی‌تک</t>
        </is>
      </c>
    </row>
    <row r="846">
      <c r="A846" t="n">
        <v>845</v>
      </c>
      <c r="B846" t="n">
        <v>51882</v>
      </c>
      <c r="C846" t="inlineStr">
        <is>
          <t>NITROFURANTOIN SUSPENSION ORAL 25 mg/5mL 100 mL</t>
        </is>
      </c>
      <c r="D846" t="inlineStr">
        <is>
          <t>پي يلوسپيتايل   سوسپانسيون خوراکي 25 mg/5mL 100 mL - دنيز دارو درمان</t>
        </is>
      </c>
      <c r="E846" t="inlineStr">
        <is>
          <t>تی‌تک و آریا</t>
        </is>
      </c>
    </row>
    <row r="847">
      <c r="A847" t="n">
        <v>846</v>
      </c>
      <c r="B847" t="n">
        <v>51890</v>
      </c>
      <c r="C847" t="inlineStr">
        <is>
          <t>FORMOTEROL FUMARATE AEROSOL, METERED RESPIRATORY 12 ug/1{dose} 60 {Puff}</t>
        </is>
      </c>
      <c r="D847" t="inlineStr">
        <is>
          <t>فوراديل   آئروسل با دوز اندازه گيري شده استنشاقي 12 ug/1{dose} 60 - تهران الکتريک</t>
        </is>
      </c>
      <c r="E847" t="inlineStr">
        <is>
          <t>تی‌تک و آریا</t>
        </is>
      </c>
    </row>
    <row r="848">
      <c r="A848" t="n">
        <v>847</v>
      </c>
      <c r="B848" t="n">
        <v>51891</v>
      </c>
      <c r="C848" t="inlineStr">
        <is>
          <t>ARTIFICIAL TEARS SOLUTION, DROPS OPHTHALMIC 0.3 % 10 mL</t>
        </is>
      </c>
      <c r="D848" t="inlineStr">
        <is>
          <t>تيرلوز   محلول، قطره چشمي 0.3 % 10 mL - لابراتوارهاي سينا دارو</t>
        </is>
      </c>
      <c r="E848" t="inlineStr">
        <is>
          <t>تی‌تک و آریا</t>
        </is>
      </c>
    </row>
    <row r="849">
      <c r="A849" t="n">
        <v>848</v>
      </c>
      <c r="B849" t="n">
        <v>51892</v>
      </c>
      <c r="C849" t="inlineStr">
        <is>
          <t>ARTIFICIAL TEARS SOLUTION, DROPS OPHTHALMIC 0.3 % 0.5 mL</t>
        </is>
      </c>
      <c r="D849" t="inlineStr">
        <is>
          <t>سينالون   محلول، قطره چشمي 0.3 % 0.5 mL - لابراتوارهاي سينا دارو</t>
        </is>
      </c>
      <c r="E849" t="inlineStr">
        <is>
          <t>تی‌تک و آریا</t>
        </is>
      </c>
    </row>
    <row r="850">
      <c r="A850" t="n">
        <v>849</v>
      </c>
      <c r="B850" t="n">
        <v>51897</v>
      </c>
      <c r="C850" t="inlineStr">
        <is>
          <t>POTASSIUM CHLORIDE CAPSULE, EXTENDED RELEASE ORAL 600 mg</t>
        </is>
      </c>
      <c r="D850" t="inlineStr">
        <is>
          <t>پتاسيون   کپسول پيوسته رهش خوراکي 600 mg - سينا پيشگام دارو نوين</t>
        </is>
      </c>
      <c r="E850" t="inlineStr">
        <is>
          <t>تی‌تک و آریا</t>
        </is>
      </c>
    </row>
    <row r="851">
      <c r="A851" t="n">
        <v>850</v>
      </c>
      <c r="B851" t="n">
        <v>51899</v>
      </c>
      <c r="C851" t="inlineStr">
        <is>
          <t>HYDROXOCOBALAMIN INJECTION PARENTERAL 5 mg/1mL 2 mL</t>
        </is>
      </c>
      <c r="D851" t="inlineStr">
        <is>
          <t>هيدروکسوکوبالامين   تزريقي پرنترال 5 mg/1mL 2 mg - رايان دارو ايرانيان</t>
        </is>
      </c>
      <c r="E851" t="inlineStr">
        <is>
          <t>تی‌تک و آریا</t>
        </is>
      </c>
    </row>
    <row r="852">
      <c r="A852" t="n">
        <v>851</v>
      </c>
      <c r="B852" t="n">
        <v>51900</v>
      </c>
      <c r="C852" t="inlineStr">
        <is>
          <t>ARTIFICIAL TEARS (HYALURONATE SODIUM) SOLUTION, DROPS OPHTHALMIC 0.15 % 0.35 mL</t>
        </is>
      </c>
      <c r="D852" t="inlineStr">
        <is>
          <t>بلويال  يو دي   محلول، قطره چشمي 0.15 % 0.35 mL</t>
        </is>
      </c>
      <c r="E852" t="inlineStr">
        <is>
          <t>تی‌تک و آریا</t>
        </is>
      </c>
    </row>
    <row r="853">
      <c r="A853" t="n">
        <v>852</v>
      </c>
      <c r="B853" t="n">
        <v>51904</v>
      </c>
      <c r="C853" t="inlineStr">
        <is>
          <t>ARTIFICIAL TEARS (HYALURONATE SODIUM) SOLUTION, DROPS OPHTHALMIC 0.4 % 0.5 mL</t>
        </is>
      </c>
      <c r="D853" t="inlineStr">
        <is>
          <t>ارتيپيک ادونسد   محلول، قطره چشمي 0.4 % 0.5 mL - فرآورده هاي تزريقي و دارويي ايران</t>
        </is>
      </c>
      <c r="E853" t="inlineStr">
        <is>
          <t>تی‌تک و آریا</t>
        </is>
      </c>
    </row>
    <row r="854">
      <c r="A854" t="n">
        <v>853</v>
      </c>
      <c r="B854" t="n">
        <v>51905</v>
      </c>
      <c r="C854" t="inlineStr">
        <is>
          <t>ARTIFICIAL TEARS (HYALURONATE SODIUM / TS-POLYSACCARIDE) SOLUTION, DROPS OPHTHALMIC 0.2 %/0.2 % 0.5 mL</t>
        </is>
      </c>
      <c r="E854" t="inlineStr">
        <is>
          <t>فقط تی‌تک</t>
        </is>
      </c>
    </row>
    <row r="855">
      <c r="A855" t="n">
        <v>854</v>
      </c>
      <c r="B855" t="n">
        <v>51906</v>
      </c>
      <c r="C855" t="inlineStr">
        <is>
          <t>ARTIFICIAL TEARS (HYALURONATE SODIUM / TS-POLYSACCARIDE) SOLUTION, DROPS OPHTHALMIC 0.2 %/0.2 % 10 mL</t>
        </is>
      </c>
      <c r="E855" t="inlineStr">
        <is>
          <t>فقط تی‌تک</t>
        </is>
      </c>
    </row>
    <row r="856">
      <c r="A856" t="n">
        <v>855</v>
      </c>
      <c r="B856" t="n">
        <v>51907</v>
      </c>
      <c r="C856" t="inlineStr">
        <is>
          <t>ARTIFICIAL TEARS (HYALURONATE SODIUM) SOLUTION, DROPS OPHTHALMIC 0.4 % 10 mL</t>
        </is>
      </c>
      <c r="E856" t="inlineStr">
        <is>
          <t>فقط تی‌تک</t>
        </is>
      </c>
    </row>
    <row r="857">
      <c r="A857" t="n">
        <v>856</v>
      </c>
      <c r="B857" t="n">
        <v>51908</v>
      </c>
      <c r="C857" t="inlineStr">
        <is>
          <t>DICLOFENAC EPOLAMINE PATCH TOPICAL 1.3 %</t>
        </is>
      </c>
      <c r="D857" t="inlineStr">
        <is>
          <t>فلکتور اي پي تيشوژل   پچ موضعي 1.3 % - توسعه تجارت  رويکرد نوين</t>
        </is>
      </c>
      <c r="E857" t="inlineStr">
        <is>
          <t>تی‌تک و آریا</t>
        </is>
      </c>
    </row>
    <row r="858">
      <c r="A858" t="n">
        <v>857</v>
      </c>
      <c r="B858" t="n">
        <v>51913</v>
      </c>
      <c r="C858" t="inlineStr">
        <is>
          <t>BETAMETHASONE (AS VALERATE) OINTMENT TOPICAL 0.1 % 500 g</t>
        </is>
      </c>
      <c r="D858" t="inlineStr">
        <is>
          <t>بتامتازون- عماد   پماد موضعي 0.1 % 500 g - عماد درمان پارس</t>
        </is>
      </c>
      <c r="E858" t="inlineStr">
        <is>
          <t>تی‌تک و آریا</t>
        </is>
      </c>
    </row>
    <row r="859">
      <c r="A859" t="n">
        <v>858</v>
      </c>
      <c r="B859" t="n">
        <v>51916</v>
      </c>
      <c r="C859" t="inlineStr">
        <is>
          <t>PANCREATIN CAPSULE, DELAYED RELEASE PELLETS ORAL 40000 [iU]</t>
        </is>
      </c>
      <c r="D859" t="inlineStr">
        <is>
          <t>کرئون   کپسول (پلت هاي انتريک کوتد) خوراکي 40000 [iU] - بهستان دارو</t>
        </is>
      </c>
      <c r="E859" t="inlineStr">
        <is>
          <t>تی‌تک و آریا</t>
        </is>
      </c>
    </row>
    <row r="860">
      <c r="A860" t="n">
        <v>859</v>
      </c>
      <c r="B860" t="n">
        <v>51917</v>
      </c>
      <c r="C860" t="inlineStr">
        <is>
          <t>LATANOPROST SOLUTION, DROPS OPHTHALMIC 50 ug/1mL 5 mL</t>
        </is>
      </c>
      <c r="D860" t="inlineStr">
        <is>
          <t>گلوک-آي   محلول، قطره چشمي 50 ug/1mL 5 mL - نوآوري زيستي گويا</t>
        </is>
      </c>
      <c r="E860" t="inlineStr">
        <is>
          <t>تی‌تک و آریا</t>
        </is>
      </c>
    </row>
    <row r="861">
      <c r="A861" t="n">
        <v>860</v>
      </c>
      <c r="B861" t="n">
        <v>51918</v>
      </c>
      <c r="C861" t="inlineStr">
        <is>
          <t>TESTOSTERONE UNDECANOATE INJECTION, SOLUTION PARENTERAL 250 mg/1mL 4 mL</t>
        </is>
      </c>
      <c r="D861" t="inlineStr">
        <is>
          <t>نبيدو   محلول تزريقي پرنترال 250 mg/1mL 4 mg - بازرگاني سها کيش</t>
        </is>
      </c>
      <c r="E861" t="inlineStr">
        <is>
          <t>تی‌تک و آریا</t>
        </is>
      </c>
    </row>
    <row r="862">
      <c r="A862" t="n">
        <v>861</v>
      </c>
      <c r="B862" t="n">
        <v>51919</v>
      </c>
      <c r="C862" t="inlineStr">
        <is>
          <t>FUSIDATE SODIUM OINTMENT TOPICAL 2 % 30 g</t>
        </is>
      </c>
      <c r="D862" t="inlineStr">
        <is>
          <t>فوسيدين   پماد موضعي 2 % 30 g - بهستان بهداشت</t>
        </is>
      </c>
      <c r="E862" t="inlineStr">
        <is>
          <t>تی‌تک و آریا</t>
        </is>
      </c>
    </row>
    <row r="863">
      <c r="A863" t="n">
        <v>862</v>
      </c>
      <c r="B863" t="n">
        <v>51920</v>
      </c>
      <c r="C863" t="inlineStr">
        <is>
          <t>METHYLENE BLUE INJECTION PARENTERAL 10 mg/1mL 1 mL</t>
        </is>
      </c>
      <c r="D863" t="inlineStr">
        <is>
          <t>متيبلو   تزريقي پرنترال 10 mg/1mL 1 mg - رايان دارو ايرانيان</t>
        </is>
      </c>
      <c r="E863" t="inlineStr">
        <is>
          <t>تی‌تک و آریا</t>
        </is>
      </c>
    </row>
    <row r="864">
      <c r="A864" t="n">
        <v>863</v>
      </c>
      <c r="B864" t="n">
        <v>51922</v>
      </c>
      <c r="C864" t="inlineStr">
        <is>
          <t>VISMODEGIB CAPSULE ORAL 150 mg</t>
        </is>
      </c>
      <c r="D864" t="inlineStr">
        <is>
          <t>اريوج   کپسول خوراکي 150 mg - آسمان داروي پارس</t>
        </is>
      </c>
      <c r="E864" t="inlineStr">
        <is>
          <t>تی‌تک و آریا</t>
        </is>
      </c>
    </row>
    <row r="865">
      <c r="A865" t="n">
        <v>864</v>
      </c>
      <c r="B865" t="n">
        <v>51926</v>
      </c>
      <c r="C865" t="inlineStr">
        <is>
          <t>FUSIDIC ACID CREAM TOPICAL 2 % 30 g</t>
        </is>
      </c>
      <c r="D865" t="inlineStr">
        <is>
          <t>فوسيدين   کرم موضعي 2 % 30 g - بهستان بهداشت</t>
        </is>
      </c>
      <c r="E865" t="inlineStr">
        <is>
          <t>تی‌تک و آریا</t>
        </is>
      </c>
    </row>
    <row r="866">
      <c r="A866" t="n">
        <v>865</v>
      </c>
      <c r="B866" t="n">
        <v>51928</v>
      </c>
      <c r="C866" t="inlineStr">
        <is>
          <t>SODIUM CHLORIDE INJECTION, SOLUTION INTRAVENOUS 5 % 5 mL</t>
        </is>
      </c>
      <c r="D866" t="inlineStr">
        <is>
          <t>سديم کلرايد   محلول تزريقي داخل وريدي 5 % 5 mL - فرآورده هاي تزريقي و دارويي ايران</t>
        </is>
      </c>
      <c r="E866" t="inlineStr">
        <is>
          <t>تی‌تک و آریا</t>
        </is>
      </c>
    </row>
    <row r="867">
      <c r="A867" t="n">
        <v>866</v>
      </c>
      <c r="B867" t="n">
        <v>51934</v>
      </c>
      <c r="C867" t="inlineStr">
        <is>
          <t>LIDOCAINE PATCH TOPICAL 5 %</t>
        </is>
      </c>
      <c r="E867" t="inlineStr">
        <is>
          <t>فقط تی‌تک</t>
        </is>
      </c>
    </row>
    <row r="868">
      <c r="A868" t="n">
        <v>867</v>
      </c>
      <c r="B868" t="n">
        <v>51935</v>
      </c>
      <c r="C868" t="inlineStr">
        <is>
          <t>LACTULOSE SYRUP ORAL 10 g/15mL 15 mL</t>
        </is>
      </c>
      <c r="D868" t="inlineStr">
        <is>
          <t>اورالاک   شربت خوراکي 10 g/15mL 15 mL - نوآوران فخر دارو</t>
        </is>
      </c>
      <c r="E868" t="inlineStr">
        <is>
          <t>تی‌تک و آریا</t>
        </is>
      </c>
    </row>
    <row r="869">
      <c r="A869" t="n">
        <v>868</v>
      </c>
      <c r="B869" t="n">
        <v>51936</v>
      </c>
      <c r="C869" t="inlineStr">
        <is>
          <t>PEGFILGRASTIM INJECTION, SOLUTION PARENTERAL 10 mg/1mL 0.3 mL</t>
        </is>
      </c>
      <c r="D869" t="inlineStr">
        <is>
          <t>پد-پي دي لستا   محلول تزريقي پرنترال 10 mg/1mL 0.3 [iU] - فرآورده هاي پويش دارو</t>
        </is>
      </c>
      <c r="E869" t="inlineStr">
        <is>
          <t>تی‌تک و آریا</t>
        </is>
      </c>
    </row>
    <row r="870">
      <c r="A870" t="n">
        <v>869</v>
      </c>
      <c r="B870" t="n">
        <v>51941</v>
      </c>
      <c r="C870" t="inlineStr">
        <is>
          <t>FLUTICASONE PROPIONATE SPRAY NASAL 50 ug/1{Puff} 60 {Puff}</t>
        </is>
      </c>
      <c r="D870" t="inlineStr">
        <is>
          <t>فليکسونيز    اسپري از راه بيني 50 ug/1{Puff} 60 {dose} - کوبل دارو</t>
        </is>
      </c>
      <c r="E870" t="inlineStr">
        <is>
          <t>تی‌تک و آریا</t>
        </is>
      </c>
    </row>
    <row r="871">
      <c r="A871" t="n">
        <v>870</v>
      </c>
      <c r="B871" t="n">
        <v>51945</v>
      </c>
      <c r="C871" t="inlineStr">
        <is>
          <t>BEDAQUILINE TABLET ORAL 100 mg</t>
        </is>
      </c>
      <c r="D871" t="inlineStr">
        <is>
          <t>اس دائولين   قرص خوراکي 100 mg - بازرگاني سها کيش</t>
        </is>
      </c>
      <c r="E871" t="inlineStr">
        <is>
          <t>تی‌تک و آریا</t>
        </is>
      </c>
    </row>
    <row r="872">
      <c r="A872" t="n">
        <v>871</v>
      </c>
      <c r="B872" t="n">
        <v>51946</v>
      </c>
      <c r="C872" t="inlineStr">
        <is>
          <t>ATAZANAVIR / RITONAVIR TABLET ORAL 300 mg/100 mg</t>
        </is>
      </c>
      <c r="D872" t="inlineStr">
        <is>
          <t>آتازاناوير -آر   قرص خوراکي 300 mg/100 mg - يارا طب خاورميانه</t>
        </is>
      </c>
      <c r="E872" t="inlineStr">
        <is>
          <t>تی‌تک و آریا</t>
        </is>
      </c>
    </row>
    <row r="873">
      <c r="A873" t="n">
        <v>872</v>
      </c>
      <c r="B873" t="n">
        <v>51947</v>
      </c>
      <c r="E873" t="inlineStr">
        <is>
          <t>فقط تی‌تک</t>
        </is>
      </c>
    </row>
    <row r="874">
      <c r="A874" t="n">
        <v>873</v>
      </c>
      <c r="B874" t="n">
        <v>51949</v>
      </c>
      <c r="C874" t="inlineStr">
        <is>
          <t>QUININE SULFATE TABLET ORAL 300 mg</t>
        </is>
      </c>
      <c r="D874" t="inlineStr">
        <is>
          <t>ليوکوئين   قرص خوراکي 300 mg - سينا پيشگام دارو نوين</t>
        </is>
      </c>
      <c r="E874" t="inlineStr">
        <is>
          <t>تی‌تک و آریا</t>
        </is>
      </c>
    </row>
    <row r="875">
      <c r="A875" t="n">
        <v>874</v>
      </c>
      <c r="B875" t="n">
        <v>51950</v>
      </c>
      <c r="C875" t="inlineStr">
        <is>
          <t>CHLOROQUINE PHOSPHATE SOLUTION ORAL 80 mg/5mL 60 mL</t>
        </is>
      </c>
      <c r="D875" t="inlineStr">
        <is>
          <t>لارياگو   محلول خوراکي 80 mg/5mL 60 mL - اريکه تجارت ويستا</t>
        </is>
      </c>
      <c r="E875" t="inlineStr">
        <is>
          <t>تی‌تک و آریا</t>
        </is>
      </c>
    </row>
    <row r="876">
      <c r="A876" t="n">
        <v>875</v>
      </c>
      <c r="B876" t="n">
        <v>51951</v>
      </c>
      <c r="C876" t="inlineStr">
        <is>
          <t>FACTOR IX INJECTION, POWDER, LYOPHILIZED, FOR SOLUTION PARENTERAL 600 [iU]</t>
        </is>
      </c>
      <c r="D876" t="inlineStr">
        <is>
          <t>ايميوناين   پودر لئوفيليزه براي تهيه محلول تزريقي پرنترال 600 [iU]  [iU] - کار و انديشه</t>
        </is>
      </c>
      <c r="E876" t="inlineStr">
        <is>
          <t>تی‌تک و آریا</t>
        </is>
      </c>
    </row>
    <row r="877">
      <c r="A877" t="n">
        <v>876</v>
      </c>
      <c r="B877" t="n">
        <v>51957</v>
      </c>
      <c r="C877" t="inlineStr">
        <is>
          <t>EPOETIN INJECTION PARENTERAL 10000 [iU]/1mL 0.4 mL</t>
        </is>
      </c>
      <c r="D877" t="inlineStr">
        <is>
          <t>ايپرکس   تزريقي پرنترال 10000 [iU]/1mL 0.4 [iU] - بهستان دارو</t>
        </is>
      </c>
      <c r="E877" t="inlineStr">
        <is>
          <t>تی‌تک و آریا</t>
        </is>
      </c>
    </row>
    <row r="878">
      <c r="A878" t="n">
        <v>877</v>
      </c>
      <c r="B878" t="n">
        <v>51967</v>
      </c>
      <c r="C878" t="inlineStr">
        <is>
          <t>ROPIVACAINE HYDROCHLORIDE INJECTION, SOLUTION PARENTERAL 7.5 mg/1mL 20 mL</t>
        </is>
      </c>
      <c r="E878" t="inlineStr">
        <is>
          <t>فقط تی‌تک</t>
        </is>
      </c>
    </row>
    <row r="879">
      <c r="A879" t="n">
        <v>878</v>
      </c>
      <c r="B879" t="n">
        <v>51969</v>
      </c>
      <c r="C879" t="inlineStr">
        <is>
          <t>ROPIVACAINE HYDROCHLORIDE INJECTION, SOLUTION PARENTERAL 10 mg/1mL 20 mL</t>
        </is>
      </c>
      <c r="E879" t="inlineStr">
        <is>
          <t>فقط تی‌تک</t>
        </is>
      </c>
    </row>
    <row r="880">
      <c r="A880" t="n">
        <v>879</v>
      </c>
      <c r="B880" t="n">
        <v>51974</v>
      </c>
      <c r="C880" t="inlineStr">
        <is>
          <t>HEPATITIS A, INACTIVATED, WHOLE VIRUS INJECTION, SUSPENSION PARENTERAL 50 [iU]/1mL</t>
        </is>
      </c>
      <c r="D880" t="inlineStr">
        <is>
          <t>وکتا   سوسپانسيون تزريقي پرنترال 50 [iU]/1mL  [iU] - بهستان دارو</t>
        </is>
      </c>
      <c r="E880" t="inlineStr">
        <is>
          <t>تی‌تک و آریا</t>
        </is>
      </c>
    </row>
    <row r="881">
      <c r="A881" t="n">
        <v>880</v>
      </c>
      <c r="B881" t="n">
        <v>51975</v>
      </c>
      <c r="C881" t="inlineStr">
        <is>
          <t>KETAMINE (AS HYDROCHLORIDE) INJECTION PARENTERAL 50 mg/1mL 2 mL</t>
        </is>
      </c>
      <c r="E881" t="inlineStr">
        <is>
          <t>فقط تی‌تک</t>
        </is>
      </c>
    </row>
    <row r="882">
      <c r="A882" t="n">
        <v>881</v>
      </c>
      <c r="B882" t="n">
        <v>51978</v>
      </c>
      <c r="C882" t="inlineStr">
        <is>
          <t>METHADONE HYDROCHLORIDE SOLUTION ORAL 5 mg/5 mL 240 mL</t>
        </is>
      </c>
      <c r="E882" t="inlineStr">
        <is>
          <t>فقط تی‌تک</t>
        </is>
      </c>
    </row>
    <row r="883">
      <c r="A883" t="n">
        <v>882</v>
      </c>
      <c r="B883" t="n">
        <v>51981</v>
      </c>
      <c r="C883" t="inlineStr">
        <is>
          <t>PIRACETAM SOLUTION ORAL 20 % 200 mL</t>
        </is>
      </c>
      <c r="D883" t="inlineStr">
        <is>
          <t>نوتروپيل   محلول خوراکي 20 % 200 % - نوآوران فخر دارو</t>
        </is>
      </c>
      <c r="E883" t="inlineStr">
        <is>
          <t>تی‌تک و آریا</t>
        </is>
      </c>
    </row>
    <row r="884">
      <c r="A884" t="n">
        <v>883</v>
      </c>
      <c r="B884" t="n">
        <v>51985</v>
      </c>
      <c r="C884" t="inlineStr">
        <is>
          <t>IDARUBICIN HYDROCHLORIDE INJECTION, SOLUTION PARENTERAL 1 mg/1mL 20 mL</t>
        </is>
      </c>
      <c r="D884" t="inlineStr">
        <is>
          <t>ايدانترا   محلول تزريقي پرنترال 1 mg/1mL 20 mg - نانو فناوران داروئي الوند</t>
        </is>
      </c>
      <c r="E884" t="inlineStr">
        <is>
          <t>تی‌تک و آریا</t>
        </is>
      </c>
    </row>
    <row r="885">
      <c r="A885" t="n">
        <v>884</v>
      </c>
      <c r="B885" t="n">
        <v>51990</v>
      </c>
      <c r="C885" t="inlineStr">
        <is>
          <t>ARTIFICIAL TEARS (HYALURONATE SODIUM) SOLUTION, DROPS OPHTHALMIC 0.3 % 0.35 mL</t>
        </is>
      </c>
      <c r="E885" t="inlineStr">
        <is>
          <t>فقط تی‌تک</t>
        </is>
      </c>
    </row>
    <row r="886">
      <c r="A886" t="n">
        <v>885</v>
      </c>
      <c r="B886" t="n">
        <v>51992</v>
      </c>
      <c r="C886" t="inlineStr">
        <is>
          <t>CREAM BASE CREAM TOPICAL 200 % 2 kg</t>
        </is>
      </c>
      <c r="D886" t="inlineStr">
        <is>
          <t>اسرين   کرم موضعي 200 % 2 kg - عماد درمان پارس</t>
        </is>
      </c>
      <c r="E886" t="inlineStr">
        <is>
          <t>تی‌تک و آریا</t>
        </is>
      </c>
    </row>
    <row r="887">
      <c r="A887" t="n">
        <v>886</v>
      </c>
      <c r="B887" t="n">
        <v>51993</v>
      </c>
      <c r="C887" t="inlineStr">
        <is>
          <t>CREAM BASE CREAM TOPICAL 400 % 2 kg</t>
        </is>
      </c>
      <c r="D887" t="inlineStr">
        <is>
          <t>اسرين   کرم موضعي 400 % 2 kg - عماد درمان پارس</t>
        </is>
      </c>
      <c r="E887" t="inlineStr">
        <is>
          <t>تی‌تک و آریا</t>
        </is>
      </c>
    </row>
    <row r="888">
      <c r="A888" t="n">
        <v>887</v>
      </c>
      <c r="B888" t="n">
        <v>51996</v>
      </c>
      <c r="C888" t="inlineStr">
        <is>
          <t>MICONAZOLE NITRATE CREAM TOPICAL 2 % 40 g</t>
        </is>
      </c>
      <c r="D888" t="inlineStr">
        <is>
          <t>داکتارين   کرم موضعي 2 % 40 g - رضا دارو پارس</t>
        </is>
      </c>
      <c r="E888" t="inlineStr">
        <is>
          <t>تی‌تک و آریا</t>
        </is>
      </c>
    </row>
    <row r="889">
      <c r="A889" t="n">
        <v>888</v>
      </c>
      <c r="B889" t="n">
        <v>51997</v>
      </c>
      <c r="C889" t="inlineStr">
        <is>
          <t>IGM-ENRICHED HUMAN (IMMUNE GLOBULIN) INJECTION PARENTERAL 50 mg/1mL 50 mL</t>
        </is>
      </c>
      <c r="D889" t="inlineStr">
        <is>
          <t>پنتاگلوبين   تزريقي پرنترال 50 mg/1mL 50 g - دارو درمان آرنگ</t>
        </is>
      </c>
      <c r="E889" t="inlineStr">
        <is>
          <t>تی‌تک و آریا</t>
        </is>
      </c>
    </row>
    <row r="890">
      <c r="A890" t="n">
        <v>889</v>
      </c>
      <c r="B890" t="n">
        <v>51999</v>
      </c>
      <c r="C890" t="inlineStr">
        <is>
          <t>TEMOCILLIN SODIUM INJECTION, POWDER, FOR SOLUTION PARENTERAL 1 g</t>
        </is>
      </c>
      <c r="D890" t="inlineStr">
        <is>
          <t>نگابان   پودر براي تهيه محلول تزريقي پرنترال 1 g  g - وليان دارو</t>
        </is>
      </c>
      <c r="E890" t="inlineStr">
        <is>
          <t>تی‌تک و آریا</t>
        </is>
      </c>
    </row>
    <row r="891">
      <c r="A891" t="n">
        <v>890</v>
      </c>
      <c r="B891" t="n">
        <v>52004</v>
      </c>
      <c r="C891" t="inlineStr">
        <is>
          <t>ARTIFICIAL TEARS (HYPROMELLOSE) SOLUTION, DROPS OPHTHALMIC 0.5 % 15 mL</t>
        </is>
      </c>
      <c r="E891" t="inlineStr">
        <is>
          <t>فقط تی‌تک</t>
        </is>
      </c>
    </row>
    <row r="892">
      <c r="A892" t="n">
        <v>891</v>
      </c>
      <c r="B892" t="n">
        <v>52005</v>
      </c>
      <c r="C892" t="inlineStr">
        <is>
          <t>SALICYLIC ACID PLASTER TOPICAL 40 %</t>
        </is>
      </c>
      <c r="D892" t="inlineStr">
        <is>
          <t>آجيکور   پلاستر موضعي 40 %  % - بازرگاني پارسيان ستاره غرب</t>
        </is>
      </c>
      <c r="E892" t="inlineStr">
        <is>
          <t>تی‌تک و آریا</t>
        </is>
      </c>
    </row>
    <row r="893">
      <c r="A893" t="n">
        <v>892</v>
      </c>
      <c r="B893" t="n">
        <v>52013</v>
      </c>
      <c r="C893" t="inlineStr">
        <is>
          <t>TEGAFUR / GIMERACIL / OTERACIL CAPSULE ORAL 20 mg/5.8 mg/15.8 mg</t>
        </is>
      </c>
      <c r="D893" t="inlineStr">
        <is>
          <t>اس- وان تريو   کپسول خوراکي 20 mg/5.8 mg/15.8 mg - مرز گستران فناوري آينده</t>
        </is>
      </c>
      <c r="E893" t="inlineStr">
        <is>
          <t>تی‌تک و آریا</t>
        </is>
      </c>
    </row>
    <row r="894">
      <c r="A894" t="n">
        <v>893</v>
      </c>
      <c r="B894" t="n">
        <v>52027</v>
      </c>
      <c r="C894" t="inlineStr">
        <is>
          <t>AZITHROMYCIN DIHYDRATE SOLUTION, DROPS OPHTHALMIC 1.5 % 0.25 g</t>
        </is>
      </c>
      <c r="D894" t="inlineStr">
        <is>
          <t>آزيتر   محلول، قطره چشمي 1.5 % 0.25 g - کوشان فارمد</t>
        </is>
      </c>
      <c r="E894" t="inlineStr">
        <is>
          <t>تی‌تک و آریا</t>
        </is>
      </c>
    </row>
    <row r="895">
      <c r="A895" t="n">
        <v>894</v>
      </c>
      <c r="B895" t="n">
        <v>52029</v>
      </c>
      <c r="C895" t="inlineStr">
        <is>
          <t>POVIDONE IODINE SOLUTION TOPICAL 10 % 30 mL</t>
        </is>
      </c>
      <c r="D895" t="inlineStr">
        <is>
          <t>باکترباي   محلول موضعي 10 % 30 mL - کيش مديفارم</t>
        </is>
      </c>
      <c r="E895" t="inlineStr">
        <is>
          <t>تی‌تک و آریا</t>
        </is>
      </c>
    </row>
    <row r="896">
      <c r="A896" t="n">
        <v>895</v>
      </c>
      <c r="B896" t="n">
        <v>52030</v>
      </c>
      <c r="C896" t="inlineStr">
        <is>
          <t>POVIDONE IODINE SOLUTION TOPICAL 10 % 110 mL</t>
        </is>
      </c>
      <c r="D896" t="inlineStr">
        <is>
          <t>پارساداين   محلول موضعي 10 % 110 mL - پارس مهديس دارو</t>
        </is>
      </c>
      <c r="E896" t="inlineStr">
        <is>
          <t>تی‌تک و آریا</t>
        </is>
      </c>
    </row>
    <row r="897">
      <c r="A897" t="n">
        <v>896</v>
      </c>
      <c r="B897" t="n">
        <v>52034</v>
      </c>
      <c r="C897" t="inlineStr">
        <is>
          <t>INTERFERON BETA-1A INJECTION PARENTERAL 12000000 [iU] 1.5 mL</t>
        </is>
      </c>
      <c r="D897" t="inlineStr">
        <is>
          <t>رسيژن   تزريقي پرنترال 12000000 [iU] 1.5 ug - تحقيقاتي وتوليدي سينا ژن</t>
        </is>
      </c>
      <c r="E897" t="inlineStr">
        <is>
          <t>تی‌تک و آریا</t>
        </is>
      </c>
    </row>
    <row r="898">
      <c r="A898" t="n">
        <v>897</v>
      </c>
      <c r="B898" t="n">
        <v>52035</v>
      </c>
      <c r="C898" t="inlineStr">
        <is>
          <t>ADALIMUMAB INJECTION, SOLUTION PARENTERAL 50 mg/1mL 0.4 mL</t>
        </is>
      </c>
      <c r="D898" t="inlineStr">
        <is>
          <t>کيدي مب   محلول تزريقي پرنترال 50 mg/1mL 0.4 mg - تحقيقاتي وتوليدي سينا ژن</t>
        </is>
      </c>
      <c r="E898" t="inlineStr">
        <is>
          <t>تی‌تک و آریا</t>
        </is>
      </c>
    </row>
    <row r="899">
      <c r="A899" t="n">
        <v>898</v>
      </c>
      <c r="B899" t="n">
        <v>52038</v>
      </c>
      <c r="C899" t="inlineStr">
        <is>
          <t>DOMPERIDONE SUSPENSION ORAL 1 mg/1 mL 200 mL</t>
        </is>
      </c>
      <c r="D899" t="inlineStr">
        <is>
          <t>دومپريدون   سوسپانسيون خوراکي 1 mg/1 mL 200 mL - افق دارو پارس</t>
        </is>
      </c>
      <c r="E899" t="inlineStr">
        <is>
          <t>تی‌تک و آریا</t>
        </is>
      </c>
    </row>
    <row r="900">
      <c r="A900" t="n">
        <v>899</v>
      </c>
      <c r="B900" t="n">
        <v>52040</v>
      </c>
      <c r="C900" t="inlineStr">
        <is>
          <t>CALFACTANT SUSPENSION ENDOTRACHEAL 35 mg/1mL 3 mL</t>
        </is>
      </c>
      <c r="D900" t="inlineStr">
        <is>
          <t>اينفاسرف   سوسپانسيون داخل تراشه اي 35 mg/1mL 3 mL - کيميا آرا هرم</t>
        </is>
      </c>
      <c r="E900" t="inlineStr">
        <is>
          <t>تی‌تک و آریا</t>
        </is>
      </c>
    </row>
    <row r="901">
      <c r="A901" t="n">
        <v>900</v>
      </c>
      <c r="B901" t="n">
        <v>52041</v>
      </c>
      <c r="C901" t="inlineStr">
        <is>
          <t>CALFACTANT SUSPENSION ENDOTRACHEAL 35 mg/1mL 6 mL</t>
        </is>
      </c>
      <c r="D901" t="inlineStr">
        <is>
          <t>اينفاسرف   سوسپانسيون داخل تراشه اي 35 mg/1mL 6 mL - کيميا آرا هرم</t>
        </is>
      </c>
      <c r="E901" t="inlineStr">
        <is>
          <t>تی‌تک و آریا</t>
        </is>
      </c>
    </row>
    <row r="902">
      <c r="A902" t="n">
        <v>901</v>
      </c>
      <c r="B902" t="n">
        <v>52042</v>
      </c>
      <c r="C902" t="inlineStr">
        <is>
          <t>CYTISINE TABLET ORAL 1.5 mg</t>
        </is>
      </c>
      <c r="D902" t="inlineStr">
        <is>
          <t>تابکس   قرص خوراکي 1.5 mg - بازرگاني سها کيش</t>
        </is>
      </c>
      <c r="E902" t="inlineStr">
        <is>
          <t>تی‌تک و آریا</t>
        </is>
      </c>
    </row>
    <row r="903">
      <c r="A903" t="n">
        <v>902</v>
      </c>
      <c r="B903" t="n">
        <v>52043</v>
      </c>
      <c r="C903" t="inlineStr">
        <is>
          <t>DEXMEDETOMIDINE (AS HYDROCHLORIDE) INJECTION PARENTERAL 4 ug/1mL 50 mL</t>
        </is>
      </c>
      <c r="E903" t="inlineStr">
        <is>
          <t>فقط تی‌تک</t>
        </is>
      </c>
    </row>
    <row r="904">
      <c r="A904" t="n">
        <v>903</v>
      </c>
      <c r="B904" t="n">
        <v>52044</v>
      </c>
      <c r="C904" t="inlineStr">
        <is>
          <t>DEXMEDETOMIDINE (AS HYDROCHLORIDE) INJECTION PARENTERAL 4 ug/1mL 100 mL</t>
        </is>
      </c>
      <c r="D904" t="inlineStr">
        <is>
          <t>دکسمدتوميدين   تزريقي پرنترال 4 ug/1mL 100 mL - داروسازي شهيد قاضي</t>
        </is>
      </c>
      <c r="E904" t="inlineStr">
        <is>
          <t>تی‌تک و آریا</t>
        </is>
      </c>
    </row>
    <row r="905">
      <c r="A905" t="n">
        <v>904</v>
      </c>
      <c r="B905" t="n">
        <v>52045</v>
      </c>
      <c r="C905" t="inlineStr">
        <is>
          <t>DIHYDROTACHYSTEROL SOLUTION ORAL 1 mg/1mL 15 mL</t>
        </is>
      </c>
      <c r="D905" t="inlineStr">
        <is>
          <t>آتيتن   محلول خوراکي 1 mg/1mL 15 mL - سينا پيشگام دارو نوين</t>
        </is>
      </c>
      <c r="E905" t="inlineStr">
        <is>
          <t>تی‌تک و آریا</t>
        </is>
      </c>
    </row>
    <row r="906">
      <c r="A906" t="n">
        <v>905</v>
      </c>
      <c r="B906" t="n">
        <v>52046</v>
      </c>
      <c r="C906" t="inlineStr">
        <is>
          <t>NITROFURANTOIN SUSPENSION ORAL 10 mg/1mL 80 mL</t>
        </is>
      </c>
      <c r="D906" t="inlineStr">
        <is>
          <t>فورانتوئينا   سوسپانسيون خوراکي 10 mg/1mL 80 mL - بازرگاني سها کيش</t>
        </is>
      </c>
      <c r="E906" t="inlineStr">
        <is>
          <t>تی‌تک و آریا</t>
        </is>
      </c>
    </row>
    <row r="907">
      <c r="A907" t="n">
        <v>906</v>
      </c>
      <c r="B907" t="n">
        <v>52047</v>
      </c>
      <c r="C907" t="inlineStr">
        <is>
          <t>DIGOXIN INJECTION PARENTERAL 0.25 mg/1mL 1 mL</t>
        </is>
      </c>
      <c r="D907" t="inlineStr">
        <is>
          <t>آجو ديگوکسين   تزريقي پرنترال 0.25 mg/1mL 1 mg - نسيم دارو سلامت</t>
        </is>
      </c>
      <c r="E907" t="inlineStr">
        <is>
          <t>تی‌تک و آریا</t>
        </is>
      </c>
    </row>
    <row r="908">
      <c r="A908" t="n">
        <v>907</v>
      </c>
      <c r="B908" t="n">
        <v>52048</v>
      </c>
      <c r="C908" t="inlineStr">
        <is>
          <t>RITUXIMAB INJECTION PARENTERAL 120 mg/1mL 11.7 mL</t>
        </is>
      </c>
      <c r="D908" t="inlineStr">
        <is>
          <t>مبترا   تزريقي پرنترال 120 mg/1mL 11.7 mg - بهستان دارو</t>
        </is>
      </c>
      <c r="E908" t="inlineStr">
        <is>
          <t>تی‌تک و آریا</t>
        </is>
      </c>
    </row>
    <row r="909">
      <c r="A909" t="n">
        <v>908</v>
      </c>
      <c r="B909" t="n">
        <v>52049</v>
      </c>
      <c r="C909" t="inlineStr">
        <is>
          <t>RITUXIMAB INJECTION PARENTERAL 120 mg/1mL 13.4 mL</t>
        </is>
      </c>
      <c r="D909" t="inlineStr">
        <is>
          <t>مبترا   تزريقي پرنترال 120 mg/1mL 13.4 mg - بهستان دارو</t>
        </is>
      </c>
      <c r="E909" t="inlineStr">
        <is>
          <t>تی‌تک و آریا</t>
        </is>
      </c>
    </row>
    <row r="910">
      <c r="A910" t="n">
        <v>909</v>
      </c>
      <c r="B910" t="n">
        <v>52050</v>
      </c>
      <c r="C910" t="inlineStr">
        <is>
          <t>SAPROPTERIN DIHYDROCHLORIDE POWDER ORAL 100 mg</t>
        </is>
      </c>
      <c r="E910" t="inlineStr">
        <is>
          <t>فقط تی‌تک</t>
        </is>
      </c>
    </row>
    <row r="911">
      <c r="A911" t="n">
        <v>910</v>
      </c>
      <c r="B911" t="n">
        <v>52051</v>
      </c>
      <c r="C911" t="inlineStr">
        <is>
          <t>SAPROPTERIN DIHYDROCHLORIDE POWDER ORAL 500 mg</t>
        </is>
      </c>
      <c r="E911" t="inlineStr">
        <is>
          <t>فقط تی‌تک</t>
        </is>
      </c>
    </row>
    <row r="912">
      <c r="A912" t="n">
        <v>911</v>
      </c>
      <c r="B912" t="n">
        <v>52057</v>
      </c>
      <c r="C912" t="inlineStr">
        <is>
          <t>FACTOR VIII / VON WILLEBRAND FACTOR INJECTION, POWDER, LYOPHILIZED, FOR SOLUTION PARENTERAL 1000 [iU]/750 [iU]</t>
        </is>
      </c>
      <c r="D912" t="inlineStr">
        <is>
          <t>ايميونيت   پودر لئوفيليزه براي تهيه محلول تزريقي پرنترال 1000 [iU]/750 [iU]  [iU] - کار و انديشه</t>
        </is>
      </c>
      <c r="E912" t="inlineStr">
        <is>
          <t>تی‌تک و آریا</t>
        </is>
      </c>
    </row>
    <row r="913">
      <c r="A913" t="n">
        <v>912</v>
      </c>
      <c r="B913" t="n">
        <v>52058</v>
      </c>
      <c r="C913" t="inlineStr">
        <is>
          <t>PORACTANT ALFA INJECTION ENDOTRACHEAL 80 mg/1mL 1.5 mL</t>
        </is>
      </c>
      <c r="D913" t="inlineStr">
        <is>
          <t>کوروسرف   تزريقي داخل تراشه اي 80 mg/1mL 1.5 mg - درمان ياب دارو</t>
        </is>
      </c>
      <c r="E913" t="inlineStr">
        <is>
          <t>تی‌تک و آریا</t>
        </is>
      </c>
    </row>
    <row r="914">
      <c r="A914" t="n">
        <v>913</v>
      </c>
      <c r="B914" t="n">
        <v>52060</v>
      </c>
      <c r="C914" t="inlineStr">
        <is>
          <t>HEPATITIS B IMMUNE GLOBULIN INJECTION PARENTERAL 180 [iU]/1mL 3 mL</t>
        </is>
      </c>
      <c r="D914" t="inlineStr">
        <is>
          <t>ايمونو اچ بي اس   تزريقي پرنترال 180 [iU]/1mL 3 [iU] - بهستان دارو</t>
        </is>
      </c>
      <c r="E914" t="inlineStr">
        <is>
          <t>تی‌تک و آریا</t>
        </is>
      </c>
    </row>
    <row r="915">
      <c r="A915" t="n">
        <v>914</v>
      </c>
      <c r="B915" t="n">
        <v>52062</v>
      </c>
      <c r="C915" t="inlineStr">
        <is>
          <t>CORIFOLLITROPIN ALFA INJECTION, SOLUTION PARENTERAL 200 ug/1mL 0.5 mL</t>
        </is>
      </c>
      <c r="D915" t="inlineStr">
        <is>
          <t>الونوا   محلول تزريقي پرنترال 200 ug/1mL 0.5 ug - بهستان دارو</t>
        </is>
      </c>
      <c r="E915" t="inlineStr">
        <is>
          <t>تی‌تک و آریا</t>
        </is>
      </c>
    </row>
    <row r="916">
      <c r="A916" t="n">
        <v>915</v>
      </c>
      <c r="B916" t="n">
        <v>52065</v>
      </c>
      <c r="C916" t="inlineStr">
        <is>
          <t>DESMOPRESSIN ACETATE SPRAY NASAL 100 ug/1mL 2.5 mL</t>
        </is>
      </c>
      <c r="D916" t="inlineStr">
        <is>
          <t>اوکتوستيم   اسپري از راه بيني 100 ug/1mL 2.5 mg - رضا دارو پارس</t>
        </is>
      </c>
      <c r="E916" t="inlineStr">
        <is>
          <t>تی‌تک و آریا</t>
        </is>
      </c>
    </row>
    <row r="917">
      <c r="A917" t="n">
        <v>916</v>
      </c>
      <c r="B917" t="n">
        <v>52072</v>
      </c>
      <c r="C917" t="inlineStr">
        <is>
          <t>LACTULOSE SYRUP ORAL 10 g/15mL 100 mL</t>
        </is>
      </c>
      <c r="D917" t="inlineStr">
        <is>
          <t>لاکتولوز   شربت خوراکي 10 g/15mL 100 mL - البرز دارو</t>
        </is>
      </c>
      <c r="E917" t="inlineStr">
        <is>
          <t>تی‌تک و آریا</t>
        </is>
      </c>
    </row>
    <row r="918">
      <c r="A918" t="n">
        <v>917</v>
      </c>
      <c r="B918" t="n">
        <v>52076</v>
      </c>
      <c r="C918" t="inlineStr">
        <is>
          <t>CIPROFLOXACIN (AS LACTATE) INJECTION, SOLUTION INTRAVENOUS 10 mg/1mL 40 mL</t>
        </is>
      </c>
      <c r="E918" t="inlineStr">
        <is>
          <t>فقط تی‌تک</t>
        </is>
      </c>
    </row>
    <row r="919">
      <c r="A919" t="n">
        <v>918</v>
      </c>
      <c r="B919" t="n">
        <v>52077</v>
      </c>
      <c r="C919" t="inlineStr">
        <is>
          <t>GLYCERIN SOLUTION ORAL 100 % 60 g</t>
        </is>
      </c>
      <c r="D919" t="inlineStr">
        <is>
          <t>گليسرين   محلول خوراکي 100 % 60 g - کيميا دارو سپهر</t>
        </is>
      </c>
      <c r="E919" t="inlineStr">
        <is>
          <t>تی‌تک و آریا</t>
        </is>
      </c>
    </row>
    <row r="920">
      <c r="A920" t="n">
        <v>919</v>
      </c>
      <c r="B920" t="n">
        <v>52078</v>
      </c>
      <c r="C920" t="inlineStr">
        <is>
          <t>ARTIFICIAL TEARS (HYALURONATE SODIUM / TREHALOSE) SOLUTION, DROPS OPHTHALMIC 0.15 %/3 % 10 mL</t>
        </is>
      </c>
      <c r="E920" t="inlineStr">
        <is>
          <t>فقط تی‌تک</t>
        </is>
      </c>
    </row>
    <row r="921">
      <c r="A921" t="n">
        <v>920</v>
      </c>
      <c r="B921" t="n">
        <v>52079</v>
      </c>
      <c r="C921" t="inlineStr">
        <is>
          <t>BALANCED SALT SOLUTION (2) SOLUTION OPHTHALMIC 0.64 mg/0.075 mg/0.03 mg/0.048 mg/0.17 mg/0.39 mg/1mL 1000 mL</t>
        </is>
      </c>
      <c r="E921" t="inlineStr">
        <is>
          <t>فقط تی‌تک</t>
        </is>
      </c>
    </row>
    <row r="922">
      <c r="A922" t="n">
        <v>921</v>
      </c>
      <c r="B922" t="n">
        <v>52080</v>
      </c>
      <c r="C922" t="inlineStr">
        <is>
          <t>FLUORESCEIN SODIUM INJECTION PARENTERAL 200 mg/1mL 5 mL</t>
        </is>
      </c>
      <c r="D922" t="inlineStr">
        <is>
          <t>فلورسئين   تزريقي پرنترال 200 mg/1mL 5 mg - رايان دارو ايرانيان</t>
        </is>
      </c>
      <c r="E922" t="inlineStr">
        <is>
          <t>تی‌تک و آریا</t>
        </is>
      </c>
    </row>
    <row r="923">
      <c r="A923" t="n">
        <v>922</v>
      </c>
      <c r="B923" t="n">
        <v>52081</v>
      </c>
      <c r="C923" t="inlineStr">
        <is>
          <t>LACTULOSE SYRUP ORAL 10 g/15mL 200 mL</t>
        </is>
      </c>
      <c r="D923" t="inlineStr">
        <is>
          <t>لاکتولوز   شربت خوراکي 10 g/15mL 200 mm - يارا طب خاورميانه</t>
        </is>
      </c>
      <c r="E923" t="inlineStr">
        <is>
          <t>تی‌تک و آریا</t>
        </is>
      </c>
    </row>
    <row r="924">
      <c r="A924" t="n">
        <v>923</v>
      </c>
      <c r="B924" t="n">
        <v>52083</v>
      </c>
      <c r="C924" t="inlineStr">
        <is>
          <t>POLIOMYELITIS VACCINE INJECTION PARENTERAL 10 {dose}</t>
        </is>
      </c>
      <c r="D924" t="inlineStr">
        <is>
          <t>ايمووکس پوليو   تزريقي پرنترال 10 {dose}  {dose} - روژين دارو</t>
        </is>
      </c>
      <c r="E924" t="inlineStr">
        <is>
          <t>تی‌تک و آریا</t>
        </is>
      </c>
    </row>
    <row r="925">
      <c r="A925" t="n">
        <v>924</v>
      </c>
      <c r="B925" t="n">
        <v>52084</v>
      </c>
      <c r="C925" t="inlineStr">
        <is>
          <t>NOREPINEPHRINE (AS BITARTRATE) INJECTION, SOLUTION, CONCENTRATE PARENTERAL 1 mg/1mL 1 mL</t>
        </is>
      </c>
      <c r="D925" t="inlineStr">
        <is>
          <t>لوونور   محلول غليظ تزريقي پرنترال 1 mg/1mL 1 mL - دارويي پخش رازي</t>
        </is>
      </c>
      <c r="E925" t="inlineStr">
        <is>
          <t>تی‌تک و آریا</t>
        </is>
      </c>
    </row>
    <row r="926">
      <c r="A926" t="n">
        <v>925</v>
      </c>
      <c r="B926" t="n">
        <v>52088</v>
      </c>
      <c r="C926" t="inlineStr">
        <is>
          <t>CLINDAMYCIN (AS PALMITATE HYDROCHLORIDE) SUSPENSION ORAL 75 mg/5mL 100 mL</t>
        </is>
      </c>
      <c r="D926" t="inlineStr">
        <is>
          <t>کلينکاپ   سوسپانسيون خوراکي 75 mg/5mL 100 mg - تامين آوا سلامت</t>
        </is>
      </c>
      <c r="E926" t="inlineStr">
        <is>
          <t>تی‌تک و آریا</t>
        </is>
      </c>
    </row>
    <row r="927">
      <c r="A927" t="n">
        <v>926</v>
      </c>
      <c r="B927" t="n">
        <v>52089</v>
      </c>
      <c r="C927" t="inlineStr">
        <is>
          <t>NITROFURANTOIN SUSPENSION ORAL 25 mg/5mL 80 mL</t>
        </is>
      </c>
      <c r="D927" t="inlineStr">
        <is>
          <t>نيترورال   سوسپانسيون خوراکي 25 mg/5mL 80 mg - تامين آوا سلامت</t>
        </is>
      </c>
      <c r="E927" t="inlineStr">
        <is>
          <t>تی‌تک و آریا</t>
        </is>
      </c>
    </row>
    <row r="928">
      <c r="A928" t="n">
        <v>927</v>
      </c>
      <c r="B928" t="n">
        <v>52091</v>
      </c>
      <c r="C928" t="inlineStr">
        <is>
          <t>NOREPINEPHRINE (AS BITARTRATE) INJECTION, SOLUTION, CONCENTRATE PARENTERAL 1 mg/1mL 20 mL</t>
        </is>
      </c>
      <c r="D928" t="inlineStr">
        <is>
          <t>کوپرين   محلول غليظ تزريقي پرنترال 1 mg/1mL 20 mg - سامان دارو سلامت</t>
        </is>
      </c>
      <c r="E928" t="inlineStr">
        <is>
          <t>تی‌تک و آریا</t>
        </is>
      </c>
    </row>
    <row r="929">
      <c r="A929" t="n">
        <v>928</v>
      </c>
      <c r="B929" t="n">
        <v>52092</v>
      </c>
      <c r="C929" t="inlineStr">
        <is>
          <t>IGM-ENRICHED HUMAN (IMMUNE GLOBULIN) INJECTION PARENTERAL 50 mg/1mL 100 mL</t>
        </is>
      </c>
      <c r="D929" t="inlineStr">
        <is>
          <t>پنتاگلوبين   تزريقي پرنترال 50 mg/1mL 100 g - درمان آرا</t>
        </is>
      </c>
      <c r="E929" t="inlineStr">
        <is>
          <t>تی‌تک و آریا</t>
        </is>
      </c>
    </row>
    <row r="930">
      <c r="A930" t="n">
        <v>929</v>
      </c>
      <c r="B930" t="n">
        <v>52093</v>
      </c>
      <c r="C930" t="inlineStr">
        <is>
          <t>LOTEPREDNOL ETABONATE OINTMENT OPHTHALMIC 0.5 % 3.5 g</t>
        </is>
      </c>
      <c r="D930" t="inlineStr">
        <is>
          <t>لوتمکس   پماد چشمي 0.5 % 3.5 g - وليان دارو</t>
        </is>
      </c>
      <c r="E930" t="inlineStr">
        <is>
          <t>تی‌تک و آریا</t>
        </is>
      </c>
    </row>
    <row r="931">
      <c r="A931" t="n">
        <v>930</v>
      </c>
      <c r="B931" t="n">
        <v>52095</v>
      </c>
      <c r="C931" t="inlineStr">
        <is>
          <t>AMINO ACID 10% WITH ELECTROLYTE INJECTION, SOLUTION INTRAVENOUS 5 mg/8.9 mg/8.56 mg/4.4 mg/4.7 mg/4.2 mg/1.6 mg/6.2 mg/11.5 mg/3 mg/10.5 mg/12 mg/5.6 mg/7.2 mg/5.5 mg/2.3 mg/0.4 mg/2.858 mg/0.36 mg/2.453 mg/0.508 mg/3.581 mg/1mL 500 mL</t>
        </is>
      </c>
      <c r="D931" t="inlineStr">
        <is>
          <t>آمينوپلاسمال بي.براون 10% الکتروليت   محلول تزريقي داخل وريدي 5 mg/8.9 mg/8.56 mg/4.4 mg/4.7 mg/4.2 mg/1.6 mg/6.2 mg/11.5 mg/3 mg/10.5 mg/12 mg/5.6 mg/7.2 mg/5.5 mg/2.3 mg/0.4 mg/2.858 mg/0.36 mg/2.45</t>
        </is>
      </c>
      <c r="E931" t="inlineStr">
        <is>
          <t>تی‌تک و آریا</t>
        </is>
      </c>
    </row>
    <row r="932">
      <c r="A932" t="n">
        <v>931</v>
      </c>
      <c r="B932" t="n">
        <v>52102</v>
      </c>
      <c r="C932" t="inlineStr">
        <is>
          <t>POTASSIUM CHLORIDE INJECTION INTRAVENOUS 0.15 % 500 mL</t>
        </is>
      </c>
      <c r="D932" t="inlineStr">
        <is>
          <t>پتاسيم کلرايد   تزريقي داخل وريدي 0.15 % 500 g - داروسازي ثامن</t>
        </is>
      </c>
      <c r="E932" t="inlineStr">
        <is>
          <t>تی‌تک و آریا</t>
        </is>
      </c>
    </row>
    <row r="933">
      <c r="A933" t="n">
        <v>932</v>
      </c>
      <c r="B933" t="n">
        <v>52103</v>
      </c>
      <c r="C933" t="inlineStr">
        <is>
          <t>POTASSIUM CHLORIDE INJECTION INTRAVENOUS 0.15 % 1000 mL</t>
        </is>
      </c>
      <c r="D933" t="inlineStr">
        <is>
          <t>پتاسيم کلرايد در دکستروز   تزريقي داخل وريدي 0.15 % 1000 mL - فرآورده هاي تزريقي و دارويي ايران</t>
        </is>
      </c>
      <c r="E933" t="inlineStr">
        <is>
          <t>تی‌تک و آریا</t>
        </is>
      </c>
    </row>
    <row r="934">
      <c r="A934" t="n">
        <v>933</v>
      </c>
      <c r="B934" t="n">
        <v>52105</v>
      </c>
      <c r="C934" t="inlineStr">
        <is>
          <t>MOLYBDENUM-99 / TECHNETIUM-99m INJECTION INTRAVENOUS 1000 mCi</t>
        </is>
      </c>
      <c r="D934" t="inlineStr">
        <is>
          <t>موليبدينيوم-99/تکنسيوم-99   تزريقي داخل وريدي 1000 mCi  mCi - پارس ايزوتوپ</t>
        </is>
      </c>
      <c r="E934" t="inlineStr">
        <is>
          <t>تی‌تک و آریا</t>
        </is>
      </c>
    </row>
    <row r="935">
      <c r="A935" t="n">
        <v>934</v>
      </c>
      <c r="B935" t="n">
        <v>52106</v>
      </c>
      <c r="C935" t="inlineStr">
        <is>
          <t>HAEMOPHILUS INFLUENZAE TYPE B INJECTION, POWDER, FOR SOLUTION PARENTERAL 1 {dose} 0.5 mL</t>
        </is>
      </c>
      <c r="D935" t="inlineStr">
        <is>
          <t>مس هيب واک   پودر براي تهيه محلول تزريقي پرنترال 1 {dose} 0.5 ug - داروسازي مصون دارو</t>
        </is>
      </c>
      <c r="E935" t="inlineStr">
        <is>
          <t>تی‌تک و آریا</t>
        </is>
      </c>
    </row>
    <row r="936">
      <c r="A936" t="n">
        <v>935</v>
      </c>
      <c r="B936" t="n">
        <v>52107</v>
      </c>
      <c r="C936" t="inlineStr">
        <is>
          <t>RABIES VACCINE INJECTION, POWDER, FOR SUSPENSION PARENTERAL 2.5 [iU] 1 mL</t>
        </is>
      </c>
      <c r="D936" t="inlineStr">
        <is>
          <t>واکسن رابي پور   پودر براي تهيه سوسپانسيون تزريقي پرنترال 2.5 [iU] 1 [iU] - تامين آوا سلامت</t>
        </is>
      </c>
      <c r="E936" t="inlineStr">
        <is>
          <t>تی‌تک و آریا</t>
        </is>
      </c>
    </row>
    <row r="937">
      <c r="A937" t="n">
        <v>936</v>
      </c>
      <c r="B937" t="n">
        <v>52113</v>
      </c>
      <c r="C937" t="inlineStr">
        <is>
          <t>SODIUM IODIDE (SUP131/SUPI) CAPSULE ORAL 5 mCi</t>
        </is>
      </c>
      <c r="D937" t="inlineStr">
        <is>
          <t>سديم يدايد(يد-131)   کپسول خوراکي 5 mCi  mCi - پارس ايزوتوپ</t>
        </is>
      </c>
      <c r="E937" t="inlineStr">
        <is>
          <t>تی‌تک و آریا</t>
        </is>
      </c>
    </row>
    <row r="938">
      <c r="A938" t="n">
        <v>937</v>
      </c>
      <c r="B938" t="n">
        <v>52114</v>
      </c>
      <c r="C938" t="inlineStr">
        <is>
          <t>SODIUM IODIDE (SUP131/SUPI) CAPSULE ORAL 10 mCi</t>
        </is>
      </c>
      <c r="D938" t="inlineStr">
        <is>
          <t>سديم يدايد(يد-131)   کپسول خوراکي 10 mCi  mCi - پارس ايزوتوپ</t>
        </is>
      </c>
      <c r="E938" t="inlineStr">
        <is>
          <t>تی‌تک و آریا</t>
        </is>
      </c>
    </row>
    <row r="939">
      <c r="A939" t="n">
        <v>938</v>
      </c>
      <c r="B939" t="n">
        <v>52115</v>
      </c>
      <c r="C939" t="inlineStr">
        <is>
          <t>SODIUM IODIDE (SUP131/SUPI) CAPSULE ORAL 15 mCi</t>
        </is>
      </c>
      <c r="D939" t="inlineStr">
        <is>
          <t>سديم يدايد(يد-131)   کپسول خوراکي 15 mCi  mCi - پارس ايزوتوپ</t>
        </is>
      </c>
      <c r="E939" t="inlineStr">
        <is>
          <t>تی‌تک و آریا</t>
        </is>
      </c>
    </row>
    <row r="940">
      <c r="A940" t="n">
        <v>939</v>
      </c>
      <c r="B940" t="n">
        <v>52116</v>
      </c>
      <c r="C940" t="inlineStr">
        <is>
          <t>SODIUM IODIDE (SUP131/SUPI) CAPSULE ORAL 20 mCi</t>
        </is>
      </c>
      <c r="D940" t="inlineStr">
        <is>
          <t>سديم يدايد(يد-131)   کپسول خوراکي 20 mCi  mCi - پارس ايزوتوپ</t>
        </is>
      </c>
      <c r="E940" t="inlineStr">
        <is>
          <t>تی‌تک و آریا</t>
        </is>
      </c>
    </row>
    <row r="941">
      <c r="A941" t="n">
        <v>940</v>
      </c>
      <c r="B941" t="n">
        <v>52117</v>
      </c>
      <c r="C941" t="inlineStr">
        <is>
          <t>METHOTREXATE INJECTION, SOLUTION PARENTERAL 50 mg/1mL 0.15 mL</t>
        </is>
      </c>
      <c r="D941" t="inlineStr">
        <is>
          <t>ترکسوما   محلول تزريقي پرنترال 50 mg/1mL 0.15 mg - نانو فناوران داروئي الوند</t>
        </is>
      </c>
      <c r="E941" t="inlineStr">
        <is>
          <t>تی‌تک و آریا</t>
        </is>
      </c>
    </row>
    <row r="942">
      <c r="A942" t="n">
        <v>941</v>
      </c>
      <c r="B942" t="n">
        <v>52118</v>
      </c>
      <c r="C942" t="inlineStr">
        <is>
          <t>METHOTREXATE INJECTION, SOLUTION PARENTERAL 50 mg/1mL 0.2 mL</t>
        </is>
      </c>
      <c r="D942" t="inlineStr">
        <is>
          <t>ترکسوما   محلول تزريقي پرنترال 50 mg/1mL 0.2 mg - نانو فناوران داروئي الوند</t>
        </is>
      </c>
      <c r="E942" t="inlineStr">
        <is>
          <t>تی‌تک و آریا</t>
        </is>
      </c>
    </row>
    <row r="943">
      <c r="A943" t="n">
        <v>942</v>
      </c>
      <c r="B943" t="n">
        <v>52119</v>
      </c>
      <c r="C943" t="inlineStr">
        <is>
          <t>METHOTREXATE INJECTION, SOLUTION PARENTERAL 50 mg/1mL 0.3 mL</t>
        </is>
      </c>
      <c r="D943" t="inlineStr">
        <is>
          <t>ترکسوما   محلول تزريقي پرنترال 50 mg/1mL 0.3 mg - نانو فناوران داروئي الوند</t>
        </is>
      </c>
      <c r="E943" t="inlineStr">
        <is>
          <t>تی‌تک و آریا</t>
        </is>
      </c>
    </row>
    <row r="944">
      <c r="A944" t="n">
        <v>943</v>
      </c>
      <c r="B944" t="n">
        <v>52120</v>
      </c>
      <c r="C944" t="inlineStr">
        <is>
          <t>METHOTREXATE INJECTION, SOLUTION PARENTERAL 50 mg/1mL 0.4 mL</t>
        </is>
      </c>
      <c r="D944" t="inlineStr">
        <is>
          <t>ترکسوما   محلول تزريقي پرنترال 50 mg/1mL 0.4 mg - نانو فناوران داروئي الوند</t>
        </is>
      </c>
      <c r="E944" t="inlineStr">
        <is>
          <t>تی‌تک و آریا</t>
        </is>
      </c>
    </row>
    <row r="945">
      <c r="A945" t="n">
        <v>944</v>
      </c>
      <c r="B945" t="n">
        <v>52121</v>
      </c>
      <c r="C945" t="inlineStr">
        <is>
          <t>SODIUM IODIDE (SUP131/SUPI) CAPSULE ORAL 25 mCi</t>
        </is>
      </c>
      <c r="D945" t="inlineStr">
        <is>
          <t>سديم يدايد(يد-131)   کپسول خوراکي 25 mCi  mCi - پارس ايزوتوپ</t>
        </is>
      </c>
      <c r="E945" t="inlineStr">
        <is>
          <t>تی‌تک و آریا</t>
        </is>
      </c>
    </row>
    <row r="946">
      <c r="A946" t="n">
        <v>945</v>
      </c>
      <c r="B946" t="n">
        <v>52122</v>
      </c>
      <c r="C946" t="inlineStr">
        <is>
          <t>METHOTREXATE INJECTION, SOLUTION PARENTERAL 50 mg/1mL 0.5 mL</t>
        </is>
      </c>
      <c r="D946" t="inlineStr">
        <is>
          <t>ترکسوما   محلول تزريقي پرنترال 50 mg/1mL 0.5 mg - نانو فناوران داروئي الوند</t>
        </is>
      </c>
      <c r="E946" t="inlineStr">
        <is>
          <t>تی‌تک و آریا</t>
        </is>
      </c>
    </row>
    <row r="947">
      <c r="A947" t="n">
        <v>946</v>
      </c>
      <c r="B947" t="n">
        <v>52123</v>
      </c>
      <c r="C947" t="inlineStr">
        <is>
          <t>METHOTREXATE INJECTION, SOLUTION PARENTERAL 50 mg/1mL 0.6 mL</t>
        </is>
      </c>
      <c r="D947" t="inlineStr">
        <is>
          <t>ترگستا   محلول تزريقي پرنترال 50 mg/1mL 0.6 mg - نانو دارو پژوهان پرديس</t>
        </is>
      </c>
      <c r="E947" t="inlineStr">
        <is>
          <t>تی‌تک و آریا</t>
        </is>
      </c>
    </row>
    <row r="948">
      <c r="A948" t="n">
        <v>947</v>
      </c>
      <c r="B948" t="n">
        <v>52124</v>
      </c>
      <c r="C948" t="inlineStr">
        <is>
          <t>SODIUM IODIDE (SUP131/SUPI) CAPSULE ORAL 50 mCi</t>
        </is>
      </c>
      <c r="D948" t="inlineStr">
        <is>
          <t>سديم يدايد(يد-131)   کپسول خوراکي 50 mCi  mCi - پارس ايزوتوپ</t>
        </is>
      </c>
      <c r="E948" t="inlineStr">
        <is>
          <t>تی‌تک و آریا</t>
        </is>
      </c>
    </row>
    <row r="949">
      <c r="A949" t="n">
        <v>948</v>
      </c>
      <c r="B949" t="n">
        <v>52125</v>
      </c>
      <c r="C949" t="inlineStr">
        <is>
          <t>SODIUM IODIDE (SUP131/SUPI) CAPSULE ORAL 100 mCi</t>
        </is>
      </c>
      <c r="D949" t="inlineStr">
        <is>
          <t>سديم يدايد(يد-131)   کپسول خوراکي 100 mCi  mCi - پارس ايزوتوپ</t>
        </is>
      </c>
      <c r="E949" t="inlineStr">
        <is>
          <t>تی‌تک و آریا</t>
        </is>
      </c>
    </row>
    <row r="950">
      <c r="A950" t="n">
        <v>949</v>
      </c>
      <c r="B950" t="n">
        <v>52126</v>
      </c>
      <c r="C950" t="inlineStr">
        <is>
          <t>SODIUM IODIDE (SUP131/SUPI) CAPSULE ORAL 150 mCi</t>
        </is>
      </c>
      <c r="D950" t="inlineStr">
        <is>
          <t>سديم يدايد(يد-131)   کپسول خوراکي 150 mCi  mCi - پارس ايزوتوپ</t>
        </is>
      </c>
      <c r="E950" t="inlineStr">
        <is>
          <t>تی‌تک و آریا</t>
        </is>
      </c>
    </row>
    <row r="951">
      <c r="A951" t="n">
        <v>950</v>
      </c>
      <c r="B951" t="n">
        <v>52127</v>
      </c>
      <c r="C951" t="inlineStr">
        <is>
          <t>SODIUM IODIDE (SUP131/SUPI) CAPSULE ORAL 200 mCi</t>
        </is>
      </c>
      <c r="D951" t="inlineStr">
        <is>
          <t>سديم يدايد(يد-131)   کپسول خوراکي 200 mCi  mCi - پارس ايزوتوپ</t>
        </is>
      </c>
      <c r="E951" t="inlineStr">
        <is>
          <t>تی‌تک و آریا</t>
        </is>
      </c>
    </row>
    <row r="952">
      <c r="A952" t="n">
        <v>951</v>
      </c>
      <c r="B952" t="n">
        <v>52128</v>
      </c>
      <c r="C952" t="inlineStr">
        <is>
          <t>MOLYBDENUM-99 / TECHNETIUM-99m INJECTION INTRAVENOUS 600 mCi</t>
        </is>
      </c>
      <c r="D952" t="inlineStr">
        <is>
          <t>موليبدينيوم-99/تکنسيوم-99   تزريقي داخل وريدي 600 mCi  mCi - پارس ايزوتوپ</t>
        </is>
      </c>
      <c r="E952" t="inlineStr">
        <is>
          <t>تی‌تک و آریا</t>
        </is>
      </c>
    </row>
    <row r="953">
      <c r="A953" t="n">
        <v>952</v>
      </c>
      <c r="B953" t="n">
        <v>52129</v>
      </c>
      <c r="C953" t="inlineStr">
        <is>
          <t>MOLYBDENUM-99 / TECHNETIUM-99m INJECTION INTRAVENOUS 1200 mCi</t>
        </is>
      </c>
      <c r="D953" t="inlineStr">
        <is>
          <t>موليبدينيوم-99/تکنسيوم-99   تزريقي داخل وريدي 1200 mCi  mCi - پارس ايزوتوپ</t>
        </is>
      </c>
      <c r="E953" t="inlineStr">
        <is>
          <t>تی‌تک و آریا</t>
        </is>
      </c>
    </row>
    <row r="954">
      <c r="A954" t="n">
        <v>953</v>
      </c>
      <c r="B954" t="n">
        <v>52130</v>
      </c>
      <c r="C954" t="inlineStr">
        <is>
          <t>MOLYBDENUM-99 / TECHNETIUM-99m INJECTION INTRAVENOUS 1600 mCi</t>
        </is>
      </c>
      <c r="D954" t="inlineStr">
        <is>
          <t>موليبدينيوم-99/تکنسيوم-99   تزريقي داخل وريدي 1600 mCi  mCi - پارس ايزوتوپ</t>
        </is>
      </c>
      <c r="E954" t="inlineStr">
        <is>
          <t>تی‌تک و آریا</t>
        </is>
      </c>
    </row>
    <row r="955">
      <c r="A955" t="n">
        <v>954</v>
      </c>
      <c r="B955" t="n">
        <v>52132</v>
      </c>
      <c r="C955" t="inlineStr">
        <is>
          <t>MOLYBDENUM-99 / TECHNETIUM-99m INJECTION INTRAVENOUS 2000 mCi</t>
        </is>
      </c>
      <c r="D955" t="inlineStr">
        <is>
          <t>موليبدينيوم-99/تکنسيوم-99   تزريقي داخل وريدي 2000 mCi  mCi - پارس ايزوتوپ</t>
        </is>
      </c>
      <c r="E955" t="inlineStr">
        <is>
          <t>تی‌تک و آریا</t>
        </is>
      </c>
    </row>
    <row r="956">
      <c r="A956" t="n">
        <v>955</v>
      </c>
      <c r="B956" t="n">
        <v>52134</v>
      </c>
      <c r="C956" t="inlineStr">
        <is>
          <t>TECHNETIUM-99M TRODAT INJECTION, POWDER, FOR SOLUTION INTRAVENOUS 33 mCi</t>
        </is>
      </c>
      <c r="D956" t="inlineStr">
        <is>
          <t>ترودات   پودر براي تهيه محلول تزريقي داخل وريدي 33 mCi  ug - پارس ايزوتوپ</t>
        </is>
      </c>
      <c r="E956" t="inlineStr">
        <is>
          <t>تی‌تک و آریا</t>
        </is>
      </c>
    </row>
    <row r="957">
      <c r="A957" t="n">
        <v>956</v>
      </c>
      <c r="B957" t="n">
        <v>52139</v>
      </c>
      <c r="C957" t="inlineStr">
        <is>
          <t>DIPHTHERIA TOXOID / TETANUS TOXOID ADSORBED VACCINE (DT) (CHILDREN) INJECTION PARENTERAL 14 {dose} 7 mL</t>
        </is>
      </c>
      <c r="D957" t="inlineStr">
        <is>
          <t>واکسن جذب شده ديفتري و کزاز براي خردسالان   تزريقي پرنترال 14 {dose} 7 {dose} - موسسه تحقيقات واکسن وسرم سازي رازي</t>
        </is>
      </c>
      <c r="E957" t="inlineStr">
        <is>
          <t>تی‌تک و آریا</t>
        </is>
      </c>
    </row>
    <row r="958">
      <c r="A958" t="n">
        <v>957</v>
      </c>
      <c r="B958" t="n">
        <v>52140</v>
      </c>
      <c r="C958" t="inlineStr">
        <is>
          <t>PERITONEAL DIALYSIS V-I SOLUTION INTRAPERITONEAL 11.57 g/0.5145 g/0.2033 g/33 g/5.88 g/1000mL 2 L</t>
        </is>
      </c>
      <c r="D958" t="inlineStr">
        <is>
          <t>بيکاورا 1/5%   محلول داخل صفاقي 11.57 g/0.5145 g/0.2033 g/33 g/5.88 g/1000mL 2 L - مد سينا سرم</t>
        </is>
      </c>
      <c r="E958" t="inlineStr">
        <is>
          <t>تی‌تک و آریا</t>
        </is>
      </c>
    </row>
    <row r="959">
      <c r="A959" t="n">
        <v>958</v>
      </c>
      <c r="B959" t="n">
        <v>52141</v>
      </c>
      <c r="C959" t="inlineStr">
        <is>
          <t>PERITONEAL DIALYSIS V-III SOLUTION INTRAPERITONEAL 11.57 g/0.5145 g/0.2033 g/93.5 g/5.88 g/1000mL 2 L</t>
        </is>
      </c>
      <c r="D959" t="inlineStr">
        <is>
          <t>بيکاورا 4/25%   محلول داخل صفاقي 11.57 g/0.5145 g/0.2033 g/93.5 g/5.88 g/1000mL 2 L - مد سينا سرم</t>
        </is>
      </c>
      <c r="E959" t="inlineStr">
        <is>
          <t>تی‌تک و آریا</t>
        </is>
      </c>
    </row>
    <row r="960">
      <c r="A960" t="n">
        <v>959</v>
      </c>
      <c r="B960" t="n">
        <v>52142</v>
      </c>
      <c r="C960" t="inlineStr">
        <is>
          <t>PERITONEAL DIALYSIS V-II SOLUTION INTRAPERITONEAL 11.57 g/0.5145 g/0.2033 g/50 g/5.88 g/1000mL 2 L</t>
        </is>
      </c>
      <c r="D960" t="inlineStr">
        <is>
          <t>بيکاورا 2/3%   محلول داخل صفاقي 11.57 g/0.5145 g/0.2033 g/50 g/5.88 g/1000mL 2 L - مد سينا سرم</t>
        </is>
      </c>
      <c r="E960" t="inlineStr">
        <is>
          <t>تی‌تک و آریا</t>
        </is>
      </c>
    </row>
    <row r="961">
      <c r="A961" t="n">
        <v>960</v>
      </c>
      <c r="B961" t="n">
        <v>52143</v>
      </c>
      <c r="C961" t="inlineStr">
        <is>
          <t>MOLYBDENUM-99 / TECHNETIUM-99m INJECTION INTRAVENOUS 800 mCi</t>
        </is>
      </c>
      <c r="D961" t="inlineStr">
        <is>
          <t>موليبدينيوم-99/تکنسيوم-99   تزريقي داخل وريدي 800 mCi  mCi - پارس ايزوتوپ</t>
        </is>
      </c>
      <c r="E961" t="inlineStr">
        <is>
          <t>تی‌تک و آریا</t>
        </is>
      </c>
    </row>
    <row r="962">
      <c r="A962" t="n">
        <v>961</v>
      </c>
      <c r="B962" t="n">
        <v>52147</v>
      </c>
      <c r="C962" t="inlineStr">
        <is>
          <t>MESALAZINE AEROSOL, FOAM RECTAL 1 g/1{Puff} 80 g</t>
        </is>
      </c>
      <c r="D962" t="inlineStr">
        <is>
          <t>مکولزين   آئروسل، فوم مقعدي 1 g/1{Puff} 80 {Puff} - سينا آرا راد آفرين</t>
        </is>
      </c>
      <c r="E962" t="inlineStr">
        <is>
          <t>تی‌تک و آریا</t>
        </is>
      </c>
    </row>
    <row r="963">
      <c r="A963" t="n">
        <v>962</v>
      </c>
      <c r="B963" t="n">
        <v>52150</v>
      </c>
      <c r="C963" t="inlineStr">
        <is>
          <t>LACTULOSE SYRUP ORAL 10 g/15mL 500 mL</t>
        </is>
      </c>
      <c r="D963" t="inlineStr">
        <is>
          <t>لاکتولوز   شربت خوراکي 10 g/15mL 500 g - آرمان ستد</t>
        </is>
      </c>
      <c r="E963" t="inlineStr">
        <is>
          <t>تی‌تک و آریا</t>
        </is>
      </c>
    </row>
    <row r="964">
      <c r="A964" t="n">
        <v>963</v>
      </c>
      <c r="B964" t="n">
        <v>52151</v>
      </c>
      <c r="C964" t="inlineStr">
        <is>
          <t>BUDESONIDE / FORMOTEROL FUMARATE POWDER, METERED RESPIRATORY 80 ug/4.5 ug/1{dose} 60 {dose}</t>
        </is>
      </c>
      <c r="D964" t="inlineStr">
        <is>
          <t>سيمبيکورت   پودر با دوز اندازه گيري شده استنشاقي 80 ug/4.5 ug/1{dose} 60 {dose} - آسترازنکا پارس</t>
        </is>
      </c>
      <c r="E964" t="inlineStr">
        <is>
          <t>تی‌تک و آریا</t>
        </is>
      </c>
    </row>
    <row r="965">
      <c r="A965" t="n">
        <v>964</v>
      </c>
      <c r="B965" t="n">
        <v>52153</v>
      </c>
      <c r="C965" t="inlineStr">
        <is>
          <t>TENOFOVIR DISOPROXIL FUMARATE TABLET ORAL 200 mg</t>
        </is>
      </c>
      <c r="D965" t="inlineStr">
        <is>
          <t>ام اي تي-تي اي   قرص خوراکي 200 mg - فرفيون دارو</t>
        </is>
      </c>
      <c r="E965" t="inlineStr">
        <is>
          <t>تی‌تک و آریا</t>
        </is>
      </c>
    </row>
    <row r="966">
      <c r="A966" t="n">
        <v>965</v>
      </c>
      <c r="B966" t="n">
        <v>52157</v>
      </c>
      <c r="C966" t="inlineStr">
        <is>
          <t>TESTOSTERONE GEL TOPICAL 1 % 5 g</t>
        </is>
      </c>
      <c r="D966" t="inlineStr">
        <is>
          <t>آندروژل   ژل موضعي 1 % 5 g - دارويي بهين پاد</t>
        </is>
      </c>
      <c r="E966" t="inlineStr">
        <is>
          <t>تی‌تک و آریا</t>
        </is>
      </c>
    </row>
    <row r="967">
      <c r="A967" t="n">
        <v>966</v>
      </c>
      <c r="B967" t="n">
        <v>52158</v>
      </c>
      <c r="C967" t="inlineStr">
        <is>
          <t>FACTOR IX INJECTION, POWDER, LYOPHILIZED, FOR SOLUTION PARENTERAL 1200 [iU]</t>
        </is>
      </c>
      <c r="D967" t="inlineStr">
        <is>
          <t>ايميوناين   پودر لئوفيليزه براي تهيه محلول تزريقي پرنترال 1200 [iU]  [iU] - کار و انديشه</t>
        </is>
      </c>
      <c r="E967" t="inlineStr">
        <is>
          <t>تی‌تک و آریا</t>
        </is>
      </c>
    </row>
    <row r="968">
      <c r="A968" t="n">
        <v>967</v>
      </c>
      <c r="B968" t="n">
        <v>52162</v>
      </c>
      <c r="C968" t="inlineStr">
        <is>
          <t>DIETHYLTOLUAMIDE SPRAY TOPICAL 20 % 100 mL</t>
        </is>
      </c>
      <c r="D968" t="inlineStr">
        <is>
          <t>باگ آف   اسپري موضعي 20 % 100 mL - تامين آوا سلامت</t>
        </is>
      </c>
      <c r="E968" t="inlineStr">
        <is>
          <t>تی‌تک و آریا</t>
        </is>
      </c>
    </row>
    <row r="969">
      <c r="A969" t="n">
        <v>968</v>
      </c>
      <c r="B969" t="n">
        <v>52164</v>
      </c>
      <c r="C969" t="inlineStr">
        <is>
          <t>HEPATITIS B IMMUNE GLOBULIN INJECTION PARENTERAL 50 [iU]/1mL 100 mL</t>
        </is>
      </c>
      <c r="E969" t="inlineStr">
        <is>
          <t>فقط تی‌تک</t>
        </is>
      </c>
    </row>
    <row r="970">
      <c r="A970" t="n">
        <v>969</v>
      </c>
      <c r="B970" t="n">
        <v>52165</v>
      </c>
      <c r="C970" t="inlineStr">
        <is>
          <t>EPOPROSTENOL (AS SODIUM) INJECTION, POWDER, LYOPHILIZED, FOR SOLUTION PARENTERAL 0.5 mg</t>
        </is>
      </c>
      <c r="D970" t="inlineStr">
        <is>
          <t>اپونول   پودر لئوفيليزه براي تهيه محلول تزريقي پرنترال 0.5 mg  mg - نانو فناوران داروئي الوند</t>
        </is>
      </c>
      <c r="E970" t="inlineStr">
        <is>
          <t>تی‌تک و آریا</t>
        </is>
      </c>
    </row>
    <row r="971">
      <c r="A971" t="n">
        <v>970</v>
      </c>
      <c r="B971" t="n">
        <v>52166</v>
      </c>
      <c r="C971" t="inlineStr">
        <is>
          <t>EPOPROSTENOL (AS SODIUM) INJECTION, POWDER, LYOPHILIZED, FOR SOLUTION PARENTERAL 1.5 mg</t>
        </is>
      </c>
      <c r="D971" t="inlineStr">
        <is>
          <t>اپونول   پودر لئوفيليزه براي تهيه محلول تزريقي پرنترال 1.5 mg  mg - نانو فناوران داروئي الوند</t>
        </is>
      </c>
      <c r="E971" t="inlineStr">
        <is>
          <t>تی‌تک و آریا</t>
        </is>
      </c>
    </row>
    <row r="972">
      <c r="A972" t="n">
        <v>971</v>
      </c>
      <c r="B972" t="n">
        <v>52169</v>
      </c>
      <c r="C972" t="inlineStr">
        <is>
          <t>MECASERMIN INJECTION, SOLUTION PARENTERAL 10 mg/1mL 4 mL</t>
        </is>
      </c>
      <c r="D972" t="inlineStr">
        <is>
          <t>اينکرلس   محلول تزريقي پرنترال 10 mg/1mL 4 mg - بازرگاني سها کيش</t>
        </is>
      </c>
      <c r="E972" t="inlineStr">
        <is>
          <t>تی‌تک و آریا</t>
        </is>
      </c>
    </row>
    <row r="973">
      <c r="A973" t="n">
        <v>972</v>
      </c>
      <c r="B973" t="n">
        <v>52170</v>
      </c>
      <c r="C973" t="inlineStr">
        <is>
          <t>ZIPRASIDONE CAPSULE ORAL 80 mg</t>
        </is>
      </c>
      <c r="D973" t="inlineStr">
        <is>
          <t>زلدوکس   کپسول خوراکي 80 mg - بازرگاني سها کيش</t>
        </is>
      </c>
      <c r="E973" t="inlineStr">
        <is>
          <t>تی‌تک و آریا</t>
        </is>
      </c>
    </row>
    <row r="974">
      <c r="A974" t="n">
        <v>973</v>
      </c>
      <c r="B974" t="n">
        <v>52171</v>
      </c>
      <c r="C974" t="inlineStr">
        <is>
          <t>ROTAVIRUS VACCINE, PENTAVALENT, LIVE SOLUTION ORAL 1 {dose} 1 {dose}</t>
        </is>
      </c>
      <c r="D974" t="inlineStr">
        <is>
          <t>روتاتک   محلول خوراکي 1 {dose} 1 mL - بهستان دارو</t>
        </is>
      </c>
      <c r="E974" t="inlineStr">
        <is>
          <t>تی‌تک و آریا</t>
        </is>
      </c>
    </row>
    <row r="975">
      <c r="A975" t="n">
        <v>974</v>
      </c>
      <c r="B975" t="n">
        <v>52181</v>
      </c>
      <c r="C975" t="inlineStr">
        <is>
          <t>HEMOFILTRATION / HEMODIAFILTRATION (4) SOLUTION PARENTERAL 5.48 g/5.145 g/2.033 g/6.45 g/3.09 g/22 g/0.314 g/1000mL 5000 mL</t>
        </is>
      </c>
      <c r="D975" t="inlineStr">
        <is>
          <t>پريسماسول 4   محلول پرنترال 5000 L - کار و انديشه</t>
        </is>
      </c>
      <c r="E975" t="inlineStr">
        <is>
          <t>تی‌تک و آریا</t>
        </is>
      </c>
    </row>
    <row r="976">
      <c r="A976" t="n">
        <v>975</v>
      </c>
      <c r="B976" t="n">
        <v>52182</v>
      </c>
      <c r="C976" t="inlineStr">
        <is>
          <t>HEMOFILTRATION / HEMODIAFILTRATION (3) SOLUTION PARENTERAL 5.4 g/5.145 g/2.033 g/6.45 g/3.09 g/1000mL 5000 mL</t>
        </is>
      </c>
      <c r="D976" t="inlineStr">
        <is>
          <t>هموسول بي صفر   محلول پرنترال 5000 L - کار و انديشه</t>
        </is>
      </c>
      <c r="E976" t="inlineStr">
        <is>
          <t>تی‌تک و آریا</t>
        </is>
      </c>
    </row>
    <row r="977">
      <c r="A977" t="n">
        <v>976</v>
      </c>
      <c r="B977" t="n">
        <v>52183</v>
      </c>
      <c r="C977" t="inlineStr">
        <is>
          <t>HEMOFILTRATION / HEMODIAFILTRATION (1) SOLUTION PARENTERAL 3.68 g/2.44 g/6.44 g/2.92 g/0.225 g/0.314 g/1000mL 5000 mL</t>
        </is>
      </c>
      <c r="D977" t="inlineStr">
        <is>
          <t>فوکسيليوم   محلول پرنترال 5000 L - کار و انديشه</t>
        </is>
      </c>
      <c r="E977" t="inlineStr">
        <is>
          <t>تی‌تک و آریا</t>
        </is>
      </c>
    </row>
    <row r="978">
      <c r="A978" t="n">
        <v>977</v>
      </c>
      <c r="B978" t="n">
        <v>52184</v>
      </c>
      <c r="C978" t="inlineStr">
        <is>
          <t>PAROXETINE (AS MESILATE) TABLET ORAL 20 mg</t>
        </is>
      </c>
      <c r="D978" t="inlineStr">
        <is>
          <t>پاروکستين   قرص خوراکي 20 mg - رشد و دارو</t>
        </is>
      </c>
      <c r="E978" t="inlineStr">
        <is>
          <t>تی‌تک و آریا</t>
        </is>
      </c>
    </row>
    <row r="979">
      <c r="A979" t="n">
        <v>978</v>
      </c>
      <c r="B979" t="n">
        <v>52190</v>
      </c>
      <c r="C979" t="inlineStr">
        <is>
          <t>ANTICOAGULANT SOLUTION PARENTERAL 2.63 g/0.299 g/3.19 g/0.222 g/0.0275 g/100 mL 63 mL</t>
        </is>
      </c>
      <c r="D979" t="inlineStr">
        <is>
          <t>کيسه خون دوتايي   محلول پرنترال 63 mL - صنايع پزشکي فارمد</t>
        </is>
      </c>
      <c r="E979" t="inlineStr">
        <is>
          <t>تی‌تک و آریا</t>
        </is>
      </c>
    </row>
    <row r="980">
      <c r="A980" t="n">
        <v>979</v>
      </c>
      <c r="B980" t="n">
        <v>52191</v>
      </c>
      <c r="C980" t="inlineStr">
        <is>
          <t>RISPERIDONE SOLUTION ORAL 1 mg/1mL 30 mL</t>
        </is>
      </c>
      <c r="D980" t="inlineStr">
        <is>
          <t>آپو-ريسپريدون   محلول خوراکي 1 mg/1mL 30 mL - رستا ايمن دارو</t>
        </is>
      </c>
      <c r="E980" t="inlineStr">
        <is>
          <t>تی‌تک و آریا</t>
        </is>
      </c>
    </row>
    <row r="981">
      <c r="A981" t="n">
        <v>980</v>
      </c>
      <c r="B981" t="n">
        <v>52194</v>
      </c>
      <c r="C981" t="inlineStr">
        <is>
          <t>IMMUNE GLOBULIN INJECTION INTRAVENOUS 50 mg/1mL 10 mL</t>
        </is>
      </c>
      <c r="D981" t="inlineStr">
        <is>
          <t>آي وي-گلوبولين اس ان   تزريقي داخل وريدي 50 mg/1mL 10 mg - اهران تجارت</t>
        </is>
      </c>
      <c r="E981" t="inlineStr">
        <is>
          <t>تی‌تک و آریا</t>
        </is>
      </c>
    </row>
    <row r="982">
      <c r="A982" t="n">
        <v>981</v>
      </c>
      <c r="B982" t="n">
        <v>52197</v>
      </c>
      <c r="C982" t="inlineStr">
        <is>
          <t>ADULT COLD PREPARATIONS (4-8) TABLET ORAL 500 mg/5 mg/2 mg</t>
        </is>
      </c>
      <c r="D982" t="inlineStr">
        <is>
          <t>فلو آف   قرص خوراکي 500 mg/5 mg/2 mg - لابراتوارهاي شهردارو</t>
        </is>
      </c>
      <c r="E982" t="inlineStr">
        <is>
          <t>تی‌تک و آریا</t>
        </is>
      </c>
    </row>
    <row r="983">
      <c r="A983" t="n">
        <v>982</v>
      </c>
      <c r="B983" t="n">
        <v>52198</v>
      </c>
      <c r="C983" t="inlineStr">
        <is>
          <t>ADAPALENE / BENZOYL PEROXIDE GEL TOPICAL 0.1 %/2.5 % 30 g</t>
        </is>
      </c>
      <c r="D983" t="inlineStr">
        <is>
          <t>اپيدو   ژل موضعي 0.1 %/2.5 % 30 g - گل درمان ارشيا</t>
        </is>
      </c>
      <c r="E983" t="inlineStr">
        <is>
          <t>تی‌تک و آریا</t>
        </is>
      </c>
    </row>
    <row r="984">
      <c r="A984" t="n">
        <v>983</v>
      </c>
      <c r="B984" t="n">
        <v>52199</v>
      </c>
      <c r="C984" t="inlineStr">
        <is>
          <t>IPRATROPIUM BROMIDE SOLUTION RESPIRATORY 250 ug/1mL 20 mL</t>
        </is>
      </c>
      <c r="D984" t="inlineStr">
        <is>
          <t>آپو-ايپراونت   محلول استنشاقي 250 ug/1mL 20 mL - رستا ايمن دارو</t>
        </is>
      </c>
      <c r="E984" t="inlineStr">
        <is>
          <t>تی‌تک و آریا</t>
        </is>
      </c>
    </row>
    <row r="985">
      <c r="A985" t="n">
        <v>984</v>
      </c>
      <c r="B985" t="n">
        <v>52200</v>
      </c>
      <c r="C985" t="inlineStr">
        <is>
          <t>VANCOMYCIN (AS HYDROCHLORIDE) CAPSULE, LIQUID FILLED ORAL 125 mg</t>
        </is>
      </c>
      <c r="D985" t="inlineStr">
        <is>
          <t>ونکومايسين   کپسول حاوي مايع خوراکي 125 mg - آريا ديبا دارو</t>
        </is>
      </c>
      <c r="E985" t="inlineStr">
        <is>
          <t>تی‌تک و آریا</t>
        </is>
      </c>
    </row>
    <row r="986">
      <c r="A986" t="n">
        <v>985</v>
      </c>
      <c r="B986" t="n">
        <v>52205</v>
      </c>
      <c r="C986" t="inlineStr">
        <is>
          <t>POTASSIUM CHLORIDE INJECTION INTRAVENOUS 0.3 % 1000 mL</t>
        </is>
      </c>
      <c r="D986" t="inlineStr">
        <is>
          <t>پتاسيم کلرايد در دکستروز   تزريقي داخل وريدي 0.3 % 1000 mL - فرآورده هاي تزريقي و دارويي ايران</t>
        </is>
      </c>
      <c r="E986" t="inlineStr">
        <is>
          <t>تی‌تک و آریا</t>
        </is>
      </c>
    </row>
    <row r="987">
      <c r="A987" t="n">
        <v>986</v>
      </c>
      <c r="B987" t="n">
        <v>52206</v>
      </c>
      <c r="C987" t="inlineStr">
        <is>
          <t>INSULIN BIPHASIC LISPRO 25/75 INJECTION, SUSPENSION PARENTERAL 100 [iU]/1mL 3 mL</t>
        </is>
      </c>
      <c r="E987" t="inlineStr">
        <is>
          <t>فقط تی‌تک</t>
        </is>
      </c>
    </row>
    <row r="988">
      <c r="A988" t="n">
        <v>987</v>
      </c>
      <c r="B988" t="n">
        <v>52207</v>
      </c>
      <c r="C988" t="inlineStr">
        <is>
          <t>INSULIN BIPHASIC LISPRO 50/50 INJECTION, SUSPENSION PARENTERAL 100 [iU]/1mL 3 mL</t>
        </is>
      </c>
      <c r="E988" t="inlineStr">
        <is>
          <t>فقط تی‌تک</t>
        </is>
      </c>
    </row>
    <row r="989">
      <c r="A989" t="n">
        <v>988</v>
      </c>
      <c r="B989" t="n">
        <v>52208</v>
      </c>
      <c r="C989" t="inlineStr">
        <is>
          <t>HEPATITIS B IMMUNE GLOBULIN INJECTION PARENTERAL 500 [iU]/1mL 1 mL</t>
        </is>
      </c>
      <c r="E989" t="inlineStr">
        <is>
          <t>فقط تی‌تک</t>
        </is>
      </c>
    </row>
    <row r="990">
      <c r="A990" t="n">
        <v>989</v>
      </c>
      <c r="B990" t="n">
        <v>52209</v>
      </c>
      <c r="C990" t="inlineStr">
        <is>
          <t>AMINO ACID 15% INJECTION, SOLUTION INTRAVENOUS 5.85 mg/11.4 mg/7.95 mg/5.7 mg/5.7 mg/5.4 mg/2.1 mg/7.2 mg/16.05 mg/5.25 mg/22.35 mg/19.2 mg/7.95 mg/16.2 mg/7.35 mg/3 mg/0.5 mg/0.5 mg/1mL 500 mL</t>
        </is>
      </c>
      <c r="D990" t="inlineStr">
        <is>
          <t>آمينوپلاسمال 15%   محلول تزريقي داخل وريدي 500 mL - نيکان فارمد</t>
        </is>
      </c>
      <c r="E990" t="inlineStr">
        <is>
          <t>تی‌تک و آریا</t>
        </is>
      </c>
    </row>
    <row r="991">
      <c r="A991" t="n">
        <v>990</v>
      </c>
      <c r="B991" t="n">
        <v>52210</v>
      </c>
      <c r="C991" t="inlineStr">
        <is>
          <t>SOMATROPIN INJECTION, SOLUTION PARENTERAL 8 mg/1mL 1.5 mL</t>
        </is>
      </c>
      <c r="D991" t="inlineStr">
        <is>
          <t>سايزن   محلول تزريقي پرنترال 8 mg/1mL 1.5 mg - اکتوورکو</t>
        </is>
      </c>
      <c r="E991" t="inlineStr">
        <is>
          <t>تی‌تک و آریا</t>
        </is>
      </c>
    </row>
    <row r="992">
      <c r="A992" t="n">
        <v>991</v>
      </c>
      <c r="B992" t="n">
        <v>52211</v>
      </c>
      <c r="C992" t="inlineStr">
        <is>
          <t>SOMATROPIN INJECTION, SOLUTION PARENTERAL 8 mg/1mL 2.5 mL</t>
        </is>
      </c>
      <c r="D992" t="inlineStr">
        <is>
          <t>سايزن   محلول تزريقي پرنترال 8 mg/1mL 2.5 mg - اکتوورکو</t>
        </is>
      </c>
      <c r="E992" t="inlineStr">
        <is>
          <t>تی‌تک و آریا</t>
        </is>
      </c>
    </row>
    <row r="993">
      <c r="A993" t="n">
        <v>992</v>
      </c>
      <c r="B993" t="n">
        <v>52212</v>
      </c>
      <c r="C993" t="inlineStr">
        <is>
          <t>SOMATROPIN INJECTION, SOLUTION PARENTERAL 6 mg/1.03 mL</t>
        </is>
      </c>
      <c r="D993" t="inlineStr">
        <is>
          <t>سايزن   محلول تزريقي پرنترال 6 mg/1.03 mL  mg - اکتوورکو</t>
        </is>
      </c>
      <c r="E993" t="inlineStr">
        <is>
          <t>تی‌تک و آریا</t>
        </is>
      </c>
    </row>
    <row r="994">
      <c r="A994" t="n">
        <v>993</v>
      </c>
      <c r="B994" t="n">
        <v>52213</v>
      </c>
      <c r="C994" t="inlineStr">
        <is>
          <t>TRIFLURIDINE / TIPIRACIL TABLET ORAL 20 mg/8.19 mg</t>
        </is>
      </c>
      <c r="D994" t="inlineStr">
        <is>
          <t>لانسرف   قرص خوراکي 20 mg/8.19 mg - آسمان داروي پارس</t>
        </is>
      </c>
      <c r="E994" t="inlineStr">
        <is>
          <t>تی‌تک و آریا</t>
        </is>
      </c>
    </row>
    <row r="995">
      <c r="A995" t="n">
        <v>994</v>
      </c>
      <c r="B995" t="n">
        <v>52214</v>
      </c>
      <c r="C995" t="inlineStr">
        <is>
          <t>AVELUMAB INJECTION, SOLUTION, CONCENTRATE PARENTERAL 20 mg/1mL 10 mL</t>
        </is>
      </c>
      <c r="D995" t="inlineStr">
        <is>
          <t>باونشيو   محلول غليظ تزريقي پرنترال 20 mg/1mL 10 mg - بازرگاني سها کيش</t>
        </is>
      </c>
      <c r="E995" t="inlineStr">
        <is>
          <t>تی‌تک و آریا</t>
        </is>
      </c>
    </row>
    <row r="996">
      <c r="A996" t="n">
        <v>995</v>
      </c>
      <c r="B996" t="n">
        <v>52217</v>
      </c>
      <c r="C996" t="inlineStr">
        <is>
          <t>LACTULOSE SYRUP ORAL 10 g/15mL 300 mL</t>
        </is>
      </c>
      <c r="D996" t="inlineStr">
        <is>
          <t>دوفلک   شربت خوراکي 10 g/15mL 300 mL - بهستان دارو</t>
        </is>
      </c>
      <c r="E996" t="inlineStr">
        <is>
          <t>تی‌تک و آریا</t>
        </is>
      </c>
    </row>
    <row r="997">
      <c r="A997" t="n">
        <v>996</v>
      </c>
      <c r="B997" t="n">
        <v>52218</v>
      </c>
      <c r="C997" t="inlineStr">
        <is>
          <t>NELARABINE INJECTION PARENTERAL 5 mg/1mL 50 mL</t>
        </is>
      </c>
      <c r="D997" t="inlineStr">
        <is>
          <t>آترانل   تزريقي پرنترال 5 mg/1mL 50 mg - نانو فناوران داروئي الوند</t>
        </is>
      </c>
      <c r="E997" t="inlineStr">
        <is>
          <t>تی‌تک و آریا</t>
        </is>
      </c>
    </row>
    <row r="998">
      <c r="A998" t="n">
        <v>997</v>
      </c>
      <c r="B998" t="n">
        <v>52219</v>
      </c>
      <c r="C998" t="inlineStr">
        <is>
          <t>PEGINTERFERON BETA-1A INJECTION PARENTERAL 125 ug/0.5mL</t>
        </is>
      </c>
      <c r="D998" t="inlineStr">
        <is>
          <t>پگ سينووکس   تزريقي پرنترال 125 ug/0.5mL  ug - تحقيقاتي وتوليدي سينا ژن</t>
        </is>
      </c>
      <c r="E998" t="inlineStr">
        <is>
          <t>تی‌تک و آریا</t>
        </is>
      </c>
    </row>
    <row r="999">
      <c r="A999" t="n">
        <v>998</v>
      </c>
      <c r="B999" t="n">
        <v>52220</v>
      </c>
      <c r="C999" t="inlineStr">
        <is>
          <t>PEGINTERFERON BETA-1A INJECTION PARENTERAL 94 ug/0.5mL</t>
        </is>
      </c>
      <c r="D999" t="inlineStr">
        <is>
          <t>پگ سينووکس   تزريقي پرنترال 94 ug/0.5mL  ug - تحقيقاتي وتوليدي سينا ژن</t>
        </is>
      </c>
      <c r="E999" t="inlineStr">
        <is>
          <t>تی‌تک و آریا</t>
        </is>
      </c>
    </row>
    <row r="1000">
      <c r="A1000" t="n">
        <v>999</v>
      </c>
      <c r="B1000" t="n">
        <v>52221</v>
      </c>
      <c r="C1000" t="inlineStr">
        <is>
          <t>PEGINTERFERON BETA-1A INJECTION PARENTERAL 63 ug/0.5mL</t>
        </is>
      </c>
      <c r="D1000" t="inlineStr">
        <is>
          <t>پگ سينووکس   تزريقي پرنترال 63 ug/0.5mL  ug - تحقيقاتي وتوليدي سينا ژن</t>
        </is>
      </c>
      <c r="E1000" t="inlineStr">
        <is>
          <t>تی‌تک و آریا</t>
        </is>
      </c>
    </row>
    <row r="1001">
      <c r="A1001" t="n">
        <v>1000</v>
      </c>
      <c r="B1001" t="n">
        <v>52224</v>
      </c>
      <c r="C1001" t="inlineStr">
        <is>
          <t>CO-AMOXICLAV POWDER, FOR SUSPENSION ORAL 250 mg/62.5 mg</t>
        </is>
      </c>
      <c r="D1001" t="inlineStr">
        <is>
          <t>کوآموکسي-کلاو    پودر براي تهيه سوسپانسيون   خوراکي 250 mg/62.5 mg  mL - نيک دارو آرام</t>
        </is>
      </c>
      <c r="E1001" t="inlineStr">
        <is>
          <t>تی‌تک و آریا</t>
        </is>
      </c>
    </row>
    <row r="1002">
      <c r="A1002" t="n">
        <v>1001</v>
      </c>
      <c r="B1002" t="n">
        <v>52225</v>
      </c>
      <c r="C1002" t="inlineStr">
        <is>
          <t>LIDOCAINE / EPINEPHRINE INJECTION PARENTERAL 20 mg/10 ug/1mL 1.8 mL</t>
        </is>
      </c>
      <c r="D1002" t="inlineStr">
        <is>
          <t>اکتوکائين   تزريقي پرنترال 20 mg/10 ug/1mL 1.8 mL - گسترش بازرگاني دارو پخش</t>
        </is>
      </c>
      <c r="E1002" t="inlineStr">
        <is>
          <t>تی‌تک و آریا</t>
        </is>
      </c>
    </row>
    <row r="1003">
      <c r="A1003" t="n">
        <v>1002</v>
      </c>
      <c r="B1003" t="n">
        <v>52226</v>
      </c>
      <c r="C1003" t="inlineStr">
        <is>
          <t>LIDOCAINE / EPINEPHRINE INJECTION PARENTERAL 20 mg/20 ug/1mL 1.8 mL</t>
        </is>
      </c>
      <c r="D1003" t="inlineStr">
        <is>
          <t>اکتوکائين   تزريقي پرنترال 20 mg/20 ug/1mL 1.8 mL - گسترش بازرگاني دارو پخش</t>
        </is>
      </c>
      <c r="E1003" t="inlineStr">
        <is>
          <t>تی‌تک و آریا</t>
        </is>
      </c>
    </row>
    <row r="1004">
      <c r="A1004" t="n">
        <v>1003</v>
      </c>
      <c r="B1004" t="n">
        <v>52232</v>
      </c>
      <c r="C1004" t="inlineStr">
        <is>
          <t>CROMOLYN SODIUM SPRAY NASAL 20 mg/1mL 15 mL</t>
        </is>
      </c>
      <c r="D1004" t="inlineStr">
        <is>
          <t>کرومونازن اسپري   اسپري از راه بيني 20 mg/1mL 15 mg - پويش دارو گستر برتر فارس</t>
        </is>
      </c>
      <c r="E1004" t="inlineStr">
        <is>
          <t>تی‌تک و آریا</t>
        </is>
      </c>
    </row>
    <row r="1005">
      <c r="A1005" t="n">
        <v>1004</v>
      </c>
      <c r="B1005" t="n">
        <v>52233</v>
      </c>
      <c r="C1005" t="inlineStr">
        <is>
          <t>NAPHAZOLINE HYDROCHLORIDE SOLUTION, DROPS OPHTHALMIC 0.1 % 0.5 mL</t>
        </is>
      </c>
      <c r="D1005" t="inlineStr">
        <is>
          <t>نفازولين   محلول، قطره چشمي 0.1 % 0.5 mL - فرآورده هاي تزريقي و دارويي ايران</t>
        </is>
      </c>
      <c r="E1005" t="inlineStr">
        <is>
          <t>تی‌تک و آریا</t>
        </is>
      </c>
    </row>
    <row r="1006">
      <c r="A1006" t="n">
        <v>1005</v>
      </c>
      <c r="B1006" t="n">
        <v>52237</v>
      </c>
      <c r="C1006" t="inlineStr">
        <is>
          <t>DESMOPRESSIN (AS ACETATE) TABLET SUBLINGUAL 25 ug</t>
        </is>
      </c>
      <c r="E1006" t="inlineStr">
        <is>
          <t>فقط تی‌تک</t>
        </is>
      </c>
    </row>
    <row r="1007">
      <c r="A1007" t="n">
        <v>1006</v>
      </c>
      <c r="B1007" t="n">
        <v>52238</v>
      </c>
      <c r="C1007" t="inlineStr">
        <is>
          <t>DESMOPRESSIN (AS ACETATE) TABLET SUBLINGUAL 50 ug</t>
        </is>
      </c>
      <c r="E1007" t="inlineStr">
        <is>
          <t>فقط تی‌تک</t>
        </is>
      </c>
    </row>
    <row r="1008">
      <c r="A1008" t="n">
        <v>1007</v>
      </c>
      <c r="B1008" t="n">
        <v>52244</v>
      </c>
      <c r="C1008" t="inlineStr">
        <is>
          <t>BENZOYL PEROXIDE GEL TOPICAL 10 % 25 g</t>
        </is>
      </c>
      <c r="E1008" t="inlineStr">
        <is>
          <t>فقط تی‌تک</t>
        </is>
      </c>
    </row>
    <row r="1009">
      <c r="A1009" t="n">
        <v>1008</v>
      </c>
      <c r="B1009" t="n">
        <v>52245</v>
      </c>
      <c r="C1009" t="inlineStr">
        <is>
          <t>BENZOYL PEROXIDE GEL TOPICAL 5 % 40 g</t>
        </is>
      </c>
      <c r="E1009" t="inlineStr">
        <is>
          <t>فقط تی‌تک</t>
        </is>
      </c>
    </row>
    <row r="1010">
      <c r="A1010" t="n">
        <v>1009</v>
      </c>
      <c r="B1010" t="n">
        <v>52246</v>
      </c>
      <c r="C1010" t="inlineStr">
        <is>
          <t>EPOETIN INJECTION PARENTERAL 2000 [iU]/0.3mL</t>
        </is>
      </c>
      <c r="D1010" t="inlineStr">
        <is>
          <t>سيناپويتين   تزريقي پرنترال 2000 [iU]/0.3mL  [iU] - تحقيقاتي وتوليدي سينا ژن</t>
        </is>
      </c>
      <c r="E1010" t="inlineStr">
        <is>
          <t>تی‌تک و آریا</t>
        </is>
      </c>
    </row>
    <row r="1011">
      <c r="A1011" t="n">
        <v>1010</v>
      </c>
      <c r="B1011" t="n">
        <v>52247</v>
      </c>
      <c r="C1011" t="inlineStr">
        <is>
          <t>EPOETIN INJECTION PARENTERAL 20000 [iU]/0.6mL</t>
        </is>
      </c>
      <c r="D1011" t="inlineStr">
        <is>
          <t>سيناپويتين   تزريقي پرنترال 20000 [iU]/0.6mL  [iU] - تحقيقاتي وتوليدي سينا ژن</t>
        </is>
      </c>
      <c r="E1011" t="inlineStr">
        <is>
          <t>تی‌تک و آریا</t>
        </is>
      </c>
    </row>
    <row r="1012">
      <c r="A1012" t="n">
        <v>1011</v>
      </c>
      <c r="B1012" t="n">
        <v>52252</v>
      </c>
      <c r="C1012" t="inlineStr">
        <is>
          <t>DEXTROSE INJECTION, SOLUTION, CONCENTRATE INTRAVENOUS 50 % 400 mL</t>
        </is>
      </c>
      <c r="D1012" t="inlineStr">
        <is>
          <t>دکستروز (بگ)   محلول غليظ تزريقي داخل وريدي 50 % 400 mL - داروسازي ثامن</t>
        </is>
      </c>
      <c r="E1012" t="inlineStr">
        <is>
          <t>تی‌تک و آریا</t>
        </is>
      </c>
    </row>
    <row r="1013">
      <c r="A1013" t="n">
        <v>1012</v>
      </c>
      <c r="B1013" t="n">
        <v>52253</v>
      </c>
      <c r="C1013" t="inlineStr">
        <is>
          <t>DEXTROSE INJECTION, SOLUTION, CONCENTRATE INTRAVENOUS 50 % 500 mL</t>
        </is>
      </c>
      <c r="D1013" t="inlineStr">
        <is>
          <t>دکستروز   محلول غليظ تزريقي داخل وريدي 50 % 500 mL - کارخانجات دارو پخش</t>
        </is>
      </c>
      <c r="E1013" t="inlineStr">
        <is>
          <t>تی‌تک و آریا</t>
        </is>
      </c>
    </row>
    <row r="1014">
      <c r="A1014" t="n">
        <v>1013</v>
      </c>
      <c r="B1014" t="n">
        <v>52256</v>
      </c>
      <c r="C1014" t="inlineStr">
        <is>
          <t>EPOETIN INJECTION PARENTERAL 40000 [iU]/0.6mL</t>
        </is>
      </c>
      <c r="D1014" t="inlineStr">
        <is>
          <t>سيناپويتين   تزريقي پرنترال 40000 [iU]/0.6mL  [iU] - تحقيقاتي وتوليدي سينا ژن</t>
        </is>
      </c>
      <c r="E1014" t="inlineStr">
        <is>
          <t>تی‌تک و آریا</t>
        </is>
      </c>
    </row>
    <row r="1015">
      <c r="A1015" t="n">
        <v>1014</v>
      </c>
      <c r="B1015" t="n">
        <v>52257</v>
      </c>
      <c r="C1015" t="inlineStr">
        <is>
          <t>SECUKINUMAB INJECTION, SOLUTION PARENTERAL 150 mg/1mL</t>
        </is>
      </c>
      <c r="D1015" t="inlineStr">
        <is>
          <t>ورکسانت   محلول تزريقي پرنترال 150 mg/1mL  mg - بازرگاني سها کيش</t>
        </is>
      </c>
      <c r="E1015" t="inlineStr">
        <is>
          <t>تی‌تک و آریا</t>
        </is>
      </c>
    </row>
    <row r="1016">
      <c r="A1016" t="n">
        <v>1015</v>
      </c>
      <c r="B1016" t="n">
        <v>52258</v>
      </c>
      <c r="C1016" t="inlineStr">
        <is>
          <t>LABETALOL HYDROCHLORIDE INJECTION PARENTERAL 5 mg/1mL 10 mL</t>
        </is>
      </c>
      <c r="D1016" t="inlineStr">
        <is>
          <t>لابتالول   تزريقي پرنترال 5 mg/1mL 10 mL - يارا طب خاورميانه</t>
        </is>
      </c>
      <c r="E1016" t="inlineStr">
        <is>
          <t>تی‌تک و آریا</t>
        </is>
      </c>
    </row>
    <row r="1017">
      <c r="A1017" t="n">
        <v>1016</v>
      </c>
      <c r="B1017" t="n">
        <v>52259</v>
      </c>
      <c r="C1017" t="inlineStr">
        <is>
          <t>SODIUM THIOSULFATE INJECTION PARENTERAL 250 mg/1mL 100 mL</t>
        </is>
      </c>
      <c r="D1017" t="inlineStr">
        <is>
          <t>ناتريوم تيوسولفات   تزريقي پرنترال 250 mg/1mL 100 % - فوريتهاي سينا آرات گستر</t>
        </is>
      </c>
      <c r="E1017" t="inlineStr">
        <is>
          <t>تی‌تک و آریا</t>
        </is>
      </c>
    </row>
    <row r="1018">
      <c r="A1018" t="n">
        <v>1017</v>
      </c>
      <c r="B1018" t="n">
        <v>52268</v>
      </c>
      <c r="C1018" t="inlineStr">
        <is>
          <t>FACTOR VIIA INJECTION, POWDER, LYOPHILIZED, FOR SUSPENSION PARENTERAL 5 mg</t>
        </is>
      </c>
      <c r="D1018" t="inlineStr">
        <is>
          <t>آريوسون آر تي   پودر لئوفيليزه براي تهيه سوسپانسيون تزريقي پرنترال 5 mg  mg - آريوژن فارمد</t>
        </is>
      </c>
      <c r="E1018" t="inlineStr">
        <is>
          <t>تی‌تک و آریا</t>
        </is>
      </c>
    </row>
    <row r="1019">
      <c r="A1019" t="n">
        <v>1018</v>
      </c>
      <c r="B1019" t="n">
        <v>52269</v>
      </c>
      <c r="C1019" t="inlineStr">
        <is>
          <t>FACTOR VIIA INJECTION, POWDER, LYOPHILIZED, FOR SOLUTION PARENTERAL 8 mg</t>
        </is>
      </c>
      <c r="D1019" t="inlineStr">
        <is>
          <t>آريوسون آرتي   پودر لئوفيليزه براي تهيه محلول تزريقي پرنترال 8 mg  mg - آريوژن فارمد</t>
        </is>
      </c>
      <c r="E1019" t="inlineStr">
        <is>
          <t>تی‌تک و آریا</t>
        </is>
      </c>
    </row>
    <row r="1020">
      <c r="A1020" t="n">
        <v>1019</v>
      </c>
      <c r="B1020" t="n">
        <v>52272</v>
      </c>
      <c r="C1020" t="inlineStr">
        <is>
          <t>AMINO ACID 10% (2) INJECTION, SOLUTION INTRAVENOUS 5 mg/8.9 mg/5.74 mg/3.12 mg/4.4 mg/4.7 mg/4.2 mg/1.6 mg/6.2 mg/11.5 mg/3 mg/10.5 mg/12 mg/5.6 mg/7.2 mg/5.5 mg/2.3 mg/0.4 mg/1mL 1000 mL</t>
        </is>
      </c>
      <c r="D1020" t="inlineStr">
        <is>
          <t>آمينوپلاسمال بي.براون 10 %   محلول تزريقي داخل وريدي 1000 mL - نيکان فارمد</t>
        </is>
      </c>
      <c r="E1020" t="inlineStr">
        <is>
          <t>تی‌تک و آریا</t>
        </is>
      </c>
    </row>
    <row r="1021">
      <c r="A1021" t="n">
        <v>1020</v>
      </c>
      <c r="B1021" t="n">
        <v>52275</v>
      </c>
      <c r="C1021" t="inlineStr">
        <is>
          <t>LEVETIRACETAM SOLUTION ORAL 100 mg/1 mL 300 mL</t>
        </is>
      </c>
      <c r="D1021" t="inlineStr">
        <is>
          <t>ايتالپت   محلول خوراکي 100 mg/1 mL 300 mL - فرنوش داروطب</t>
        </is>
      </c>
      <c r="E1021" t="inlineStr">
        <is>
          <t>تی‌تک و آریا</t>
        </is>
      </c>
    </row>
    <row r="1022">
      <c r="A1022" t="n">
        <v>1021</v>
      </c>
      <c r="B1022" t="n">
        <v>52277</v>
      </c>
      <c r="C1022" t="inlineStr">
        <is>
          <t>CALCIPOTRIOL / BETAMETHASONE DIPROPIONATE GEL TOPICAL 0.005 %/0.064 % 30 g</t>
        </is>
      </c>
      <c r="D1022" t="inlineStr">
        <is>
          <t>دايوبت   ژل موضعي 0.005 %/0.064 % 30 g - بهستان بهداشت</t>
        </is>
      </c>
      <c r="E1022" t="inlineStr">
        <is>
          <t>تی‌تک و آریا</t>
        </is>
      </c>
    </row>
    <row r="1023">
      <c r="A1023" t="n">
        <v>1022</v>
      </c>
      <c r="B1023" t="n">
        <v>52279</v>
      </c>
      <c r="C1023" t="inlineStr">
        <is>
          <t>DOXORUBICIN HYDROCHLORIDE INJECTION, POWDER, FOR SOLUTION PARENTERAL 10 mg</t>
        </is>
      </c>
      <c r="D1023" t="inlineStr">
        <is>
          <t>آدريامايسين   پودر براي تهيه محلول تزريقي پرنترال 10 mg  mg - پويش دارو گستر برتر فارس</t>
        </is>
      </c>
      <c r="E1023" t="inlineStr">
        <is>
          <t>تی‌تک و آریا</t>
        </is>
      </c>
    </row>
    <row r="1024">
      <c r="A1024" t="n">
        <v>1023</v>
      </c>
      <c r="B1024" t="n">
        <v>52280</v>
      </c>
      <c r="C1024" t="inlineStr">
        <is>
          <t>DOXORUBICIN HYDROCHLORIDE INJECTION, POWDER, FOR SOLUTION PARENTERAL 50 mg</t>
        </is>
      </c>
      <c r="D1024" t="inlineStr">
        <is>
          <t>دوکسوآز   پودر براي تهيه محلول تزريقي پرنترال 50 mg  mg - يارا طب خاورميانه</t>
        </is>
      </c>
      <c r="E1024" t="inlineStr">
        <is>
          <t>تی‌تک و آریا</t>
        </is>
      </c>
    </row>
    <row r="1025">
      <c r="A1025" t="n">
        <v>1024</v>
      </c>
      <c r="B1025" t="n">
        <v>52281</v>
      </c>
      <c r="C1025" t="inlineStr">
        <is>
          <t>POLIOMYELITIS VACCINE INJECTION PARENTERAL 5 {dose}</t>
        </is>
      </c>
      <c r="D1025" t="inlineStr">
        <is>
          <t>پيکووکس   تزريقي پرنترال 5 {dose}  {dose} - دارو درمان آرنگ</t>
        </is>
      </c>
      <c r="E1025" t="inlineStr">
        <is>
          <t>تی‌تک و آریا</t>
        </is>
      </c>
    </row>
    <row r="1026">
      <c r="A1026" t="n">
        <v>1025</v>
      </c>
      <c r="B1026" t="n">
        <v>52282</v>
      </c>
      <c r="C1026" t="inlineStr">
        <is>
          <t>ARTICAINE / EPINEPHRINE INJECTION PARENTERAL 4 %/0.001 %/1 mL 1.7 mL</t>
        </is>
      </c>
      <c r="D1026" t="inlineStr">
        <is>
          <t>پوسيکائين اس پي   تزريقي پرنترال 4 %/0.001 %/1 mL 1.7 mL - پرشيا ايده پارس</t>
        </is>
      </c>
      <c r="E1026" t="inlineStr">
        <is>
          <t>تی‌تک و آریا</t>
        </is>
      </c>
    </row>
    <row r="1027">
      <c r="A1027" t="n">
        <v>1026</v>
      </c>
      <c r="B1027" t="n">
        <v>52283</v>
      </c>
      <c r="C1027" t="inlineStr">
        <is>
          <t>ARTICAINE / EPINEPHRINE INJECTION PARENTERAL 4 %/0.0005 %/1 mL 1.7 mL</t>
        </is>
      </c>
      <c r="D1027" t="inlineStr">
        <is>
          <t>پوسيکائين   تزريقي پرنترال 4 %/0.0005 %/1 mL 1.7 mL - پرشيا ايده پارس</t>
        </is>
      </c>
      <c r="E1027" t="inlineStr">
        <is>
          <t>تی‌تک و آریا</t>
        </is>
      </c>
    </row>
    <row r="1028">
      <c r="A1028" t="n">
        <v>1027</v>
      </c>
      <c r="B1028" t="n">
        <v>52284</v>
      </c>
      <c r="C1028" t="inlineStr">
        <is>
          <t>METHOTREXATE SODIUM TABLET ORAL 5 mg</t>
        </is>
      </c>
      <c r="E1028" t="inlineStr">
        <is>
          <t>فقط تی‌تک</t>
        </is>
      </c>
    </row>
    <row r="1029">
      <c r="A1029" t="n">
        <v>1028</v>
      </c>
      <c r="B1029" t="n">
        <v>52286</v>
      </c>
      <c r="C1029" t="inlineStr">
        <is>
          <t>PROSTAGLANDIN E1 (ALPROSTADIL) INJECTION, SOLUTION, CONCENTRATE PARENTERAL 20 ug/1mL</t>
        </is>
      </c>
      <c r="D1029" t="inlineStr">
        <is>
          <t>آلپروستاسين   محلول غليظ تزريقي پرنترال 20 ug/1mL  ug - نوآوران فخر دارو</t>
        </is>
      </c>
      <c r="E1029" t="inlineStr">
        <is>
          <t>تی‌تک و آریا</t>
        </is>
      </c>
    </row>
    <row r="1030">
      <c r="A1030" t="n">
        <v>1029</v>
      </c>
      <c r="B1030" t="n">
        <v>52287</v>
      </c>
      <c r="C1030" t="inlineStr">
        <is>
          <t>IDEBENONE CAPSULE ORAL 45 mg</t>
        </is>
      </c>
      <c r="D1030" t="inlineStr">
        <is>
          <t>منسيس   کپسول خوراکي 45 mg  [Amb'a'1'U] - فوريتهاي سينا آرات گستر</t>
        </is>
      </c>
      <c r="E1030" t="inlineStr">
        <is>
          <t>تی‌تک و آریا</t>
        </is>
      </c>
    </row>
    <row r="1031">
      <c r="A1031" t="n">
        <v>1030</v>
      </c>
      <c r="B1031" t="n">
        <v>52290</v>
      </c>
      <c r="C1031" t="inlineStr">
        <is>
          <t>EPOETIN INJECTION PARENTERAL 20000 [iU]/1mL 1 mL</t>
        </is>
      </c>
      <c r="D1031" t="inlineStr">
        <is>
          <t>پي دي پويتين   تزريقي پرنترال 20000 [iU]/1mL 1 [iU] - فرآورده هاي پويش دارو</t>
        </is>
      </c>
      <c r="E1031" t="inlineStr">
        <is>
          <t>تی‌تک و آریا</t>
        </is>
      </c>
    </row>
    <row r="1032">
      <c r="A1032" t="n">
        <v>1031</v>
      </c>
      <c r="B1032" t="n">
        <v>52293</v>
      </c>
      <c r="C1032" t="inlineStr">
        <is>
          <t>MENINGOCOCCAL VACCINE INJECTION PARENTERAL  1 {dose}</t>
        </is>
      </c>
      <c r="D1032" t="inlineStr">
        <is>
          <t>نيمنريکس   تزريقي پرنترال  1 mL - بهستان دارو</t>
        </is>
      </c>
      <c r="E1032" t="inlineStr">
        <is>
          <t>تی‌تک و آریا</t>
        </is>
      </c>
    </row>
    <row r="1033">
      <c r="A1033" t="n">
        <v>1032</v>
      </c>
      <c r="B1033" t="n">
        <v>52297</v>
      </c>
      <c r="C1033" t="inlineStr">
        <is>
          <t>HYDROCORTISONE CREAM TOPICAL 1 % 30 g</t>
        </is>
      </c>
      <c r="E1033" t="inlineStr">
        <is>
          <t>فقط تی‌تک</t>
        </is>
      </c>
    </row>
    <row r="1034">
      <c r="A1034" t="n">
        <v>1033</v>
      </c>
      <c r="B1034" t="n">
        <v>52300</v>
      </c>
      <c r="C1034" t="inlineStr">
        <is>
          <t>SUGAMMADEX (AS SODIUM) INJECTION, SOLUTION PARENTERAL 100 mg/1mL 5 mL</t>
        </is>
      </c>
      <c r="D1034" t="inlineStr">
        <is>
          <t>سوگاما   محلول تزريقي پرنترال 100 mg/1mL 5 mg - ليو آناهيتا فارمد</t>
        </is>
      </c>
      <c r="E1034" t="inlineStr">
        <is>
          <t>تی‌تک و آریا</t>
        </is>
      </c>
    </row>
    <row r="1035">
      <c r="A1035" t="n">
        <v>1034</v>
      </c>
      <c r="B1035" t="n">
        <v>52302</v>
      </c>
      <c r="C1035" t="inlineStr">
        <is>
          <t>MESALAZINE TABLET, EXTENDED RELEASE ORAL 1 g</t>
        </is>
      </c>
      <c r="D1035" t="inlineStr">
        <is>
          <t>پنتاسا   قرص پيوسته رهش خوراکي 1 g - پويش دارو گستر برتر فارس</t>
        </is>
      </c>
      <c r="E1035" t="inlineStr">
        <is>
          <t>تی‌تک و آریا</t>
        </is>
      </c>
    </row>
    <row r="1036">
      <c r="A1036" t="n">
        <v>1035</v>
      </c>
      <c r="B1036" t="n">
        <v>52304</v>
      </c>
      <c r="C1036" t="inlineStr">
        <is>
          <t>TRETINOIN CREAM TOPICAL 0.05 % 30 g</t>
        </is>
      </c>
      <c r="E1036" t="inlineStr">
        <is>
          <t>فقط تی‌تک</t>
        </is>
      </c>
    </row>
    <row r="1037">
      <c r="A1037" t="n">
        <v>1036</v>
      </c>
      <c r="B1037" t="n">
        <v>52305</v>
      </c>
      <c r="C1037" t="inlineStr">
        <is>
          <t>MENINGOCOCCAL VACCINE INJECTION PARENTERAL  10 {dose}</t>
        </is>
      </c>
      <c r="E1037" t="inlineStr">
        <is>
          <t>فقط تی‌تک</t>
        </is>
      </c>
    </row>
    <row r="1038">
      <c r="A1038" t="n">
        <v>1037</v>
      </c>
      <c r="B1038" t="n">
        <v>52308</v>
      </c>
      <c r="C1038" t="inlineStr">
        <is>
          <t>BUDESONIDE POWDER, METERED RESPIRATORY 200 ug/1{dose} 100 {dose}</t>
        </is>
      </c>
      <c r="D1038" t="inlineStr">
        <is>
          <t>پالميکورت    پودر با دوز اندازه گيري شده استنشاقي 200 ug/1{dose} 100 mg - کوبل دارو</t>
        </is>
      </c>
      <c r="E1038" t="inlineStr">
        <is>
          <t>تی‌تک و آریا</t>
        </is>
      </c>
    </row>
    <row r="1039">
      <c r="A1039" t="n">
        <v>1038</v>
      </c>
      <c r="B1039" t="n">
        <v>52309</v>
      </c>
      <c r="C1039" t="inlineStr">
        <is>
          <t>CREAM BASE CREAM TOPICAL 100 % 2 kg</t>
        </is>
      </c>
      <c r="D1039" t="inlineStr">
        <is>
          <t>اسرين   کرم موضعي 100 % 2 kg - عماد درمان پارس</t>
        </is>
      </c>
      <c r="E1039" t="inlineStr">
        <is>
          <t>تی‌تک و آریا</t>
        </is>
      </c>
    </row>
    <row r="1040">
      <c r="A1040" t="n">
        <v>1039</v>
      </c>
      <c r="B1040" t="n">
        <v>52310</v>
      </c>
      <c r="C1040" t="inlineStr">
        <is>
          <t>LEVOTHYROXINE SODIUM SOLUTION ORAL 20 ug/1mL 100 mL</t>
        </is>
      </c>
      <c r="D1040" t="inlineStr">
        <is>
          <t>آکو-تيروکس   محلول خوراکي 20 ug/1mL 100 mL - تدبير کالاي جم</t>
        </is>
      </c>
      <c r="E1040" t="inlineStr">
        <is>
          <t>تی‌تک و آریا</t>
        </is>
      </c>
    </row>
    <row r="1041">
      <c r="A1041" t="n">
        <v>1040</v>
      </c>
      <c r="B1041" t="n">
        <v>52311</v>
      </c>
      <c r="C1041" t="inlineStr">
        <is>
          <t>COAGULATION FACTOR X, HUMAN PLASMA INJECTION PARENTERAL</t>
        </is>
      </c>
      <c r="E1041" t="inlineStr">
        <is>
          <t>فقط تی‌تک</t>
        </is>
      </c>
    </row>
    <row r="1042">
      <c r="A1042" t="n">
        <v>1041</v>
      </c>
      <c r="B1042" t="n">
        <v>52312</v>
      </c>
      <c r="C1042" t="inlineStr">
        <is>
          <t>ACETAMINOPHEN / CODEINE PHOSPHATE TABLET ORAL 300 mg/10 mg</t>
        </is>
      </c>
      <c r="E1042" t="inlineStr">
        <is>
          <t>فقط تی‌تک</t>
        </is>
      </c>
    </row>
    <row r="1043">
      <c r="A1043" t="n">
        <v>1042</v>
      </c>
      <c r="B1043" t="n">
        <v>52315</v>
      </c>
      <c r="C1043" t="inlineStr">
        <is>
          <t>PNEUMOCOCCAL VACCINE 10-VALENT INJECTION PARENTERAL  0.5 mL</t>
        </is>
      </c>
      <c r="D1043" t="inlineStr">
        <is>
          <t>پنوموسيل   تزريقي پرنترال  0.5 {dose} - اوين دارو</t>
        </is>
      </c>
      <c r="E1043" t="inlineStr">
        <is>
          <t>تی‌تک و آریا</t>
        </is>
      </c>
    </row>
    <row r="1044">
      <c r="A1044" t="n">
        <v>1043</v>
      </c>
      <c r="B1044" t="n">
        <v>52316</v>
      </c>
      <c r="C1044" t="inlineStr">
        <is>
          <t>PNEUMOCOCCAL VACCINE 10-VALENT INJECTION PARENTERAL  2 mL</t>
        </is>
      </c>
      <c r="D1044" t="inlineStr">
        <is>
          <t>سينفلوريکس   تزريقي پرنترال  2 mL - کوبل دارو</t>
        </is>
      </c>
      <c r="E1044" t="inlineStr">
        <is>
          <t>تی‌تک و آریا</t>
        </is>
      </c>
    </row>
    <row r="1045">
      <c r="A1045" t="n">
        <v>1044</v>
      </c>
      <c r="B1045" t="n">
        <v>52317</v>
      </c>
      <c r="C1045" t="inlineStr">
        <is>
          <t>TOBRAMYCIN / LOTEPREDNOL SUSPENSION, DROPS OPHTHALMIC 0.3 %/0.5 % 5 mL</t>
        </is>
      </c>
      <c r="D1045" t="inlineStr">
        <is>
          <t>زايلت   سوسپانسيون، قطره چشمي 0.3 %/0.5 % 5 mL - وليان دارو</t>
        </is>
      </c>
      <c r="E1045" t="inlineStr">
        <is>
          <t>تی‌تک و آریا</t>
        </is>
      </c>
    </row>
    <row r="1046">
      <c r="A1046" t="n">
        <v>1045</v>
      </c>
      <c r="B1046" t="n">
        <v>52329</v>
      </c>
      <c r="C1046" t="inlineStr">
        <is>
          <t>SERTACONAZOLE NITRATE CREAM TOPICAL 2 % 20 g</t>
        </is>
      </c>
      <c r="D1046" t="inlineStr">
        <is>
          <t>درموفيکس   کرم موضعي 2 % 20 g - اکتوورکو</t>
        </is>
      </c>
      <c r="E1046" t="inlineStr">
        <is>
          <t>تی‌تک و آریا</t>
        </is>
      </c>
    </row>
    <row r="1047">
      <c r="A1047" t="n">
        <v>1046</v>
      </c>
      <c r="B1047" t="n">
        <v>52330</v>
      </c>
      <c r="C1047" t="inlineStr">
        <is>
          <t>ESMOLOL HYDROCHLORIDE INJECTION, POWDER, LYOPHILIZED, FOR SOLUTION PARENTERAL 2500 mg</t>
        </is>
      </c>
      <c r="D1047" t="inlineStr">
        <is>
          <t>اسمولول   پودر لئوفيليزه براي تهيه محلول تزريقي پرنترال 2500 mg  mg - عرفان طب پارس</t>
        </is>
      </c>
      <c r="E1047" t="inlineStr">
        <is>
          <t>تی‌تک و آریا</t>
        </is>
      </c>
    </row>
    <row r="1048">
      <c r="A1048" t="n">
        <v>1047</v>
      </c>
      <c r="B1048" t="n">
        <v>52334</v>
      </c>
      <c r="C1048" t="inlineStr">
        <is>
          <t>ILOPROST INJECTION, SOLUTION PARENTERAL 20 ug/1mL 1 mL</t>
        </is>
      </c>
      <c r="D1048" t="inlineStr">
        <is>
          <t>ايلومدين   محلول تزريقي پرنترال 20 ug/1mL 1 - پويش دارو گستر برتر فارس</t>
        </is>
      </c>
      <c r="E1048" t="inlineStr">
        <is>
          <t>تی‌تک و آریا</t>
        </is>
      </c>
    </row>
    <row r="1049">
      <c r="A1049" t="n">
        <v>1048</v>
      </c>
      <c r="B1049" t="n">
        <v>52335</v>
      </c>
      <c r="C1049" t="inlineStr">
        <is>
          <t>GEMCITABINE HYDROCHLORIDE INJECTION, SOLUTION, CONCENTRATE PARENTERAL 10 mg/1mL 100 mL</t>
        </is>
      </c>
      <c r="E1049" t="inlineStr">
        <is>
          <t>فقط تی‌تک</t>
        </is>
      </c>
    </row>
    <row r="1050">
      <c r="A1050" t="n">
        <v>1049</v>
      </c>
      <c r="B1050" t="n">
        <v>52337</v>
      </c>
      <c r="C1050" t="inlineStr">
        <is>
          <t>GEMCITABINE HYDROCHLORIDE INJECTION, SOLUTION, CONCENTRATE PARENTERAL 10 mg/1mL 20 mL</t>
        </is>
      </c>
      <c r="E1050" t="inlineStr">
        <is>
          <t>فقط تی‌تک</t>
        </is>
      </c>
    </row>
    <row r="1051">
      <c r="A1051" t="n">
        <v>1050</v>
      </c>
      <c r="B1051" t="n">
        <v>52346</v>
      </c>
      <c r="C1051" t="inlineStr">
        <is>
          <t>SOMATROPIN INJECTION, SOLUTION PARENTERAL 4 [iU]/0.5mL</t>
        </is>
      </c>
      <c r="D1051" t="inlineStr">
        <is>
          <t>گروتروپين-مائي   محلول تزريقي پرنترال 4 [iU]/0.5mL  [iU] - رويان دارو</t>
        </is>
      </c>
      <c r="E1051" t="inlineStr">
        <is>
          <t>تی‌تک و آریا</t>
        </is>
      </c>
    </row>
    <row r="1052">
      <c r="A1052" t="n">
        <v>1051</v>
      </c>
      <c r="B1052" t="n">
        <v>52347</v>
      </c>
      <c r="C1052" t="inlineStr">
        <is>
          <t>CISPLATIN INJECTION, POWDER, FOR SOLUTION INTRAVENOUS 10 mg</t>
        </is>
      </c>
      <c r="E1052" t="inlineStr">
        <is>
          <t>فقط تی‌تک</t>
        </is>
      </c>
    </row>
    <row r="1053">
      <c r="A1053" t="n">
        <v>1052</v>
      </c>
      <c r="B1053" t="n">
        <v>52350</v>
      </c>
      <c r="C1053" t="inlineStr">
        <is>
          <t>ECULIZUMAB INJECTION, SOLUTION, CONCENTRATE PARENTERAL 10 mg/1mL 30 mL</t>
        </is>
      </c>
      <c r="D1053" t="inlineStr">
        <is>
          <t>ابلايز   محلول غليظ تزريقي پرنترال 10 mg/1mL 30 mg - تحقيقاتي وتوليدي سينا ژن</t>
        </is>
      </c>
      <c r="E1053" t="inlineStr">
        <is>
          <t>تی‌تک و آریا</t>
        </is>
      </c>
    </row>
    <row r="1054">
      <c r="A1054" t="n">
        <v>1053</v>
      </c>
      <c r="B1054" t="n">
        <v>52353</v>
      </c>
      <c r="C1054" t="inlineStr">
        <is>
          <t>METHOTREXATE SODIUM INJECTION PARENTERAL 20 mg/1mL 0.375 mL</t>
        </is>
      </c>
      <c r="D1054" t="inlineStr">
        <is>
          <t>ابترکسات   تزريقي پرنترال 20 mg/1mL 0.375 mg - کاوش گستر دارو</t>
        </is>
      </c>
      <c r="E1054" t="inlineStr">
        <is>
          <t>تی‌تک و آریا</t>
        </is>
      </c>
    </row>
    <row r="1055">
      <c r="A1055" t="n">
        <v>1054</v>
      </c>
      <c r="B1055" t="n">
        <v>52354</v>
      </c>
      <c r="C1055" t="inlineStr">
        <is>
          <t>METHOTREXATE SODIUM INJECTION PARENTERAL 20 mg/1mL 0.5 mL</t>
        </is>
      </c>
      <c r="D1055" t="inlineStr">
        <is>
          <t>ابترکسات   تزريقي پرنترال 20 mg/1mL 0.5 mg - کاوش گستر دارو</t>
        </is>
      </c>
      <c r="E1055" t="inlineStr">
        <is>
          <t>تی‌تک و آریا</t>
        </is>
      </c>
    </row>
    <row r="1056">
      <c r="A1056" t="n">
        <v>1055</v>
      </c>
      <c r="B1056" t="n">
        <v>52355</v>
      </c>
      <c r="C1056" t="inlineStr">
        <is>
          <t>METHOTREXATE SODIUM INJECTION PARENTERAL 20 mg/1mL 0.75 mL</t>
        </is>
      </c>
      <c r="D1056" t="inlineStr">
        <is>
          <t>ابترکسات   تزريقي پرنترال 20 mg/1mL 0.75 - کاوش گستر دارو</t>
        </is>
      </c>
      <c r="E1056" t="inlineStr">
        <is>
          <t>تی‌تک و آریا</t>
        </is>
      </c>
    </row>
    <row r="1057">
      <c r="A1057" t="n">
        <v>1056</v>
      </c>
      <c r="B1057" t="n">
        <v>52356</v>
      </c>
      <c r="C1057" t="inlineStr">
        <is>
          <t>METHOTREXATE SODIUM INJECTION PARENTERAL 20 mg/1mL 1 mL</t>
        </is>
      </c>
      <c r="D1057" t="inlineStr">
        <is>
          <t>ابترکسات   تزريقي پرنترال 20 mg/1mL 1 mg - کاوش گستر دارو</t>
        </is>
      </c>
      <c r="E1057" t="inlineStr">
        <is>
          <t>تی‌تک و آریا</t>
        </is>
      </c>
    </row>
    <row r="1058">
      <c r="A1058" t="n">
        <v>1057</v>
      </c>
      <c r="B1058" t="n">
        <v>52357</v>
      </c>
      <c r="C1058" t="inlineStr">
        <is>
          <t>METHOTREXATE SODIUM INJECTION PARENTERAL 20 mg/1mL 1.25 mL</t>
        </is>
      </c>
      <c r="D1058" t="inlineStr">
        <is>
          <t>ابترکسات   تزريقي پرنترال 20 mg/1mL 1.25 mg - کاوش گستر دارو</t>
        </is>
      </c>
      <c r="E1058" t="inlineStr">
        <is>
          <t>تی‌تک و آریا</t>
        </is>
      </c>
    </row>
    <row r="1059">
      <c r="A1059" t="n">
        <v>1058</v>
      </c>
      <c r="B1059" t="n">
        <v>52360</v>
      </c>
      <c r="C1059" t="inlineStr">
        <is>
          <t>COPPER SULFATE / ZINC SULFATE LOTION TOPICAL 1 g/1.5 g/100mL</t>
        </is>
      </c>
      <c r="D1059" t="inlineStr">
        <is>
          <t>آب آليبور   لوسيون موضعي 1 g/1.5 g/100mL  mL - داروسازي کيمياگر طوس</t>
        </is>
      </c>
      <c r="E1059" t="inlineStr">
        <is>
          <t>تی‌تک و آریا</t>
        </is>
      </c>
    </row>
    <row r="1060">
      <c r="A1060" t="n">
        <v>1059</v>
      </c>
      <c r="B1060" t="n">
        <v>52361</v>
      </c>
      <c r="C1060" t="inlineStr">
        <is>
          <t>ACETYLCYSTEINE INJECTION PARENTERAL 100 mg/1mL 3 mL</t>
        </is>
      </c>
      <c r="D1060" t="inlineStr">
        <is>
          <t>آمپول موسيناک   تزريقي پرنترال 100 mg/1mL 3 mg - درمان ياب آنا</t>
        </is>
      </c>
      <c r="E1060" t="inlineStr">
        <is>
          <t>تی‌تک و آریا</t>
        </is>
      </c>
    </row>
    <row r="1061">
      <c r="A1061" t="n">
        <v>1060</v>
      </c>
      <c r="B1061" t="n">
        <v>52364</v>
      </c>
      <c r="C1061" t="inlineStr">
        <is>
          <t>ADENOSINE INJECTION PARENTERAL 3 mg/1mL 1 mL</t>
        </is>
      </c>
      <c r="D1061" t="inlineStr">
        <is>
          <t>آدنوزين کابي   تزريقي پرنترال 3 mg/1mL 1 mg - درمان ياب دارو</t>
        </is>
      </c>
      <c r="E1061" t="inlineStr">
        <is>
          <t>تی‌تک و آریا</t>
        </is>
      </c>
    </row>
    <row r="1062">
      <c r="A1062" t="n">
        <v>1061</v>
      </c>
      <c r="B1062" t="n">
        <v>52365</v>
      </c>
      <c r="C1062" t="inlineStr">
        <is>
          <t>ADENOSINE INJECTION PARENTERAL 3 mg/1mL 4 mL</t>
        </is>
      </c>
      <c r="D1062" t="inlineStr">
        <is>
          <t>آدنوزين کابي   تزريقي پرنترال 3 mg/1mL 4 mg - درمان ياب دارو</t>
        </is>
      </c>
      <c r="E1062" t="inlineStr">
        <is>
          <t>تی‌تک و آریا</t>
        </is>
      </c>
    </row>
    <row r="1063">
      <c r="A1063" t="n">
        <v>1062</v>
      </c>
      <c r="B1063" t="n">
        <v>52367</v>
      </c>
      <c r="C1063" t="inlineStr">
        <is>
          <t>EDARAVONE INJECTION, SOLUTION PARENTERAL 30 mg/100mL</t>
        </is>
      </c>
      <c r="D1063" t="inlineStr">
        <is>
          <t>اداراوون   محلول تزريقي پرنترال 30 mg/100mL  mL - داروسازي شهيد قاضي</t>
        </is>
      </c>
      <c r="E1063" t="inlineStr">
        <is>
          <t>تی‌تک و آریا</t>
        </is>
      </c>
    </row>
    <row r="1064">
      <c r="A1064" t="n">
        <v>1063</v>
      </c>
      <c r="B1064" t="n">
        <v>52376</v>
      </c>
      <c r="C1064" t="inlineStr">
        <is>
          <t>PREDNISOLONE ACETATE SUSPENSION, DROPS OPHTHALMIC 1 % 5 mL</t>
        </is>
      </c>
      <c r="D1064" t="inlineStr">
        <is>
          <t>پردفورت   سوسپانسيون، قطره چشمي 1 % 5 % - پويش دارو گستر برتر فارس</t>
        </is>
      </c>
      <c r="E1064" t="inlineStr">
        <is>
          <t>تی‌تک و آریا</t>
        </is>
      </c>
    </row>
    <row r="1065">
      <c r="A1065" t="n">
        <v>1064</v>
      </c>
      <c r="B1065" t="n">
        <v>52377</v>
      </c>
      <c r="C1065" t="inlineStr">
        <is>
          <t>ASA (ACETYLSALICYLIC ACID) TABLET ORAL 100 mg</t>
        </is>
      </c>
      <c r="D1065" t="inlineStr">
        <is>
          <t>آ اس آ   قرص خوراکي 100 mg - دارويي و نهاده هاي زاگرس دارو پارسيان</t>
        </is>
      </c>
      <c r="E1065" t="inlineStr">
        <is>
          <t>تی‌تک و آریا</t>
        </is>
      </c>
    </row>
    <row r="1066">
      <c r="A1066" t="n">
        <v>1065</v>
      </c>
      <c r="B1066" t="n">
        <v>52383</v>
      </c>
      <c r="C1066" t="inlineStr">
        <is>
          <t>VITAMIN A OINTMENT OPHTHALMIC 250 [iU]/1g 3 g</t>
        </is>
      </c>
      <c r="E1066" t="inlineStr">
        <is>
          <t>فقط تی‌تک</t>
        </is>
      </c>
    </row>
    <row r="1067">
      <c r="A1067" t="n">
        <v>1066</v>
      </c>
      <c r="B1067" t="n">
        <v>52393</v>
      </c>
      <c r="C1067" t="inlineStr">
        <is>
          <t>CYTARABINE INJECTION, POWDER, FOR SOLUTION PARENTERAL 100 mg</t>
        </is>
      </c>
      <c r="D1067" t="inlineStr">
        <is>
          <t>سايتوسار   پودر براي تهيه محلول تزريقي پرنترال 100 mg  mg - بهستان دارو</t>
        </is>
      </c>
      <c r="E1067" t="inlineStr">
        <is>
          <t>تی‌تک و آریا</t>
        </is>
      </c>
    </row>
    <row r="1068">
      <c r="A1068" t="n">
        <v>1067</v>
      </c>
      <c r="B1068" t="n">
        <v>52394</v>
      </c>
      <c r="C1068" t="inlineStr">
        <is>
          <t>CYTARABINE INJECTION, SOLUTION PARENTERAL 100 mg/1mL 10 mL</t>
        </is>
      </c>
      <c r="D1068" t="inlineStr">
        <is>
          <t>سيتارابين   محلول تزريقي پرنترال 100 mg/1mL 10 mg - بهستان دارو</t>
        </is>
      </c>
      <c r="E1068" t="inlineStr">
        <is>
          <t>تی‌تک و آریا</t>
        </is>
      </c>
    </row>
    <row r="1069">
      <c r="A1069" t="n">
        <v>1068</v>
      </c>
      <c r="B1069" t="n">
        <v>52395</v>
      </c>
      <c r="C1069" t="inlineStr">
        <is>
          <t>ADULT COLD PREPARATION (1) TABLET ORAL 200 mg/5 mg</t>
        </is>
      </c>
      <c r="D1069" t="inlineStr">
        <is>
          <t>ادوالژين سرماخوردگي   قرص خوراکي 200 mg/5 mg - داروسازي دکتر عبيدي</t>
        </is>
      </c>
      <c r="E1069" t="inlineStr">
        <is>
          <t>تی‌تک و آریا</t>
        </is>
      </c>
    </row>
    <row r="1070">
      <c r="A1070" t="n">
        <v>1069</v>
      </c>
      <c r="B1070" t="n">
        <v>52398</v>
      </c>
      <c r="C1070" t="inlineStr">
        <is>
          <t>METHOTREXATE SODIUM INJECTION, POWDER, LYOPHILIZED, FOR SOLUTION PARENTERAL 1 g</t>
        </is>
      </c>
      <c r="D1070" t="inlineStr">
        <is>
          <t>متوسل   پودر لئوفيليزه براي تهيه محلول تزريقي پرنترال 1 g  g - رايان دارو ايرانيان</t>
        </is>
      </c>
      <c r="E1070" t="inlineStr">
        <is>
          <t>تی‌تک و آریا</t>
        </is>
      </c>
    </row>
    <row r="1071">
      <c r="A1071" t="n">
        <v>1070</v>
      </c>
      <c r="B1071" t="n">
        <v>52399</v>
      </c>
      <c r="C1071" t="inlineStr">
        <is>
          <t>ACETAMINOPHEN / CAFFEINE / IBUPROFEN CAPSULE ORAL 325 mg/30 mg/200 mg</t>
        </is>
      </c>
      <c r="E1071" t="inlineStr">
        <is>
          <t>فقط تی‌تک</t>
        </is>
      </c>
    </row>
    <row r="1072">
      <c r="A1072" t="n">
        <v>1071</v>
      </c>
      <c r="B1072" t="n">
        <v>52407</v>
      </c>
      <c r="C1072" t="inlineStr">
        <is>
          <t>MEASLES / RUBELLA VACCINE INJECTION, POWDER, LYOPHILIZED, FOR SOLUTION PARENTERAL 5 {dose} 2.5 mL</t>
        </is>
      </c>
      <c r="D1072" t="inlineStr">
        <is>
          <t>واکسن سرخک و سرخجه   پودر لئوفيليزه براي تهيه محلول تزريقي پرنترال 5 {dose} 2.5 {dose} - اوين دارو</t>
        </is>
      </c>
      <c r="E1072" t="inlineStr">
        <is>
          <t>تی‌تک و آریا</t>
        </is>
      </c>
    </row>
    <row r="1073">
      <c r="A1073" t="n">
        <v>1072</v>
      </c>
      <c r="B1073" t="n">
        <v>52408</v>
      </c>
      <c r="C1073" t="inlineStr">
        <is>
          <t>RIFAMPICIN SYRUP ORAL 20 mg/1mL 60 mL</t>
        </is>
      </c>
      <c r="D1073" t="inlineStr">
        <is>
          <t>ريفاز   شربت خوراکي 20 mg/1mL 60 mL - رايان دارو ايرانيان</t>
        </is>
      </c>
      <c r="E1073" t="inlineStr">
        <is>
          <t>تی‌تک و آریا</t>
        </is>
      </c>
    </row>
    <row r="1074">
      <c r="A1074" t="n">
        <v>1073</v>
      </c>
      <c r="B1074" t="n">
        <v>52409</v>
      </c>
      <c r="C1074" t="inlineStr">
        <is>
          <t>DAPSONE GEL TOPICAL 5 % 15 g</t>
        </is>
      </c>
      <c r="D1074" t="inlineStr">
        <is>
          <t>داپسون   ژل موضعي 5 % 15 g - گيلارانکو</t>
        </is>
      </c>
      <c r="E1074" t="inlineStr">
        <is>
          <t>تی‌تک و آریا</t>
        </is>
      </c>
    </row>
    <row r="1075">
      <c r="A1075" t="n">
        <v>1074</v>
      </c>
      <c r="B1075" t="n">
        <v>52411</v>
      </c>
      <c r="C1075" t="inlineStr">
        <is>
          <t>DIPHTHERIA ANTITOXIN (EQUINE) INJECTION PARENTERAL 1000 [iU]/1mL 10 mL</t>
        </is>
      </c>
      <c r="D1075" t="inlineStr">
        <is>
          <t>آنتي توکسين ديفتري    تزريقي پرنترال 1000 [iU]/1mL 10 [iU] - دارويي پخش رازي</t>
        </is>
      </c>
      <c r="E1075" t="inlineStr">
        <is>
          <t>تی‌تک و آریا</t>
        </is>
      </c>
    </row>
    <row r="1076">
      <c r="A1076" t="n">
        <v>1075</v>
      </c>
      <c r="B1076" t="n">
        <v>52412</v>
      </c>
      <c r="C1076" t="inlineStr">
        <is>
          <t>FORMOTEROL FUMARATE POWDER RESPIRATORY 12 ug/1{dose} 120 {Puff}</t>
        </is>
      </c>
      <c r="D1076" t="inlineStr">
        <is>
          <t>برونکوونت   پودر استنشاقي 12 ug/1{dose} 120 {dose} - دارو سازي کيميا سلامت نيکان</t>
        </is>
      </c>
      <c r="E1076" t="inlineStr">
        <is>
          <t>تی‌تک و آریا</t>
        </is>
      </c>
    </row>
    <row r="1077">
      <c r="A1077" t="n">
        <v>1076</v>
      </c>
      <c r="B1077" t="n">
        <v>52413</v>
      </c>
      <c r="C1077" t="inlineStr">
        <is>
          <t>RIVASTIGMINE (AS HYDROGEN TARTRATE) SOLUTION ORAL 2 mg/1mL 120 mL</t>
        </is>
      </c>
      <c r="D1077" t="inlineStr">
        <is>
          <t>ريواسويتا   محلول خوراکي 2 mg/1mL 120 mL - نوآوري هاي دارويي رايا</t>
        </is>
      </c>
      <c r="E1077" t="inlineStr">
        <is>
          <t>تی‌تک و آریا</t>
        </is>
      </c>
    </row>
    <row r="1078">
      <c r="A1078" t="n">
        <v>1077</v>
      </c>
      <c r="B1078" t="n">
        <v>52414</v>
      </c>
      <c r="C1078" t="inlineStr">
        <is>
          <t>TRASTUZUMAB INJECTION, SOLUTION PARENTERAL 600 mg/5mL</t>
        </is>
      </c>
      <c r="D1078" t="inlineStr">
        <is>
          <t>هرسپتين   محلول تزريقي پرنترال 600 mg/5mL  mg - رش پارس</t>
        </is>
      </c>
      <c r="E1078" t="inlineStr">
        <is>
          <t>تی‌تک و آریا</t>
        </is>
      </c>
    </row>
    <row r="1079">
      <c r="A1079" t="n">
        <v>1078</v>
      </c>
      <c r="B1079" t="n">
        <v>52418</v>
      </c>
      <c r="C1079" t="inlineStr">
        <is>
          <t>LOPINAVIR / RITONAVIR SOLUTION ORAL 80 mg/20 mg/1mL 60 mL</t>
        </is>
      </c>
      <c r="D1079" t="inlineStr">
        <is>
          <t>لوپيناوير / ريتوناوير   محلول خوراکي 80 mg/20 mg/1mL 60 mL - ماه داروي حکيم</t>
        </is>
      </c>
      <c r="E1079" t="inlineStr">
        <is>
          <t>تی‌تک و آریا</t>
        </is>
      </c>
    </row>
    <row r="1080">
      <c r="A1080" t="n">
        <v>1079</v>
      </c>
      <c r="B1080" t="n">
        <v>52420</v>
      </c>
      <c r="C1080" t="inlineStr">
        <is>
          <t>DOLUTEGRAVIR TABLET ORAL 10 mg</t>
        </is>
      </c>
      <c r="D1080" t="inlineStr">
        <is>
          <t>دلوتگراوير   قرص خوراکي 10 mg - کي بي سي</t>
        </is>
      </c>
      <c r="E1080" t="inlineStr">
        <is>
          <t>تی‌تک و آریا</t>
        </is>
      </c>
    </row>
    <row r="1081">
      <c r="A1081" t="n">
        <v>1080</v>
      </c>
      <c r="B1081" t="n">
        <v>52421</v>
      </c>
      <c r="C1081" t="inlineStr">
        <is>
          <t>DOLUTEGRAVIR TABLET ORAL 25 mg</t>
        </is>
      </c>
      <c r="D1081" t="inlineStr">
        <is>
          <t>دلوتگراوير   قرص خوراکي 25 mg - ماه داروي حکيم</t>
        </is>
      </c>
      <c r="E1081" t="inlineStr">
        <is>
          <t>تی‌تک و آریا</t>
        </is>
      </c>
    </row>
    <row r="1082">
      <c r="A1082" t="n">
        <v>1081</v>
      </c>
      <c r="B1082" t="n">
        <v>52427</v>
      </c>
      <c r="C1082" t="inlineStr">
        <is>
          <t>CEVIMELINE HYDROCHLORIDE CAPSULE ORAL 30 mg</t>
        </is>
      </c>
      <c r="D1082" t="inlineStr">
        <is>
          <t>اووکزاک   کپسول خوراکي 30 mg - فوريتهاي سينا آرات گستر</t>
        </is>
      </c>
      <c r="E1082" t="inlineStr">
        <is>
          <t>تی‌تک و آریا</t>
        </is>
      </c>
    </row>
    <row r="1083">
      <c r="A1083" t="n">
        <v>1082</v>
      </c>
      <c r="B1083" t="n">
        <v>52428</v>
      </c>
      <c r="C1083" t="inlineStr">
        <is>
          <t>OLAPARIB CAPSULE ORAL 50 mg</t>
        </is>
      </c>
      <c r="D1083" t="inlineStr">
        <is>
          <t>لينپارزا   کپسول خوراکي 50 mg - فوريتهاي سينا آرات گستر</t>
        </is>
      </c>
      <c r="E1083" t="inlineStr">
        <is>
          <t>تی‌تک و آریا</t>
        </is>
      </c>
    </row>
    <row r="1084">
      <c r="A1084" t="n">
        <v>1083</v>
      </c>
      <c r="B1084" t="n">
        <v>52429</v>
      </c>
      <c r="C1084" t="inlineStr">
        <is>
          <t>UMECLIDINIUM (AS BROMIDE) / VILANTEROL (AS TRIFENATATE) POWDER, METERED RESPIRATORY 62.5 ug/25 ug/1{Puff} 30 {dose}</t>
        </is>
      </c>
      <c r="D1084" t="inlineStr">
        <is>
          <t>آنورو اليپتا 62.5/25 م ک گ اسپري - جي اس کا</t>
        </is>
      </c>
      <c r="E1084" t="inlineStr">
        <is>
          <t>تی‌تک و آریا</t>
        </is>
      </c>
    </row>
    <row r="1085">
      <c r="A1085" t="n">
        <v>1084</v>
      </c>
      <c r="B1085" t="n">
        <v>52433</v>
      </c>
      <c r="C1085" t="inlineStr">
        <is>
          <t>FUROSEMIDE INJECTION INTRAVENOUS 10 mg/1mL 25 mL</t>
        </is>
      </c>
      <c r="D1085" t="inlineStr">
        <is>
          <t>فورزمايد جسفور   تزريقي داخل وريدي 10 mg/1mL 25 mg - اريکه تجارت ويستا</t>
        </is>
      </c>
      <c r="E1085" t="inlineStr">
        <is>
          <t>تی‌تک و آریا</t>
        </is>
      </c>
    </row>
    <row r="1086">
      <c r="A1086" t="n">
        <v>1085</v>
      </c>
      <c r="B1086" t="n">
        <v>52450</v>
      </c>
      <c r="C1086" t="inlineStr">
        <is>
          <t>POLYETHYLENE GLYCOL POWDER ORAL  17 g</t>
        </is>
      </c>
      <c r="D1086" t="inlineStr">
        <is>
          <t>لاکسوريت   پودر خوراکي  17 g - تدبير کالاي جم</t>
        </is>
      </c>
      <c r="E1086" t="inlineStr">
        <is>
          <t>تی‌تک و آریا</t>
        </is>
      </c>
    </row>
    <row r="1087">
      <c r="A1087" t="n">
        <v>1086</v>
      </c>
      <c r="B1087" t="n">
        <v>52461</v>
      </c>
      <c r="C1087" t="inlineStr">
        <is>
          <t>DIPHTHERIA TOXOID / TETANUS TOXOID / PERTUSSIS / HAEMOPHILUS INFLUENZAE TYPE B / HEPATITIS B VACCINE INJECTION, SUSPENSION PARENTERAL 5 {dose}</t>
        </is>
      </c>
      <c r="D1087" t="inlineStr">
        <is>
          <t>پنتابيو   سوسپانسيون تزريقي پرنترال 5 {dose}  {dose} - دارو درمان آرنگ</t>
        </is>
      </c>
      <c r="E1087" t="inlineStr">
        <is>
          <t>تی‌تک و آریا</t>
        </is>
      </c>
    </row>
    <row r="1088">
      <c r="A1088" t="n">
        <v>1087</v>
      </c>
      <c r="B1088" t="n">
        <v>52463</v>
      </c>
      <c r="C1088" t="inlineStr">
        <is>
          <t>IDARUCIZUMAB INJECTION, SOLUTION PARENTERAL 2.5 g/50mL</t>
        </is>
      </c>
      <c r="D1088" t="inlineStr">
        <is>
          <t>پراکس باند   محلول تزريقي پرنترال 2.5 g/50mL  g - شفا ياب گستر</t>
        </is>
      </c>
      <c r="E1088" t="inlineStr">
        <is>
          <t>تی‌تک و آریا</t>
        </is>
      </c>
    </row>
    <row r="1089">
      <c r="A1089" t="n">
        <v>1088</v>
      </c>
      <c r="B1089" t="n">
        <v>52464</v>
      </c>
      <c r="C1089" t="inlineStr">
        <is>
          <t>SULFUR SOAP TOPICAL 10 % 100 g</t>
        </is>
      </c>
      <c r="D1089" t="inlineStr">
        <is>
          <t>گوگرد   صابون موضعي 10 % 100 g - ساپونين ايران</t>
        </is>
      </c>
      <c r="E1089" t="inlineStr">
        <is>
          <t>تی‌تک و آریا</t>
        </is>
      </c>
    </row>
    <row r="1090">
      <c r="A1090" t="n">
        <v>1089</v>
      </c>
      <c r="B1090" t="n">
        <v>52465</v>
      </c>
      <c r="C1090" t="inlineStr">
        <is>
          <t>TRICLOCARBAN SOAP TOPICAL 1 % 75 g</t>
        </is>
      </c>
      <c r="D1090" t="inlineStr">
        <is>
          <t>تري کلوکربان   صابون موضعي 1 % 75 - ساپونين ايران</t>
        </is>
      </c>
      <c r="E1090" t="inlineStr">
        <is>
          <t>تی‌تک و آریا</t>
        </is>
      </c>
    </row>
    <row r="1091">
      <c r="A1091" t="n">
        <v>1090</v>
      </c>
      <c r="B1091" t="n">
        <v>52467</v>
      </c>
      <c r="C1091" t="inlineStr">
        <is>
          <t>VITAMIN K1 (PHYTOMENADIONE) TABLET, CHEWABLE ORAL 10 mg</t>
        </is>
      </c>
      <c r="D1091" t="inlineStr">
        <is>
          <t>کا اسکات   قرص جويدني خوراکي 10 mg - پاد جندي شاپور</t>
        </is>
      </c>
      <c r="E1091" t="inlineStr">
        <is>
          <t>تی‌تک و آریا</t>
        </is>
      </c>
    </row>
    <row r="1092">
      <c r="A1092" t="n">
        <v>1091</v>
      </c>
      <c r="B1092" t="n">
        <v>52470</v>
      </c>
      <c r="C1092" t="inlineStr">
        <is>
          <t>MENTHOL / ZINC OXIDE / CALAMINE OINTMENT TOPICAL 0.44 g/20.625 g/10 g/100 g 15 g</t>
        </is>
      </c>
      <c r="D1092" t="inlineStr">
        <is>
          <t>اسکين پروتکتانت   پماد موضعي 0.44 g/20.625 g/10 g/100 g 15 g - داروسازي جابرابن حيان</t>
        </is>
      </c>
      <c r="E1092" t="inlineStr">
        <is>
          <t>تی‌تک و آریا</t>
        </is>
      </c>
    </row>
    <row r="1093">
      <c r="A1093" t="n">
        <v>1092</v>
      </c>
      <c r="B1093" t="n">
        <v>52471</v>
      </c>
      <c r="C1093" t="inlineStr">
        <is>
          <t>BLEOMYCIN INJECTION PARENTERAL 15 [iU]</t>
        </is>
      </c>
      <c r="D1093" t="inlineStr">
        <is>
          <t>بلويسين-اس   تزريقي پرنترال 15 [iU]  [iU] - رويان دارو</t>
        </is>
      </c>
      <c r="E1093" t="inlineStr">
        <is>
          <t>تی‌تک و آریا</t>
        </is>
      </c>
    </row>
    <row r="1094">
      <c r="A1094" t="n">
        <v>1093</v>
      </c>
      <c r="B1094" t="n">
        <v>52478</v>
      </c>
      <c r="C1094" t="inlineStr">
        <is>
          <t>HYDRALAZINE HYDROCHLORIDE INJECTION, SOLUTION, CONCENTRATE PARENTERAL 20 mg 1 mL</t>
        </is>
      </c>
      <c r="D1094" t="inlineStr">
        <is>
          <t>هيدرالازين   محلول غليظ تزريقي پرنترال 20 mg 1 mg - تامين فارمد تهران</t>
        </is>
      </c>
      <c r="E1094" t="inlineStr">
        <is>
          <t>تی‌تک و آریا</t>
        </is>
      </c>
    </row>
    <row r="1095">
      <c r="A1095" t="n">
        <v>1094</v>
      </c>
      <c r="B1095" t="n">
        <v>52479</v>
      </c>
      <c r="C1095" t="inlineStr">
        <is>
          <t>LEVODOPA / CARBIDOPA TABLET, EXTENDED RELEASE ORAL 200 mg/50 mg</t>
        </is>
      </c>
      <c r="D1095" t="inlineStr">
        <is>
          <t>پارکوهيل   قرص پيوسته رهش خوراکي 200 mg/50 mg - تدبير کالاي جم</t>
        </is>
      </c>
      <c r="E1095" t="inlineStr">
        <is>
          <t>تی‌تک و آریا</t>
        </is>
      </c>
    </row>
    <row r="1096">
      <c r="A1096" t="n">
        <v>1095</v>
      </c>
      <c r="B1096" t="n">
        <v>52481</v>
      </c>
      <c r="C1096" t="inlineStr">
        <is>
          <t>DIAZOXIDE CAPSULE ORAL 25 mg</t>
        </is>
      </c>
      <c r="E1096" t="inlineStr">
        <is>
          <t>فقط تی‌تک</t>
        </is>
      </c>
    </row>
    <row r="1097">
      <c r="A1097" t="n">
        <v>1096</v>
      </c>
      <c r="B1097" t="n">
        <v>52493</v>
      </c>
      <c r="C1097" t="inlineStr">
        <is>
          <t>ADAPALENE LOTION TOPICAL 0.1 % 60 mL</t>
        </is>
      </c>
      <c r="E1097" t="inlineStr">
        <is>
          <t>فقط تی‌تک</t>
        </is>
      </c>
    </row>
    <row r="1098">
      <c r="A1098" t="n">
        <v>1097</v>
      </c>
      <c r="B1098" t="n">
        <v>52506</v>
      </c>
      <c r="C1098" t="inlineStr">
        <is>
          <t>DAUNORUBICIN (AS HYDROCHLORIDE) INJECTION, SOLUTION PARENTERAL 2 mg/1mL 10 mL</t>
        </is>
      </c>
      <c r="D1098" t="inlineStr">
        <is>
          <t>دانوروبيسين   محلول تزريقي پرنترال 2 mg/1mL 10 mg - بهستان دارو</t>
        </is>
      </c>
      <c r="E1098" t="inlineStr">
        <is>
          <t>تی‌تک و آریا</t>
        </is>
      </c>
    </row>
    <row r="1099">
      <c r="A1099" t="n">
        <v>1098</v>
      </c>
      <c r="B1099" t="n">
        <v>52507</v>
      </c>
      <c r="C1099" t="inlineStr">
        <is>
          <t>DASABUVIR TABLET ORAL 250 mg</t>
        </is>
      </c>
      <c r="D1099" t="inlineStr">
        <is>
          <t>اکس ويرا   قرص خوراکي 250 mg - فوريتهاي سينا آرات گستر</t>
        </is>
      </c>
      <c r="E1099" t="inlineStr">
        <is>
          <t>تی‌تک و آریا</t>
        </is>
      </c>
    </row>
    <row r="1100">
      <c r="A1100" t="n">
        <v>1099</v>
      </c>
      <c r="B1100" t="n">
        <v>52509</v>
      </c>
      <c r="C1100" t="inlineStr">
        <is>
          <t>IBANDRONIC ACID INJECTION, SOLUTION PARENTERAL 3 mg/1mL 3 mL</t>
        </is>
      </c>
      <c r="D1100" t="inlineStr">
        <is>
          <t>بونويوا   محلول تزريقي پرنترال 3 mg/1mL 3 - فوريتهاي سينا آرات گستر</t>
        </is>
      </c>
      <c r="E1100" t="inlineStr">
        <is>
          <t>تی‌تک و آریا</t>
        </is>
      </c>
    </row>
    <row r="1101">
      <c r="A1101" t="n">
        <v>1100</v>
      </c>
      <c r="B1101" t="n">
        <v>52510</v>
      </c>
      <c r="C1101" t="inlineStr">
        <is>
          <t>CLONIDINE HYDROCHLORIDE INJECTION, SOLUTION INTRAVENOUS 150 ug/1mL</t>
        </is>
      </c>
      <c r="D1101" t="inlineStr">
        <is>
          <t>کاتاپرس   محلول تزريقي داخل وريدي 150 ug/1mL  ug - فوريتهاي سينا آرات گستر</t>
        </is>
      </c>
      <c r="E1101" t="inlineStr">
        <is>
          <t>تی‌تک و آریا</t>
        </is>
      </c>
    </row>
    <row r="1102">
      <c r="A1102" t="n">
        <v>1101</v>
      </c>
      <c r="B1102" t="n">
        <v>52513</v>
      </c>
      <c r="C1102" t="inlineStr">
        <is>
          <t>POLIDOCANOL INJECTION, SOLUTION PARENTERAL 3 % 2 mL</t>
        </is>
      </c>
      <c r="D1102" t="inlineStr">
        <is>
          <t>آئتوکسي اسکرول   محلول تزريقي پرنترال 3 % 2 % - فوريتهاي سينا آرات گستر</t>
        </is>
      </c>
      <c r="E1102" t="inlineStr">
        <is>
          <t>تی‌تک و آریا</t>
        </is>
      </c>
    </row>
    <row r="1103">
      <c r="A1103" t="n">
        <v>1102</v>
      </c>
      <c r="B1103" t="n">
        <v>52514</v>
      </c>
      <c r="C1103" t="inlineStr">
        <is>
          <t>DIFLUNISAL TABLET ORAL 500 mg</t>
        </is>
      </c>
      <c r="D1103" t="inlineStr">
        <is>
          <t>دولفين   قرص خوراکي 500 mg - بازرگاني سها کيش</t>
        </is>
      </c>
      <c r="E1103" t="inlineStr">
        <is>
          <t>تی‌تک و آریا</t>
        </is>
      </c>
    </row>
    <row r="1104">
      <c r="A1104" t="n">
        <v>1103</v>
      </c>
      <c r="B1104" t="n">
        <v>52515</v>
      </c>
      <c r="C1104" t="inlineStr">
        <is>
          <t>BIVALIRUDIN INJECTION, POWDER, LYOPHILIZED, FOR SOLUTION PARENTERAL 250 mg</t>
        </is>
      </c>
      <c r="D1104" t="inlineStr">
        <is>
          <t>بيوا ليرودين   پودر لئوفيليزه براي تهيه محلول تزريقي پرنترال 250 mg  mg - ثمين دارو آرکا</t>
        </is>
      </c>
      <c r="E1104" t="inlineStr">
        <is>
          <t>تی‌تک و آریا</t>
        </is>
      </c>
    </row>
    <row r="1105">
      <c r="A1105" t="n">
        <v>1104</v>
      </c>
      <c r="B1105" t="n">
        <v>52516</v>
      </c>
      <c r="C1105" t="inlineStr">
        <is>
          <t>NICARDIPINE HYDROCHLORIDE CAPSULE ORAL 20 mg</t>
        </is>
      </c>
      <c r="D1105" t="inlineStr">
        <is>
          <t>نيکارديپين   کپسول خوراکي 20 mg  mg - ثمين دارو آرکا</t>
        </is>
      </c>
      <c r="E1105" t="inlineStr">
        <is>
          <t>تی‌تک و آریا</t>
        </is>
      </c>
    </row>
    <row r="1106">
      <c r="A1106" t="n">
        <v>1105</v>
      </c>
      <c r="B1106" t="n">
        <v>52517</v>
      </c>
      <c r="C1106" t="inlineStr">
        <is>
          <t>TRIAMCINOLONE HEXACETONIDE INJECTION, SUSPENSION PARENTERAL 20 mg/1mL 1 mL</t>
        </is>
      </c>
      <c r="D1106" t="inlineStr">
        <is>
          <t>لدرلون   سوسپانسيون تزريقي پرنترال 20 mg/1mL 1 mg - فوريتهاي سينا آرات گستر</t>
        </is>
      </c>
      <c r="E1106" t="inlineStr">
        <is>
          <t>تی‌تک و آریا</t>
        </is>
      </c>
    </row>
    <row r="1107">
      <c r="A1107" t="n">
        <v>1106</v>
      </c>
      <c r="B1107" t="n">
        <v>52518</v>
      </c>
      <c r="C1107" t="inlineStr">
        <is>
          <t>POTASSIUM BROMIDE TABLET ORAL 850 mg</t>
        </is>
      </c>
      <c r="D1107" t="inlineStr">
        <is>
          <t>ديبرو-ب مونو   قرص خوراکي 850 mg - فوريتهاي سينا آرات گستر</t>
        </is>
      </c>
      <c r="E1107" t="inlineStr">
        <is>
          <t>تی‌تک و آریا</t>
        </is>
      </c>
    </row>
    <row r="1108">
      <c r="A1108" t="n">
        <v>1107</v>
      </c>
      <c r="B1108" t="n">
        <v>52519</v>
      </c>
      <c r="C1108" t="inlineStr">
        <is>
          <t>CIDOFOVIR INJECTION PARENTERAL 75 mg/1mL 5 mL</t>
        </is>
      </c>
      <c r="D1108" t="inlineStr">
        <is>
          <t>سيدوفوير   تزريقي پرنترال 75 mg/1mL 5 mg - فوريتهاي سينا آرات گستر</t>
        </is>
      </c>
      <c r="E1108" t="inlineStr">
        <is>
          <t>تی‌تک و آریا</t>
        </is>
      </c>
    </row>
    <row r="1109">
      <c r="A1109" t="n">
        <v>1108</v>
      </c>
      <c r="B1109" t="n">
        <v>52520</v>
      </c>
      <c r="C1109" t="inlineStr">
        <is>
          <t>ZIPRASIDONE CAPSULE ORAL 40 mg</t>
        </is>
      </c>
      <c r="D1109" t="inlineStr">
        <is>
          <t>زلدوکس   کپسول خوراکي 40 mg - بازرگاني سها کيش</t>
        </is>
      </c>
      <c r="E1109" t="inlineStr">
        <is>
          <t>تی‌تک و آریا</t>
        </is>
      </c>
    </row>
    <row r="1110">
      <c r="A1110" t="n">
        <v>1109</v>
      </c>
      <c r="B1110" t="n">
        <v>52521</v>
      </c>
      <c r="C1110" t="inlineStr">
        <is>
          <t>TROXERUTIN TABLET, EFFERVESCENT ORAL 1000 mg</t>
        </is>
      </c>
      <c r="D1110" t="inlineStr">
        <is>
          <t>ونوروتن   قرص جوشان خوراکي 1000 mg - فوريتهاي سينا آرات گستر</t>
        </is>
      </c>
      <c r="E1110" t="inlineStr">
        <is>
          <t>تی‌تک و آریا</t>
        </is>
      </c>
    </row>
    <row r="1111">
      <c r="A1111" t="n">
        <v>1110</v>
      </c>
      <c r="B1111" t="n">
        <v>52522</v>
      </c>
      <c r="C1111" t="inlineStr">
        <is>
          <t>VILDAGLIPTIN TABLET ORAL 50 mg</t>
        </is>
      </c>
      <c r="D1111" t="inlineStr">
        <is>
          <t>گالووس   قرص خوراکي 50 mg - پويش دارو گستر برتر فارس</t>
        </is>
      </c>
      <c r="E1111" t="inlineStr">
        <is>
          <t>تی‌تک و آریا</t>
        </is>
      </c>
    </row>
    <row r="1112">
      <c r="A1112" t="n">
        <v>1111</v>
      </c>
      <c r="B1112" t="n">
        <v>52523</v>
      </c>
      <c r="C1112" t="inlineStr">
        <is>
          <t>AGALSIDASE BETA INJECTION, POWDER, FOR SOLUTION PARENTERAL 35 mg</t>
        </is>
      </c>
      <c r="D1112" t="inlineStr">
        <is>
          <t>فابرزايم   پودر براي تهيه محلول تزريقي پرنترال 35 mg  mg - اوزان</t>
        </is>
      </c>
      <c r="E1112" t="inlineStr">
        <is>
          <t>تی‌تک و آریا</t>
        </is>
      </c>
    </row>
    <row r="1113">
      <c r="A1113" t="n">
        <v>1112</v>
      </c>
      <c r="B1113" t="n">
        <v>52529</v>
      </c>
      <c r="C1113" t="inlineStr">
        <is>
          <t>MOXIFLOXACIN SOLUTION, DROPS OPHTHALMIC 0.5 % 0.5 mL</t>
        </is>
      </c>
      <c r="E1113" t="inlineStr">
        <is>
          <t>فقط تی‌تک</t>
        </is>
      </c>
    </row>
    <row r="1114">
      <c r="A1114" t="n">
        <v>1113</v>
      </c>
      <c r="B1114" t="n">
        <v>52537</v>
      </c>
      <c r="C1114" t="inlineStr">
        <is>
          <t>ACETYLCYSTEINE TABLET ORAL 600 mg</t>
        </is>
      </c>
      <c r="D1114" t="inlineStr">
        <is>
          <t>استيل سيستئين   قرص خوراکي 600 mg - داروسازي جالينوس</t>
        </is>
      </c>
      <c r="E1114" t="inlineStr">
        <is>
          <t>تی‌تک و آریا</t>
        </is>
      </c>
    </row>
    <row r="1115">
      <c r="A1115" t="n">
        <v>1114</v>
      </c>
      <c r="B1115" t="n">
        <v>52538</v>
      </c>
      <c r="C1115" t="inlineStr">
        <is>
          <t>ARTESUNATE SUPPOSITORY RECTAL 100 mg</t>
        </is>
      </c>
      <c r="D1115" t="inlineStr">
        <is>
          <t>جي سونيت   شياف مقعدي 100 mg - بازرگاني سها کيش</t>
        </is>
      </c>
      <c r="E1115" t="inlineStr">
        <is>
          <t>تی‌تک و آریا</t>
        </is>
      </c>
    </row>
    <row r="1116">
      <c r="A1116" t="n">
        <v>1115</v>
      </c>
      <c r="B1116" t="n">
        <v>52542</v>
      </c>
      <c r="C1116" t="inlineStr">
        <is>
          <t>DASATINIB TABLET ORAL 20 mg</t>
        </is>
      </c>
      <c r="D1116" t="inlineStr">
        <is>
          <t>داساتينيب   قرص خوراکي 20 mg - داروسازي سبحان انکولوژي</t>
        </is>
      </c>
      <c r="E1116" t="inlineStr">
        <is>
          <t>تی‌تک و آریا</t>
        </is>
      </c>
    </row>
    <row r="1117">
      <c r="A1117" t="n">
        <v>1116</v>
      </c>
      <c r="B1117" t="n">
        <v>52543</v>
      </c>
      <c r="C1117" t="inlineStr">
        <is>
          <t>MONOBENZONE CREAM TOPICAL 20 % 20 g</t>
        </is>
      </c>
      <c r="D1117" t="inlineStr">
        <is>
          <t>مونوسيد   کرم موضعي 20 % 20 g - رايان دارو ايرانيان</t>
        </is>
      </c>
      <c r="E1117" t="inlineStr">
        <is>
          <t>تی‌تک و آریا</t>
        </is>
      </c>
    </row>
    <row r="1118">
      <c r="A1118" t="n">
        <v>1117</v>
      </c>
      <c r="B1118" t="n">
        <v>52544</v>
      </c>
      <c r="C1118" t="inlineStr">
        <is>
          <t>HYDROCORTISONE ACETATE CREAM TOPICAL 1 % 100 g</t>
        </is>
      </c>
      <c r="D1118" t="inlineStr">
        <is>
          <t>هيدروکورتيزون-حنان   کرم موضعي 1 % 100 g - داروسازي حنان بروجن</t>
        </is>
      </c>
      <c r="E1118" t="inlineStr">
        <is>
          <t>تی‌تک و آریا</t>
        </is>
      </c>
    </row>
    <row r="1119">
      <c r="A1119" t="n">
        <v>1118</v>
      </c>
      <c r="B1119" t="n">
        <v>52605</v>
      </c>
      <c r="C1119" t="inlineStr">
        <is>
          <t>SODIUM BICARBONATE POWDER NOT APPLICABLE</t>
        </is>
      </c>
      <c r="D1119" t="inlineStr">
        <is>
          <t>سو-بگ بي   پودر غير قابل مصرف   mg - تجهيزات پزشکي هلال ايران</t>
        </is>
      </c>
      <c r="E1119" t="inlineStr">
        <is>
          <t>تی‌تک و آریا</t>
        </is>
      </c>
    </row>
    <row r="1120">
      <c r="A1120" t="n">
        <v>1119</v>
      </c>
      <c r="B1120" t="n">
        <v>52621</v>
      </c>
      <c r="C1120" t="inlineStr">
        <is>
          <t>METHOXSALEN SOLUTION TOPICAL 1 % 25 mL</t>
        </is>
      </c>
      <c r="D1120" t="inlineStr">
        <is>
          <t>متوکسالن   محلول موضعي 1 % 25 mL - نوآوران فخر دارو</t>
        </is>
      </c>
      <c r="E1120" t="inlineStr">
        <is>
          <t>تی‌تک و آریا</t>
        </is>
      </c>
    </row>
    <row r="1121">
      <c r="A1121" t="n">
        <v>1120</v>
      </c>
      <c r="B1121" t="n">
        <v>52623</v>
      </c>
      <c r="C1121" t="inlineStr">
        <is>
          <t>EPOETIN INJECTION PARENTERAL 4000 [iU]/1mL 0.5 mL</t>
        </is>
      </c>
      <c r="D1121" t="inlineStr">
        <is>
          <t>ايپرکس   تزريقي پرنترال 4000 [iU]/1mL 0.5 [iU] - بهستان دارو</t>
        </is>
      </c>
      <c r="E1121" t="inlineStr">
        <is>
          <t>تی‌تک و آریا</t>
        </is>
      </c>
    </row>
    <row r="1122">
      <c r="A1122" t="n">
        <v>1121</v>
      </c>
      <c r="B1122" t="n">
        <v>52624</v>
      </c>
      <c r="C1122" t="inlineStr">
        <is>
          <t>FILGRASTIM INJECTION PARENTERAL 600 ug/1mL 0.25 mL</t>
        </is>
      </c>
      <c r="D1122" t="inlineStr">
        <is>
          <t>تيناکيد   تزريقي پرنترال 600 ug/1mL 0.25 ug - آريا تينا ژن</t>
        </is>
      </c>
      <c r="E1122" t="inlineStr">
        <is>
          <t>تی‌تک و آریا</t>
        </is>
      </c>
    </row>
    <row r="1123">
      <c r="A1123" t="n">
        <v>1122</v>
      </c>
      <c r="B1123" t="n">
        <v>52627</v>
      </c>
      <c r="C1123" t="inlineStr">
        <is>
          <t>DARATUMUMAB INJECTION, SOLUTION, CONCENTRATE PARENTERAL 20 mg/1mL 5 mL</t>
        </is>
      </c>
      <c r="D1123" t="inlineStr">
        <is>
          <t>آکراويا   محلول غليظ تزريقي پرنترال 20 mg/1mL 5 mg - تحقيقاتي وتوليدي سينا ژن</t>
        </is>
      </c>
      <c r="E1123" t="inlineStr">
        <is>
          <t>تی‌تک و آریا</t>
        </is>
      </c>
    </row>
    <row r="1124">
      <c r="A1124" t="n">
        <v>1123</v>
      </c>
      <c r="B1124" t="n">
        <v>52630</v>
      </c>
      <c r="C1124" t="inlineStr">
        <is>
          <t>ZOSTER VACCINE, LIVE ATTENUATED INJECTION, POWDER, FOR SUSPENSION PARENTERAL 19400 [PFU]/0.65mL</t>
        </is>
      </c>
      <c r="D1124" t="inlineStr">
        <is>
          <t>زوستاوکس   پودر براي تهيه سوسپانسيون تزريقي پرنترال 19400 [PFU]/0.65mL  mL - بهستان دارو</t>
        </is>
      </c>
      <c r="E1124" t="inlineStr">
        <is>
          <t>تی‌تک و آریا</t>
        </is>
      </c>
    </row>
    <row r="1125">
      <c r="A1125" t="n">
        <v>1124</v>
      </c>
      <c r="B1125" t="n">
        <v>52631</v>
      </c>
      <c r="C1125" t="inlineStr">
        <is>
          <t>VINBLASTINE SULFATE INJECTION, SOLUTION PARENTERAL 1 mg/1mL 10 mL</t>
        </is>
      </c>
      <c r="D1125" t="inlineStr">
        <is>
          <t>سيتوبلاستين   محلول تزريقي پرنترال 1 mg/1mL 10 mg - پاد جندي شاپور</t>
        </is>
      </c>
      <c r="E1125" t="inlineStr">
        <is>
          <t>تی‌تک و آریا</t>
        </is>
      </c>
    </row>
    <row r="1126">
      <c r="A1126" t="n">
        <v>1125</v>
      </c>
      <c r="B1126" t="n">
        <v>52634</v>
      </c>
      <c r="C1126" t="inlineStr">
        <is>
          <t>RHENIUM (188RE) SULFIDE COLLOID INJECTION, SUSPENSION PARENTERAL 5 mCi</t>
        </is>
      </c>
      <c r="D1126" t="inlineStr">
        <is>
          <t>رنيوم-188سولفيد کلوئيد   سوسپانسيون تزريقي پرنترال 5 mCi  mCi - پارس ايزوتوپ</t>
        </is>
      </c>
      <c r="E1126" t="inlineStr">
        <is>
          <t>تی‌تک و آریا</t>
        </is>
      </c>
    </row>
    <row r="1127">
      <c r="A1127" t="n">
        <v>1126</v>
      </c>
      <c r="B1127" t="n">
        <v>52639</v>
      </c>
      <c r="C1127" t="inlineStr">
        <is>
          <t>PONATINIB (AS HYDROCHLORIDE) TABLET ORAL 45 mg</t>
        </is>
      </c>
      <c r="D1127" t="inlineStr">
        <is>
          <t>ايکلوسيگ   قرص خوراکي 45 mg - آسمان داروي پارس</t>
        </is>
      </c>
      <c r="E1127" t="inlineStr">
        <is>
          <t>تی‌تک و آریا</t>
        </is>
      </c>
    </row>
    <row r="1128">
      <c r="A1128" t="n">
        <v>1127</v>
      </c>
      <c r="B1128" t="n">
        <v>52640</v>
      </c>
      <c r="C1128" t="inlineStr">
        <is>
          <t>ROTAVIRUS VACCINE, MONOVALENT, LIVE ATTENUATED POWDER, FOR SUSPENSION ORAL  1.5 mL</t>
        </is>
      </c>
      <c r="D1128" t="inlineStr">
        <is>
          <t>روتاريکس   پودر براي تهيه سوسپانسيون   خوراکي  1.5 mL - کوبل دارو</t>
        </is>
      </c>
      <c r="E1128" t="inlineStr">
        <is>
          <t>تی‌تک و آریا</t>
        </is>
      </c>
    </row>
    <row r="1129">
      <c r="A1129" t="n">
        <v>1128</v>
      </c>
      <c r="B1129" t="n">
        <v>52641</v>
      </c>
      <c r="C1129" t="inlineStr">
        <is>
          <t>TUNGSTEN (188W) / RHENIUM (188RE) SOLUTION NOT APPLICABLE 1000 mCi</t>
        </is>
      </c>
      <c r="D1129" t="inlineStr">
        <is>
          <t>تنگستن 188/رنيوم188   محلول غير قابل مصرف 1000 mCi  mCi - پارس ايزوتوپ</t>
        </is>
      </c>
      <c r="E1129" t="inlineStr">
        <is>
          <t>تی‌تک و آریا</t>
        </is>
      </c>
    </row>
    <row r="1130">
      <c r="A1130" t="n">
        <v>1129</v>
      </c>
      <c r="B1130" t="n">
        <v>52642</v>
      </c>
      <c r="C1130" t="inlineStr">
        <is>
          <t>RHENIUM (188RE) SULFIDE COLLOID INJECTION, SUSPENSION PARENTERAL 10 mCi</t>
        </is>
      </c>
      <c r="D1130" t="inlineStr">
        <is>
          <t>رنيوم-188سولفيد کلوئيد   سوسپانسيون تزريقي پرنترال 10 mCi  mCi - پارس ايزوتوپ</t>
        </is>
      </c>
      <c r="E1130" t="inlineStr">
        <is>
          <t>تی‌تک و آریا</t>
        </is>
      </c>
    </row>
    <row r="1131">
      <c r="A1131" t="n">
        <v>1130</v>
      </c>
      <c r="B1131" t="n">
        <v>52643</v>
      </c>
      <c r="C1131" t="inlineStr">
        <is>
          <t>LUTETIUM (177LU) DOTATATE INJECTION, SOLUTION PARENTERAL 200 mCi</t>
        </is>
      </c>
      <c r="D1131" t="inlineStr">
        <is>
          <t>پارس-لوتو تيت   محلول تزريقي پرنترال 200 mCi  mCi - پارس ايزوتوپ</t>
        </is>
      </c>
      <c r="E1131" t="inlineStr">
        <is>
          <t>تی‌تک و آریا</t>
        </is>
      </c>
    </row>
    <row r="1132">
      <c r="A1132" t="n">
        <v>1131</v>
      </c>
      <c r="B1132" t="n">
        <v>52644</v>
      </c>
      <c r="C1132" t="inlineStr">
        <is>
          <t>LUTETIUM (177LU) PROSTATE SPECIFIC MEMBRANE ANTIGEN 617 (177LU-PSMA617) INJECTION, SOLUTION PARENTERAL 200 mCi</t>
        </is>
      </c>
      <c r="D1132" t="inlineStr">
        <is>
          <t>پارس - لوتو پي. اس. ام. آ   محلول تزريقي پرنترال 200 mCi  mCi - پارس ايزوتوپ</t>
        </is>
      </c>
      <c r="E1132" t="inlineStr">
        <is>
          <t>تی‌تک و آریا</t>
        </is>
      </c>
    </row>
    <row r="1133">
      <c r="A1133" t="n">
        <v>1132</v>
      </c>
      <c r="B1133" t="n">
        <v>52645</v>
      </c>
      <c r="C1133" t="inlineStr">
        <is>
          <t>GALLIUM (68GA) PROSTATE SPECIFIC MEMBRANE ANTIGEN (68GA-PSMA) INJECTION, SOLUTION PARENTERAL 5 mCi</t>
        </is>
      </c>
      <c r="D1133" t="inlineStr">
        <is>
          <t>گاليوم -68 پي.اس. ام. آ -11   محلول تزريقي پرنترال 5 mCi  mCi - پارس ايزوتوپ</t>
        </is>
      </c>
      <c r="E1133" t="inlineStr">
        <is>
          <t>تی‌تک و آریا</t>
        </is>
      </c>
    </row>
    <row r="1134">
      <c r="A1134" t="n">
        <v>1133</v>
      </c>
      <c r="B1134" t="n">
        <v>52648</v>
      </c>
      <c r="C1134" t="inlineStr">
        <is>
          <t>LUTETIUM (177LU) ETHYLENEDIAMINE TETRAMETHYLENE PHOSPHATE (177LU-EDTMP) INJECTION, SOLUTION PARENTERAL 200 mCi</t>
        </is>
      </c>
      <c r="D1134" t="inlineStr">
        <is>
          <t>لوتشيوم-177 اي.دي.تي.ام.پي   محلول تزريقي پرنترال 200 mCi  mCi - پارس ايزوتوپ</t>
        </is>
      </c>
      <c r="E1134" t="inlineStr">
        <is>
          <t>تی‌تک و آریا</t>
        </is>
      </c>
    </row>
    <row r="1135">
      <c r="A1135" t="n">
        <v>1134</v>
      </c>
      <c r="B1135" t="n">
        <v>52651</v>
      </c>
      <c r="C1135" t="inlineStr">
        <is>
          <t>RUBIDIUM (81RB) / KRYPTON (81MKR) GAS RESPIRATORY 12 mCi</t>
        </is>
      </c>
      <c r="D1135" t="inlineStr">
        <is>
          <t>روبيديم -81/کريپتون 81 ام ژنراتور   گاز استنشاقي 12 mCi  mCi - پارس ايزوتوپ</t>
        </is>
      </c>
      <c r="E1135" t="inlineStr">
        <is>
          <t>تی‌تک و آریا</t>
        </is>
      </c>
    </row>
    <row r="1136">
      <c r="A1136" t="n">
        <v>1135</v>
      </c>
      <c r="B1136" t="n">
        <v>52652</v>
      </c>
      <c r="C1136" t="inlineStr">
        <is>
          <t>GALLIUM (68GA) DOTATATE INJECTION, SOLUTION PARENTERAL 5 mCi</t>
        </is>
      </c>
      <c r="D1136" t="inlineStr">
        <is>
          <t>گاليوم-68 دوتاتيت   محلول تزريقي پرنترال 5 mCi  mCi - پارس ايزوتوپ</t>
        </is>
      </c>
      <c r="E1136" t="inlineStr">
        <is>
          <t>تی‌تک و آریا</t>
        </is>
      </c>
    </row>
    <row r="1137">
      <c r="A1137" t="n">
        <v>1136</v>
      </c>
      <c r="B1137" t="n">
        <v>52653</v>
      </c>
      <c r="C1137" t="inlineStr">
        <is>
          <t>AMPHOTERICIN-B (AS COMPLEX WITH SODIUM CHOLESTERYL SULFATE) INJECTION, POWDER, LYOPHILIZED, FOR SOLUTION PARENTERAL 50 mg</t>
        </is>
      </c>
      <c r="D1137" t="inlineStr">
        <is>
          <t>آمفوتريسين بي ليپوزوم   پودر لئوفيليزه براي تهيه محلول تزريقي پرنترال 50 mg  mg - فرا درمان آذربايجان</t>
        </is>
      </c>
      <c r="E1137" t="inlineStr">
        <is>
          <t>تی‌تک و آریا</t>
        </is>
      </c>
    </row>
    <row r="1138">
      <c r="A1138" t="n">
        <v>1137</v>
      </c>
      <c r="B1138" t="n">
        <v>52656</v>
      </c>
      <c r="C1138" t="inlineStr">
        <is>
          <t>RIBAVIRIN TABLET ORAL 600 mg</t>
        </is>
      </c>
      <c r="D1138" t="inlineStr">
        <is>
          <t>ريبابايووير   قرص خوراکي 600 mg   - باختر بيو شيمي</t>
        </is>
      </c>
      <c r="E1138" t="inlineStr">
        <is>
          <t>تی‌تک و آریا</t>
        </is>
      </c>
    </row>
    <row r="1139">
      <c r="A1139" t="n">
        <v>1138</v>
      </c>
      <c r="B1139" t="n">
        <v>52657</v>
      </c>
      <c r="C1139" t="inlineStr">
        <is>
          <t>BETAMETHASONE (AS VALERATE) CREAM TOPICAL 0.1 % 100 g</t>
        </is>
      </c>
      <c r="D1139" t="inlineStr">
        <is>
          <t>بتامتازون-حنان   کرم موضعي 0.1 % 100 g - داروسازي حنان بروجن</t>
        </is>
      </c>
      <c r="E1139" t="inlineStr">
        <is>
          <t>تی‌تک و آریا</t>
        </is>
      </c>
    </row>
    <row r="1140">
      <c r="A1140" t="n">
        <v>1139</v>
      </c>
      <c r="B1140" t="n">
        <v>52658</v>
      </c>
      <c r="C1140" t="inlineStr">
        <is>
          <t>HYDROCORTISONE ACETATE OINTMENT TOPICAL 1 % 100 g</t>
        </is>
      </c>
      <c r="D1140" t="inlineStr">
        <is>
          <t>هيدروکورتيزون-حنان   پماد موضعي 1 % 100 g - داروسازي حنان بروجن</t>
        </is>
      </c>
      <c r="E1140" t="inlineStr">
        <is>
          <t>تی‌تک و آریا</t>
        </is>
      </c>
    </row>
    <row r="1141">
      <c r="A1141" t="n">
        <v>1140</v>
      </c>
      <c r="B1141" t="n">
        <v>52659</v>
      </c>
      <c r="C1141" t="inlineStr">
        <is>
          <t>BETAMETHASONE (AS VALERATE) OINTMENT TOPICAL 0.1 % 100 g</t>
        </is>
      </c>
      <c r="D1141" t="inlineStr">
        <is>
          <t>بتامتازون-حنان   پماد موضعي 0.1 % 100 g - داروسازي حنان بروجن</t>
        </is>
      </c>
      <c r="E1141" t="inlineStr">
        <is>
          <t>تی‌تک و آریا</t>
        </is>
      </c>
    </row>
    <row r="1142">
      <c r="A1142" t="n">
        <v>1141</v>
      </c>
      <c r="B1142" t="n">
        <v>52660</v>
      </c>
      <c r="C1142" t="inlineStr">
        <is>
          <t>IGM-ENRICHED HUMAN (IMMUNE GLOBULIN) INJECTION PARENTERAL 50 mg/1mL 10 mL</t>
        </is>
      </c>
      <c r="D1142" t="inlineStr">
        <is>
          <t>پنتاگلوبين   تزريقي پرنترال 50 mg/1mL 10 g - درمان آرا</t>
        </is>
      </c>
      <c r="E1142" t="inlineStr">
        <is>
          <t>تی‌تک و آریا</t>
        </is>
      </c>
    </row>
    <row r="1143">
      <c r="A1143" t="n">
        <v>1142</v>
      </c>
      <c r="B1143" t="n">
        <v>52668</v>
      </c>
      <c r="C1143" t="inlineStr">
        <is>
          <t>CHLORPHENIRAMINE / DEXTROMETHORPHAN / PHENYLEPHRINE SYRUP ORAL 2 mg/15 mg/5 mg/5mL 120 mL</t>
        </is>
      </c>
      <c r="D1143" t="inlineStr">
        <is>
          <t>رينوتوس دي   شربت خوراکي 2 mg/15 mg/5 mg/5mL 120 mL - داروسازي توليد دارو</t>
        </is>
      </c>
      <c r="E1143" t="inlineStr">
        <is>
          <t>تی‌تک و آریا</t>
        </is>
      </c>
    </row>
    <row r="1144">
      <c r="A1144" t="n">
        <v>1143</v>
      </c>
      <c r="B1144" t="n">
        <v>52675</v>
      </c>
      <c r="C1144" t="inlineStr">
        <is>
          <t>ESOMEPRAZOLE (AS MAGNESIUM) GRANULE, DELAYED RELEASE ORAL 2.5 mg</t>
        </is>
      </c>
      <c r="D1144" t="inlineStr">
        <is>
          <t>مکسوپرازول   گرانول انتريک کوتد خوراکي 2.5 mg  mg - داروسازي سامي ساز</t>
        </is>
      </c>
      <c r="E1144" t="inlineStr">
        <is>
          <t>تی‌تک و آریا</t>
        </is>
      </c>
    </row>
    <row r="1145">
      <c r="A1145" t="n">
        <v>1144</v>
      </c>
      <c r="B1145" t="n">
        <v>52677</v>
      </c>
      <c r="C1145" t="inlineStr">
        <is>
          <t>ENTECAVIR TABLET ORAL 0.5 mg</t>
        </is>
      </c>
      <c r="D1145" t="inlineStr">
        <is>
          <t>انتکاوير   قرص خوراکي 0.5 mg - صنعت دارويي شاري</t>
        </is>
      </c>
      <c r="E1145" t="inlineStr">
        <is>
          <t>تی‌تک و آریا</t>
        </is>
      </c>
    </row>
    <row r="1146">
      <c r="A1146" t="n">
        <v>1145</v>
      </c>
      <c r="B1146" t="n">
        <v>52684</v>
      </c>
      <c r="C1146" t="inlineStr">
        <is>
          <t>TUBERCULIN PPD INJECTION, SOLUTION INTRADERMAL  3 mL</t>
        </is>
      </c>
      <c r="D1146" t="inlineStr">
        <is>
          <t>دياسکين تست   محلول تزريقي داخل جلدي  3 mL - بيوسان فارمد</t>
        </is>
      </c>
      <c r="E1146" t="inlineStr">
        <is>
          <t>تی‌تک و آریا</t>
        </is>
      </c>
    </row>
    <row r="1147">
      <c r="A1147" t="n">
        <v>1146</v>
      </c>
      <c r="B1147" t="n">
        <v>52688</v>
      </c>
      <c r="C1147" t="inlineStr">
        <is>
          <t>OXANDROLONE TABLET ORAL 10 mg</t>
        </is>
      </c>
      <c r="D1147" t="inlineStr">
        <is>
          <t>اکسابن   قرص خوراکي 10 mg - داروسازي ابوريحان</t>
        </is>
      </c>
      <c r="E1147" t="inlineStr">
        <is>
          <t>تی‌تک و آریا</t>
        </is>
      </c>
    </row>
    <row r="1148">
      <c r="A1148" t="n">
        <v>1147</v>
      </c>
      <c r="B1148" t="n">
        <v>52690</v>
      </c>
      <c r="C1148" t="inlineStr">
        <is>
          <t>BENDAMUSTINE HYDROCHLORIDE INJECTION PARENTERAL 25 mg/1mL 4 mL</t>
        </is>
      </c>
      <c r="D1148" t="inlineStr">
        <is>
          <t>بنترا   تزريقي پرنترال 25 mg/1mL 4 mL - داروسازي سبحان انکولوژي</t>
        </is>
      </c>
      <c r="E1148" t="inlineStr">
        <is>
          <t>تی‌تک و آریا</t>
        </is>
      </c>
    </row>
    <row r="1149">
      <c r="A1149" t="n">
        <v>1148</v>
      </c>
      <c r="B1149" t="n">
        <v>52698</v>
      </c>
      <c r="C1149" t="inlineStr">
        <is>
          <t>PHENYTOIN SUSPENSION ORAL 30 mg/5mL 200 mL</t>
        </is>
      </c>
      <c r="D1149" t="inlineStr">
        <is>
          <t>اپتوئين   سوسپانسيون خوراکي 30 mg/5mL 200 mL - دارو بهداشت درنا</t>
        </is>
      </c>
      <c r="E1149" t="inlineStr">
        <is>
          <t>تی‌تک و آریا</t>
        </is>
      </c>
    </row>
    <row r="1150">
      <c r="A1150" t="n">
        <v>1149</v>
      </c>
      <c r="B1150" t="n">
        <v>52699</v>
      </c>
      <c r="C1150" t="inlineStr">
        <is>
          <t>ULIPRISTAL ACETATE TABLET ORAL 30 mg</t>
        </is>
      </c>
      <c r="E1150" t="inlineStr">
        <is>
          <t>فقط تی‌تک</t>
        </is>
      </c>
    </row>
    <row r="1151">
      <c r="A1151" t="n">
        <v>1150</v>
      </c>
      <c r="B1151" t="n">
        <v>52703</v>
      </c>
      <c r="C1151" t="inlineStr">
        <is>
          <t>ETHANOL SOLUTION NOT APPLICABLE 96 % 5 L</t>
        </is>
      </c>
      <c r="D1151" t="inlineStr">
        <is>
          <t>اتانول   محلول غير قابل مصرف 96 % 5 L - خميرمايه و الکل رازي</t>
        </is>
      </c>
      <c r="E1151" t="inlineStr">
        <is>
          <t>تی‌تک و آریا</t>
        </is>
      </c>
    </row>
    <row r="1152">
      <c r="A1152" t="n">
        <v>1151</v>
      </c>
      <c r="B1152" t="n">
        <v>52704</v>
      </c>
      <c r="C1152" t="inlineStr">
        <is>
          <t>ETHANOL SOLUTION NOT APPLICABLE 70 % 2.5 L</t>
        </is>
      </c>
      <c r="D1152" t="inlineStr">
        <is>
          <t>اتانول   محلول غير قابل مصرف 70 % 2.5 L - توليدي الکل و مواد غذايي ويسيان خرم آباد</t>
        </is>
      </c>
      <c r="E1152" t="inlineStr">
        <is>
          <t>تی‌تک و آریا</t>
        </is>
      </c>
    </row>
    <row r="1153">
      <c r="A1153" t="n">
        <v>1152</v>
      </c>
      <c r="B1153" t="n">
        <v>52706</v>
      </c>
      <c r="C1153" t="inlineStr">
        <is>
          <t>TOCILIZUMAB INJECTION, SOLUTION PARENTERAL 162 mg/0.9mL</t>
        </is>
      </c>
      <c r="D1153" t="inlineStr">
        <is>
          <t>اکتمرا   محلول تزريقي پرنترال 162 mg/0.9mL  mL - رايان دارو ايرانيان</t>
        </is>
      </c>
      <c r="E1153" t="inlineStr">
        <is>
          <t>تی‌تک و آریا</t>
        </is>
      </c>
    </row>
    <row r="1154">
      <c r="A1154" t="n">
        <v>1153</v>
      </c>
      <c r="B1154" t="n">
        <v>52708</v>
      </c>
      <c r="C1154" t="inlineStr">
        <is>
          <t>PNEUMOCOCCAL VACCINE 10-VALENT INJECTION PARENTERAL  2.5 mL</t>
        </is>
      </c>
      <c r="D1154" t="inlineStr">
        <is>
          <t>پنوموسيل   تزريقي پرنترال  2.5 {dose} - هيات امناي صرفه جويي ارزي در معالجه بيماران</t>
        </is>
      </c>
      <c r="E1154" t="inlineStr">
        <is>
          <t>تی‌تک و آریا</t>
        </is>
      </c>
    </row>
    <row r="1155">
      <c r="A1155" t="n">
        <v>1154</v>
      </c>
      <c r="B1155" t="n">
        <v>52710</v>
      </c>
      <c r="C1155" t="inlineStr">
        <is>
          <t>HYDROXOCOBALAMIN INJECTION, SOLUTION PARENTERAL 1500 ug/1mL 1 mL</t>
        </is>
      </c>
      <c r="D1155" t="inlineStr">
        <is>
          <t>ويتامين ب12   محلول تزريقي پرنترال 1500 ug/1mL 1 ug - بازرگاني سها کيش</t>
        </is>
      </c>
      <c r="E1155" t="inlineStr">
        <is>
          <t>تی‌تک و آریا</t>
        </is>
      </c>
    </row>
    <row r="1156">
      <c r="A1156" t="n">
        <v>1155</v>
      </c>
      <c r="B1156" t="n">
        <v>52713</v>
      </c>
      <c r="C1156" t="inlineStr">
        <is>
          <t>METHOTREXATE INJECTION, SOLUTION, CONCENTRATE PARENTERAL 100 mg/1mL 5 mL</t>
        </is>
      </c>
      <c r="D1156" t="inlineStr">
        <is>
          <t>رکسيمد   محلول غليظ تزريقي پرنترال 100 mg/1mL 5 mg - نانو فناوران داروئي الوند</t>
        </is>
      </c>
      <c r="E1156" t="inlineStr">
        <is>
          <t>تی‌تک و آریا</t>
        </is>
      </c>
    </row>
    <row r="1157">
      <c r="A1157" t="n">
        <v>1156</v>
      </c>
      <c r="B1157" t="n">
        <v>52715</v>
      </c>
      <c r="C1157" t="inlineStr">
        <is>
          <t>METHOTREXATE INJECTION, SOLUTION, CONCENTRATE PARENTERAL 100 mg/1mL 50 mL</t>
        </is>
      </c>
      <c r="D1157" t="inlineStr">
        <is>
          <t>رکسيمد   محلول غليظ تزريقي پرنترال 100 mg/1mL 50 mg - نانو فناوران داروئي الوند</t>
        </is>
      </c>
      <c r="E1157" t="inlineStr">
        <is>
          <t>تی‌تک و آریا</t>
        </is>
      </c>
    </row>
    <row r="1158">
      <c r="A1158" t="n">
        <v>1157</v>
      </c>
      <c r="B1158" t="n">
        <v>52716</v>
      </c>
      <c r="C1158" t="inlineStr">
        <is>
          <t>RIOCIGUAT TABLET ORAL 1 mg</t>
        </is>
      </c>
      <c r="D1158" t="inlineStr">
        <is>
          <t>آدمپاس   قرص خوراکي 1 mg - بازرگاني سها کيش</t>
        </is>
      </c>
      <c r="E1158" t="inlineStr">
        <is>
          <t>تی‌تک و آریا</t>
        </is>
      </c>
    </row>
    <row r="1159">
      <c r="A1159" t="n">
        <v>1158</v>
      </c>
      <c r="B1159" t="n">
        <v>52717</v>
      </c>
      <c r="C1159" t="inlineStr">
        <is>
          <t>SEVELAMER CARBONATE POWDER, FOR SUSPENSION ORAL 800 mg</t>
        </is>
      </c>
      <c r="D1159" t="inlineStr">
        <is>
          <t>رنولا   پودر براي تهيه سوسپانسيون   خوراکي 800 mg  mg - کوبل دارو</t>
        </is>
      </c>
      <c r="E1159" t="inlineStr">
        <is>
          <t>تی‌تک و آریا</t>
        </is>
      </c>
    </row>
    <row r="1160">
      <c r="A1160" t="n">
        <v>1159</v>
      </c>
      <c r="B1160" t="n">
        <v>52718</v>
      </c>
      <c r="C1160" t="inlineStr">
        <is>
          <t>EPINEPHRINE INJECTION, SOLUTION PARENTERAL 0.3 mg/0.3mL 2 mL</t>
        </is>
      </c>
      <c r="D1160" t="inlineStr">
        <is>
          <t>اپي پن   محلول تزريقي پرنترال 0.3 mg/0.3mL 2 mL - سينا پيشگام دارو نوين</t>
        </is>
      </c>
      <c r="E1160" t="inlineStr">
        <is>
          <t>تی‌تک و آریا</t>
        </is>
      </c>
    </row>
    <row r="1161">
      <c r="A1161" t="n">
        <v>1160</v>
      </c>
      <c r="B1161" t="n">
        <v>52720</v>
      </c>
      <c r="C1161" t="inlineStr">
        <is>
          <t>PRALATREXATE INJECTION, SOLUTION PARENTERAL 20 mg/1mL 1 mL</t>
        </is>
      </c>
      <c r="D1161" t="inlineStr">
        <is>
          <t>پراليم   محلول تزريقي پرنترال 20 mg/1mL 1 mg - نانو فناوران داروئي الوند</t>
        </is>
      </c>
      <c r="E1161" t="inlineStr">
        <is>
          <t>تی‌تک و آریا</t>
        </is>
      </c>
    </row>
    <row r="1162">
      <c r="A1162" t="n">
        <v>1161</v>
      </c>
      <c r="B1162" t="n">
        <v>52737</v>
      </c>
      <c r="C1162" t="inlineStr">
        <is>
          <t>PAROMOMYCIN OINTMENT TOPICAL 15 % 30 g</t>
        </is>
      </c>
      <c r="D1162" t="inlineStr">
        <is>
          <t>پارومومايسين   پماد موضعي 15 % 30 g - بازرگاني سها کيش</t>
        </is>
      </c>
      <c r="E1162" t="inlineStr">
        <is>
          <t>تی‌تک و آریا</t>
        </is>
      </c>
    </row>
    <row r="1163">
      <c r="A1163" t="n">
        <v>1162</v>
      </c>
      <c r="B1163" t="n">
        <v>52738</v>
      </c>
      <c r="C1163" t="inlineStr">
        <is>
          <t>METHOTREXATE INJECTION, SOLUTION PARENTERAL 50 mg/1mL 0.25 mL</t>
        </is>
      </c>
      <c r="D1163" t="inlineStr">
        <is>
          <t>ترکسوما   محلول تزريقي پرنترال 50 mg/1mL 0.25 mg - نانو فناوران داروئي الوند</t>
        </is>
      </c>
      <c r="E1163" t="inlineStr">
        <is>
          <t>تی‌تک و آریا</t>
        </is>
      </c>
    </row>
    <row r="1164">
      <c r="A1164" t="n">
        <v>1163</v>
      </c>
      <c r="B1164" t="n">
        <v>52739</v>
      </c>
      <c r="C1164" t="inlineStr">
        <is>
          <t>METHOTREXATE INJECTION, SOLUTION PARENTERAL 50 mg/1mL 0.35 mL</t>
        </is>
      </c>
      <c r="D1164" t="inlineStr">
        <is>
          <t>ترکسوما   محلول تزريقي پرنترال 50 mg/1mL 0.35 mg - نانو فناوران داروئي الوند</t>
        </is>
      </c>
      <c r="E1164" t="inlineStr">
        <is>
          <t>تی‌تک و آریا</t>
        </is>
      </c>
    </row>
    <row r="1165">
      <c r="A1165" t="n">
        <v>1164</v>
      </c>
      <c r="B1165" t="n">
        <v>52740</v>
      </c>
      <c r="C1165" t="inlineStr">
        <is>
          <t>METHOTREXATE INJECTION, SOLUTION PARENTERAL 50 mg/1mL 0.45 mL</t>
        </is>
      </c>
      <c r="D1165" t="inlineStr">
        <is>
          <t>ترکسوما   محلول تزريقي پرنترال 50 mg/1mL 0.45 mg - نانو فناوران داروئي الوند</t>
        </is>
      </c>
      <c r="E1165" t="inlineStr">
        <is>
          <t>تی‌تک و آریا</t>
        </is>
      </c>
    </row>
    <row r="1166">
      <c r="A1166" t="n">
        <v>1165</v>
      </c>
      <c r="B1166" t="n">
        <v>52741</v>
      </c>
      <c r="C1166" t="inlineStr">
        <is>
          <t>PROSTAGLANDIN E2 INSERT, EXTENDED RELEASE VAGINAL 10 mg</t>
        </is>
      </c>
      <c r="D1166" t="inlineStr">
        <is>
          <t>پروپس   اينسرت پيوسته رهش واژينال 10 mg  mg - درمان ياب دارو</t>
        </is>
      </c>
      <c r="E1166" t="inlineStr">
        <is>
          <t>تی‌تک و آریا</t>
        </is>
      </c>
    </row>
    <row r="1167">
      <c r="A1167" t="n">
        <v>1166</v>
      </c>
      <c r="B1167" t="n">
        <v>52748</v>
      </c>
      <c r="C1167" t="inlineStr">
        <is>
          <t>PALIPERIDONE TABLET, EXTENDED RELEASE ORAL 9 mg</t>
        </is>
      </c>
      <c r="E1167" t="inlineStr">
        <is>
          <t>فقط تی‌تک</t>
        </is>
      </c>
    </row>
    <row r="1168">
      <c r="A1168" t="n">
        <v>1167</v>
      </c>
      <c r="B1168" t="n">
        <v>52750</v>
      </c>
      <c r="C1168" t="inlineStr">
        <is>
          <t>TUBERCULIN PPD INJECTION, SOLUTION INTRADERMAL  5 mL</t>
        </is>
      </c>
      <c r="D1168" t="inlineStr">
        <is>
          <t>تست توبرکولين   محلول تزريقي داخل جلدي  5 mL - پيشرو تشخيص</t>
        </is>
      </c>
      <c r="E1168" t="inlineStr">
        <is>
          <t>تی‌تک و آریا</t>
        </is>
      </c>
    </row>
    <row r="1169">
      <c r="A1169" t="n">
        <v>1168</v>
      </c>
      <c r="B1169" t="n">
        <v>52752</v>
      </c>
      <c r="C1169" t="inlineStr">
        <is>
          <t>ANTISNAKE VENOM SERUM, HEXAVALENT INJECTION PARENTERAL  10 mL</t>
        </is>
      </c>
      <c r="D1169" t="inlineStr">
        <is>
          <t>اسنافب 6   تزريقي پرنترال  10 mL - پادرا سرم البرز</t>
        </is>
      </c>
      <c r="E1169" t="inlineStr">
        <is>
          <t>تی‌تک و آریا</t>
        </is>
      </c>
    </row>
    <row r="1170">
      <c r="A1170" t="n">
        <v>1169</v>
      </c>
      <c r="B1170" t="n">
        <v>52763</v>
      </c>
      <c r="C1170" t="inlineStr">
        <is>
          <t>SITAGLIPTIN (AS PHOSPHATE) / METFORMIN HYDROCHLORIDE TABLET, EXTENDED RELEASE ORAL 100 mg/1000 mg</t>
        </is>
      </c>
      <c r="D1170" t="inlineStr">
        <is>
          <t>سيتفومين   قرص پيوسته رهش خوراکي 100 mg/1000 mg - مهبان دارو</t>
        </is>
      </c>
      <c r="E1170" t="inlineStr">
        <is>
          <t>تی‌تک و آریا</t>
        </is>
      </c>
    </row>
    <row r="1171">
      <c r="A1171" t="n">
        <v>1170</v>
      </c>
      <c r="B1171" t="n">
        <v>52765</v>
      </c>
      <c r="C1171" t="inlineStr">
        <is>
          <t>GELATIN MODIFIED (2) INJECTION PARENTERAL 4 % 500 mL</t>
        </is>
      </c>
      <c r="D1171" t="inlineStr">
        <is>
          <t>ژلاسپان   تزريقي پرنترال 4 % 500 mL - نيکان فارمد</t>
        </is>
      </c>
      <c r="E1171" t="inlineStr">
        <is>
          <t>تی‌تک و آریا</t>
        </is>
      </c>
    </row>
    <row r="1172">
      <c r="A1172" t="n">
        <v>1171</v>
      </c>
      <c r="B1172" t="n">
        <v>52768</v>
      </c>
      <c r="C1172" t="inlineStr">
        <is>
          <t>VITAMIN K1 (PHYTOMENADIONE) INJECTION PARENTERAL 10 mg/1mL 0.2 mL</t>
        </is>
      </c>
      <c r="D1172" t="inlineStr">
        <is>
          <t>سلوويتا-کا1   تزريقي پرنترال 10 mg/1mL 0.2 mL - رايان دارو ايرانيان</t>
        </is>
      </c>
      <c r="E1172" t="inlineStr">
        <is>
          <t>تی‌تک و آریا</t>
        </is>
      </c>
    </row>
    <row r="1173">
      <c r="A1173" t="n">
        <v>1172</v>
      </c>
      <c r="B1173" t="n">
        <v>52769</v>
      </c>
      <c r="C1173" t="inlineStr">
        <is>
          <t>PIRACETAM LIQUID ORAL 33.33 % 200 mL</t>
        </is>
      </c>
      <c r="D1173" t="inlineStr">
        <is>
          <t>پيراستام   مايع خوراکي 33.33 % 200 mL - دارو بهداشت درنا</t>
        </is>
      </c>
      <c r="E1173" t="inlineStr">
        <is>
          <t>تی‌تک و آریا</t>
        </is>
      </c>
    </row>
    <row r="1174">
      <c r="A1174" t="n">
        <v>1173</v>
      </c>
      <c r="B1174" t="n">
        <v>52771</v>
      </c>
      <c r="C1174" t="inlineStr">
        <is>
          <t>ROTAVIRUS VACCINE, MONOVALENT, LIVE ATTENUATED POWDER, FOR SUSPENSION ORAL  2.5 mL</t>
        </is>
      </c>
      <c r="E1174" t="inlineStr">
        <is>
          <t>فقط تی‌تک</t>
        </is>
      </c>
    </row>
    <row r="1175">
      <c r="A1175" t="n">
        <v>1174</v>
      </c>
      <c r="B1175" t="n">
        <v>52773</v>
      </c>
      <c r="C1175" t="inlineStr">
        <is>
          <t>COVID-19 VACCINE (1) (adenovirus viral vector) INJECTION PARENTERAL  5 {dose}</t>
        </is>
      </c>
      <c r="D1175" t="inlineStr">
        <is>
          <t>اسپوتنيک لايت   تزريقي پرنترال  5 {dose} - اکتوورکو</t>
        </is>
      </c>
      <c r="E1175" t="inlineStr">
        <is>
          <t>تی‌تک و آریا</t>
        </is>
      </c>
    </row>
    <row r="1176">
      <c r="A1176" t="n">
        <v>1175</v>
      </c>
      <c r="B1176" t="n">
        <v>52774</v>
      </c>
      <c r="C1176" t="inlineStr">
        <is>
          <t>COVID-19 VACCINE (2) (adenovirus viral vector) INJECTION PARENTERAL  5 {dose}</t>
        </is>
      </c>
      <c r="D1176" t="inlineStr">
        <is>
          <t>اسپوتنيک-5 کامپوننت 2   تزريقي پرنترال  5 {dose} - هيات امناي صرفه جويي ارزي در معالجه بيماران</t>
        </is>
      </c>
      <c r="E1176" t="inlineStr">
        <is>
          <t>تی‌تک و آریا</t>
        </is>
      </c>
    </row>
    <row r="1177">
      <c r="A1177" t="n">
        <v>1176</v>
      </c>
      <c r="B1177" t="n">
        <v>52775</v>
      </c>
      <c r="C1177" t="inlineStr">
        <is>
          <t>BOTULISM ANTITOXIN MONOVALENT TYPE B (EQUINE) INJECTION PARENTERAL 500 [iU]/1mL 10 mL</t>
        </is>
      </c>
      <c r="D1177" t="inlineStr">
        <is>
          <t>زابوت-ب   تزريقي پرنترال 500 [iU]/1mL 10 [iU] - داروسازي مصون دارو</t>
        </is>
      </c>
      <c r="E1177" t="inlineStr">
        <is>
          <t>تی‌تک و آریا</t>
        </is>
      </c>
    </row>
    <row r="1178">
      <c r="A1178" t="n">
        <v>1177</v>
      </c>
      <c r="B1178" t="n">
        <v>52776</v>
      </c>
      <c r="C1178" t="inlineStr">
        <is>
          <t>BOTULISM ANTITOXIN MONOVALENT TYPE E (EQUINE) INJECTION PARENTERAL 1000 [iU]/1mL 10 mL</t>
        </is>
      </c>
      <c r="D1178" t="inlineStr">
        <is>
          <t>زابوت-اي   تزريقي پرنترال 1000 [iU]/1mL 10 [iU] - داروسازي مصون دارو</t>
        </is>
      </c>
      <c r="E1178" t="inlineStr">
        <is>
          <t>تی‌تک و آریا</t>
        </is>
      </c>
    </row>
    <row r="1179">
      <c r="A1179" t="n">
        <v>1178</v>
      </c>
      <c r="B1179" t="n">
        <v>52778</v>
      </c>
      <c r="C1179" t="inlineStr">
        <is>
          <t>COVID-19 VACCINE (1) (adenovirus viral vector) INJECTION PARENTERAL  1 {dose}</t>
        </is>
      </c>
      <c r="D1179" t="inlineStr">
        <is>
          <t>اسپوتنيک-5 کامپوننت 1   تزريقي پرنترال  1 {dose} - هيات امناي صرفه جويي ارزي در معالجه بيماران</t>
        </is>
      </c>
      <c r="E1179" t="inlineStr">
        <is>
          <t>تی‌تک و آریا</t>
        </is>
      </c>
    </row>
    <row r="1180">
      <c r="A1180" t="n">
        <v>1179</v>
      </c>
      <c r="B1180" t="n">
        <v>52779</v>
      </c>
      <c r="C1180" t="inlineStr">
        <is>
          <t>COVID-19 VACCINE (2) (adenovirus viral vector) INJECTION PARENTERAL  1 {dose}</t>
        </is>
      </c>
      <c r="D1180" t="inlineStr">
        <is>
          <t>اسپوتنيک-5 کامپوننت 2   تزريقي پرنترال  1 {dose} - هيات امناي صرفه جويي ارزي در معالجه بيماران</t>
        </is>
      </c>
      <c r="E1180" t="inlineStr">
        <is>
          <t>تی‌تک و آریا</t>
        </is>
      </c>
    </row>
    <row r="1181">
      <c r="A1181" t="n">
        <v>1180</v>
      </c>
      <c r="B1181" t="n">
        <v>52784</v>
      </c>
      <c r="C1181" t="inlineStr">
        <is>
          <t>NIRAPARIB CAPSULE ORAL 100 mg</t>
        </is>
      </c>
      <c r="D1181" t="inlineStr">
        <is>
          <t>زژولا   کپسول خوراکي 100 mg - پويش دارو گستر برتر فارس</t>
        </is>
      </c>
      <c r="E1181" t="inlineStr">
        <is>
          <t>تی‌تک و آریا</t>
        </is>
      </c>
    </row>
    <row r="1182">
      <c r="A1182" t="n">
        <v>1181</v>
      </c>
      <c r="B1182" t="n">
        <v>52786</v>
      </c>
      <c r="C1182" t="inlineStr">
        <is>
          <t>GENTIAN VIOLET SOLUTION TOPICAL 1 % 60 mL</t>
        </is>
      </c>
      <c r="D1182" t="inlineStr">
        <is>
          <t>ويولت دوژانسين   محلول موضعي 1 % 60 mL - داروسازي کيمياگر طوس</t>
        </is>
      </c>
      <c r="E1182" t="inlineStr">
        <is>
          <t>تی‌تک و آریا</t>
        </is>
      </c>
    </row>
    <row r="1183">
      <c r="A1183" t="n">
        <v>1182</v>
      </c>
      <c r="B1183" t="n">
        <v>52788</v>
      </c>
      <c r="C1183" t="inlineStr">
        <is>
          <t>METHADONE HYDROCHLORIDE SOLUTION ORAL 25 mg/5 mL 1000 mL</t>
        </is>
      </c>
      <c r="D1183" t="inlineStr">
        <is>
          <t>متادون   محلول خوراکي 25 mg/5 mL 1000 mL - داروسازي فاران شيمي</t>
        </is>
      </c>
      <c r="E1183" t="inlineStr">
        <is>
          <t>تی‌تک و آریا</t>
        </is>
      </c>
    </row>
    <row r="1184">
      <c r="A1184" t="n">
        <v>1183</v>
      </c>
      <c r="B1184" t="n">
        <v>52789</v>
      </c>
      <c r="C1184" t="inlineStr">
        <is>
          <t>KETOCONAZOLE LOTION TOPICAL 2 % 30 mL</t>
        </is>
      </c>
      <c r="D1184" t="inlineStr">
        <is>
          <t>کتوکونازول-ناژو   لوسيون موضعي 2 % 30 mL - ايران ناژو</t>
        </is>
      </c>
      <c r="E1184" t="inlineStr">
        <is>
          <t>تی‌تک و آریا</t>
        </is>
      </c>
    </row>
    <row r="1185">
      <c r="A1185" t="n">
        <v>1184</v>
      </c>
      <c r="B1185" t="n">
        <v>52790</v>
      </c>
      <c r="C1185" t="inlineStr">
        <is>
          <t>SALICYLIC ACID COMPOUND SOLUTION TOPICAL 16.7 %/16.7 % 10 mL</t>
        </is>
      </c>
      <c r="D1185" t="inlineStr">
        <is>
          <t>ساليسيليک اسيد کامپاند   محلول موضعي 16.7 %/16.7 % 10 mL - داروسازي کيمياگر طوس</t>
        </is>
      </c>
      <c r="E1185" t="inlineStr">
        <is>
          <t>تی‌تک و آریا</t>
        </is>
      </c>
    </row>
    <row r="1186">
      <c r="A1186" t="n">
        <v>1185</v>
      </c>
      <c r="B1186" t="n">
        <v>52791</v>
      </c>
      <c r="C1186" t="inlineStr">
        <is>
          <t>CYTARABINE INJECTION, SOLUTION PARENTERAL 100 mg/1mL 1 mL</t>
        </is>
      </c>
      <c r="D1186" t="inlineStr">
        <is>
          <t>سيتامکس   محلول تزريقي پرنترال 100 mg/1mL 1 mg - دارويي بهين پاد</t>
        </is>
      </c>
      <c r="E1186" t="inlineStr">
        <is>
          <t>تی‌تک و آریا</t>
        </is>
      </c>
    </row>
    <row r="1187">
      <c r="A1187" t="n">
        <v>1186</v>
      </c>
      <c r="B1187" t="n">
        <v>52796</v>
      </c>
      <c r="C1187" t="inlineStr">
        <is>
          <t>COVID-19 VACCINE, CONJUGATE INJECTION PARENTERAL  1 {dose}</t>
        </is>
      </c>
      <c r="D1187" t="inlineStr">
        <is>
          <t>پاستوکووک   تزريقي پرنترال  1 {dose} - انستيتو پاستور ايران</t>
        </is>
      </c>
      <c r="E1187" t="inlineStr">
        <is>
          <t>تی‌تک و آریا</t>
        </is>
      </c>
    </row>
    <row r="1188">
      <c r="A1188" t="n">
        <v>1187</v>
      </c>
      <c r="B1188" t="n">
        <v>52800</v>
      </c>
      <c r="C1188" t="inlineStr">
        <is>
          <t>COVID-19 VACCINE, WHOLE VIRION, INACTIVATED, VERO CELL-DERIVED INJECTION PARENTERAL  1 {dose}</t>
        </is>
      </c>
      <c r="D1188" t="inlineStr">
        <is>
          <t>بي بي آي بي پي -کوروي   تزريقي پرنترال  1 {dose} - بازرگاني سها کيش</t>
        </is>
      </c>
      <c r="E1188" t="inlineStr">
        <is>
          <t>تی‌تک و آریا</t>
        </is>
      </c>
    </row>
    <row r="1189">
      <c r="A1189" t="n">
        <v>1188</v>
      </c>
      <c r="B1189" t="n">
        <v>52803</v>
      </c>
      <c r="C1189" t="inlineStr">
        <is>
          <t>COVID-19 VACCINE, WHOLE VIRION, INACTIVATED, VERO CELL-DERIVED INJECTION PARENTERAL  10 {dose}</t>
        </is>
      </c>
      <c r="D1189" t="inlineStr">
        <is>
          <t>کوو ايران برکت   تزريقي پرنترال  10 {dose} - گروه صنايع شفا فارمد</t>
        </is>
      </c>
      <c r="E1189" t="inlineStr">
        <is>
          <t>تی‌تک و آریا</t>
        </is>
      </c>
    </row>
    <row r="1190">
      <c r="A1190" t="n">
        <v>1189</v>
      </c>
      <c r="B1190" t="n">
        <v>52804</v>
      </c>
      <c r="C1190" t="inlineStr">
        <is>
          <t>COVID-19 VACCINE, CONJUGATE INJECTION PARENTERAL  10 {dose}</t>
        </is>
      </c>
      <c r="D1190" t="inlineStr">
        <is>
          <t>پاستوکووک   تزريقي پرنترال  10 {dose} - انستيتو پاستور ايران</t>
        </is>
      </c>
      <c r="E1190" t="inlineStr">
        <is>
          <t>تی‌تک و آریا</t>
        </is>
      </c>
    </row>
    <row r="1191">
      <c r="A1191" t="n">
        <v>1190</v>
      </c>
      <c r="B1191" t="n">
        <v>52806</v>
      </c>
      <c r="C1191" t="inlineStr">
        <is>
          <t>OSELTAMIVIR (AS PHOSPHATE) POWDER, FOR SOLUTION ORAL 30 mg/5mL 60 mL</t>
        </is>
      </c>
      <c r="D1191" t="inlineStr">
        <is>
          <t>اسلتاميوير   پودر براي تهيه محلول خوراکي 30 mg/5mL 60 g - داروسازي امين</t>
        </is>
      </c>
      <c r="E1191" t="inlineStr">
        <is>
          <t>تی‌تک و آریا</t>
        </is>
      </c>
    </row>
    <row r="1192">
      <c r="A1192" t="n">
        <v>1191</v>
      </c>
      <c r="B1192" t="n">
        <v>52814</v>
      </c>
      <c r="C1192" t="inlineStr">
        <is>
          <t>COVID-19 VACCINE, RECOMBINANT (Non-replicating adenovirus vector) INJECTION, SOLUTION INTRAMUSCULAR  10 {dose}</t>
        </is>
      </c>
      <c r="D1192" t="inlineStr">
        <is>
          <t>آر-کووي   محلول تزريقي عضلاني  10 {dose} - کوبل دارو</t>
        </is>
      </c>
      <c r="E1192" t="inlineStr">
        <is>
          <t>تی‌تک و آریا</t>
        </is>
      </c>
    </row>
    <row r="1193">
      <c r="A1193" t="n">
        <v>1192</v>
      </c>
      <c r="B1193" t="n">
        <v>52816</v>
      </c>
      <c r="C1193" t="inlineStr">
        <is>
          <t>ACETAMINOPHEN CAPSULE, LIQUID FILLED ORAL 500 mg</t>
        </is>
      </c>
      <c r="D1193" t="inlineStr">
        <is>
          <t>استامينوفن   کپسول حاوي مايع خوراکي 500 mg - داروسازي جالينوس</t>
        </is>
      </c>
      <c r="E1193" t="inlineStr">
        <is>
          <t>تی‌تک و آریا</t>
        </is>
      </c>
    </row>
    <row r="1194">
      <c r="A1194" t="n">
        <v>1193</v>
      </c>
      <c r="B1194" t="n">
        <v>52821</v>
      </c>
      <c r="C1194" t="inlineStr">
        <is>
          <t>FLUTICASONE PROPIONATE POWDER, METERED RESPIRATORY 250 ug/1{dose} 60 {dose}</t>
        </is>
      </c>
      <c r="D1194" t="inlineStr">
        <is>
          <t>فلوتيکاپن   پودر با دوز اندازه گيري شده استنشاقي 250 ug/1{dose} 60 ug - رويان دارو</t>
        </is>
      </c>
      <c r="E1194" t="inlineStr">
        <is>
          <t>تی‌تک و آریا</t>
        </is>
      </c>
    </row>
    <row r="1195">
      <c r="A1195" t="n">
        <v>1194</v>
      </c>
      <c r="B1195" t="n">
        <v>52823</v>
      </c>
      <c r="C1195" t="inlineStr">
        <is>
          <t>COVID-19 VACCINE, WHOLE VIRION, INACTIVATED, VERO CELL-DERIVED INJECTION PARENTERAL  2 {dose}</t>
        </is>
      </c>
      <c r="D1195" t="inlineStr">
        <is>
          <t>بي بي آي بي پي -کوروي   تزريقي پرنترال  2 {dose} - بازرگاني سها کيش</t>
        </is>
      </c>
      <c r="E1195" t="inlineStr">
        <is>
          <t>تی‌تک و آریا</t>
        </is>
      </c>
    </row>
    <row r="1196">
      <c r="A1196" t="n">
        <v>1195</v>
      </c>
      <c r="B1196" t="n">
        <v>52826</v>
      </c>
      <c r="C1196" t="inlineStr">
        <is>
          <t>BETAMETHASONE (AS SODIUM PHOSPHATE) / NEOMYCIN SULFATE SOLUTION, DROPS OPHTHALMIC 0.1 %/0.5 % 5 mL</t>
        </is>
      </c>
      <c r="D1196" t="inlineStr">
        <is>
          <t>رابت-ان   محلول، قطره چشمي 0.1 %/0.5 % 5 mL - داروسازي رها اصفهان</t>
        </is>
      </c>
      <c r="E1196" t="inlineStr">
        <is>
          <t>تی‌تک و آریا</t>
        </is>
      </c>
    </row>
    <row r="1197">
      <c r="A1197" t="n">
        <v>1196</v>
      </c>
      <c r="B1197" t="n">
        <v>52827</v>
      </c>
      <c r="C1197" t="inlineStr">
        <is>
          <t>BETAMETHASONE (AS VALERATE) / NEOMYCIN SULFATE OINTMENT TOPICAL 0.1 %/0.5 % 15 g</t>
        </is>
      </c>
      <c r="D1197" t="inlineStr">
        <is>
          <t>بتاراسا   پماد موضعي 0.1 %/0.5 % 15 g - راسا طب ورنا</t>
        </is>
      </c>
      <c r="E1197" t="inlineStr">
        <is>
          <t>تی‌تک و آریا</t>
        </is>
      </c>
    </row>
    <row r="1198">
      <c r="A1198" t="n">
        <v>1197</v>
      </c>
      <c r="B1198" t="n">
        <v>52828</v>
      </c>
      <c r="C1198" t="inlineStr">
        <is>
          <t>DINUTUXIMAB INJECTION, SOLUTION, CONCENTRATE INTRAVENOUS 4.5 mg/1mL 4.5 mL</t>
        </is>
      </c>
      <c r="D1198" t="inlineStr">
        <is>
          <t>کارزيبا   محلول غليظ تزريقي داخل وريدي 4.5 mg/1mL 4.5 mg - مرز گستران فناوري آينده</t>
        </is>
      </c>
      <c r="E1198" t="inlineStr">
        <is>
          <t>تی‌تک و آریا</t>
        </is>
      </c>
    </row>
    <row r="1199">
      <c r="A1199" t="n">
        <v>1198</v>
      </c>
      <c r="B1199" t="n">
        <v>52838</v>
      </c>
      <c r="C1199" t="inlineStr">
        <is>
          <t>MITOMYCIN INJECTION, POWDER, FOR SOLUTION INTRACAVITARY 20 mg</t>
        </is>
      </c>
      <c r="D1199" t="inlineStr">
        <is>
          <t>ميتوسين   پودر براي تهيه محلول تزريقي داخل حفره اي 20 mg  mg - داروئي آرام</t>
        </is>
      </c>
      <c r="E1199" t="inlineStr">
        <is>
          <t>تی‌تک و آریا</t>
        </is>
      </c>
    </row>
    <row r="1200">
      <c r="A1200" t="n">
        <v>1199</v>
      </c>
      <c r="B1200" t="n">
        <v>52843</v>
      </c>
      <c r="C1200" t="inlineStr">
        <is>
          <t>TRAMADOL HYDROCHLORIDE TABLET, EXTENDED RELEASE ORAL 200 mg</t>
        </is>
      </c>
      <c r="D1200" t="inlineStr">
        <is>
          <t>ترامادول   قرص پيوسته رهش خوراکي 200 mg - بهداشت و درمان پاسارگاد جابر</t>
        </is>
      </c>
      <c r="E1200" t="inlineStr">
        <is>
          <t>تی‌تک و آریا</t>
        </is>
      </c>
    </row>
    <row r="1201">
      <c r="A1201" t="n">
        <v>1200</v>
      </c>
      <c r="B1201" t="n">
        <v>52847</v>
      </c>
      <c r="C1201" t="inlineStr">
        <is>
          <t>CABOZANTINIB (AS (S)-MALATE) TABLET ORAL 60 mg</t>
        </is>
      </c>
      <c r="D1201" t="inlineStr">
        <is>
          <t>زانکر   قرص خوراکي 60 mg - شيميائي و داروئي باران</t>
        </is>
      </c>
      <c r="E1201" t="inlineStr">
        <is>
          <t>تی‌تک و آریا</t>
        </is>
      </c>
    </row>
    <row r="1202">
      <c r="A1202" t="n">
        <v>1201</v>
      </c>
      <c r="B1202" t="n">
        <v>52848</v>
      </c>
      <c r="C1202" t="inlineStr">
        <is>
          <t>POMALIDOMIDE CAPSULE ORAL 4 mg</t>
        </is>
      </c>
      <c r="D1202" t="inlineStr">
        <is>
          <t>ايمنوويد   کپسول خوراکي 4 mg - اوزان</t>
        </is>
      </c>
      <c r="E1202" t="inlineStr">
        <is>
          <t>تی‌تک و آریا</t>
        </is>
      </c>
    </row>
    <row r="1203">
      <c r="A1203" t="n">
        <v>1202</v>
      </c>
      <c r="B1203" t="n">
        <v>52849</v>
      </c>
      <c r="C1203" t="inlineStr">
        <is>
          <t>COVID-19 VACCINE (1) (adenovirus viral vector) INJECTION PARENTERAL  2 {dose}</t>
        </is>
      </c>
      <c r="D1203" t="inlineStr">
        <is>
          <t>اسپوتنيک-5 کامپوننت 1   تزريقي پرنترال  2 {dose} - هيات امناي صرفه جويي ارزي در معالجه بيماران</t>
        </is>
      </c>
      <c r="E1203" t="inlineStr">
        <is>
          <t>تی‌تک و آریا</t>
        </is>
      </c>
    </row>
    <row r="1204">
      <c r="A1204" t="n">
        <v>1203</v>
      </c>
      <c r="B1204" t="n">
        <v>52850</v>
      </c>
      <c r="C1204" t="inlineStr">
        <is>
          <t>COVID-19 VACCINE (2) (adenovirus viral vector) INJECTION PARENTERAL  2 {dose}</t>
        </is>
      </c>
      <c r="D1204" t="inlineStr">
        <is>
          <t>اسپوتنيک-5 کامپوننت 2   تزريقي پرنترال  2 {dose} - هيات امناي صرفه جويي ارزي در معالجه بيماران</t>
        </is>
      </c>
      <c r="E1204" t="inlineStr">
        <is>
          <t>تی‌تک و آریا</t>
        </is>
      </c>
    </row>
    <row r="1205">
      <c r="A1205" t="n">
        <v>1204</v>
      </c>
      <c r="B1205" t="n">
        <v>52856</v>
      </c>
      <c r="C1205" t="inlineStr">
        <is>
          <t>COVID-19 VACCINE, RECOMBINANT (Protein Subunit) EMULSION RESPIRATORY 10 ug/0.2mL 20 {dose}</t>
        </is>
      </c>
      <c r="D1205" t="inlineStr">
        <is>
          <t>رازيکووپارس   امولسيون استنشاقي 10 ug/0.2mL 20 {dose} - موسسه تحقيقات واکسن وسرم سازي رازي</t>
        </is>
      </c>
      <c r="E1205" t="inlineStr">
        <is>
          <t>تی‌تک و آریا</t>
        </is>
      </c>
    </row>
    <row r="1206">
      <c r="A1206" t="n">
        <v>1205</v>
      </c>
      <c r="B1206" t="n">
        <v>52857</v>
      </c>
      <c r="C1206" t="inlineStr">
        <is>
          <t>COVID-19 VACCINE, RECOMBINANT (Protein Subunit) INJECTION, EMULSION INTRAMUSCULAR 10 ug/0.2mL 20 {dose}</t>
        </is>
      </c>
      <c r="D1206" t="inlineStr">
        <is>
          <t>رازيکووپارس   امولسيون تزريقي عضلاني 10 ug/0.2mL 20 {dose} - موسسه تحقيقات واکسن وسرم سازي رازي</t>
        </is>
      </c>
      <c r="E1206" t="inlineStr">
        <is>
          <t>تی‌تک و آریا</t>
        </is>
      </c>
    </row>
    <row r="1207">
      <c r="A1207" t="n">
        <v>1206</v>
      </c>
      <c r="B1207" t="n">
        <v>52858</v>
      </c>
      <c r="C1207" t="inlineStr">
        <is>
          <t>AFLIBERCEPT INJECTION, SOLUTION, CONCENTRATE PARENTERAL 25 mg/1mL 8 mL</t>
        </is>
      </c>
      <c r="D1207" t="inlineStr">
        <is>
          <t>زالترپ   محلول غليظ تزريقي پرنترال 25 mg/1mL 8 mL - اوزان</t>
        </is>
      </c>
      <c r="E1207" t="inlineStr">
        <is>
          <t>تی‌تک و آریا</t>
        </is>
      </c>
    </row>
    <row r="1208">
      <c r="A1208" t="n">
        <v>1207</v>
      </c>
      <c r="B1208" t="n">
        <v>52861</v>
      </c>
      <c r="C1208" t="inlineStr">
        <is>
          <t>BUDESONIDE / FORMOTEROL FUMARATE CAPSULE RESPIRATORY 160 ug/9 ug</t>
        </is>
      </c>
      <c r="D1208" t="inlineStr">
        <is>
          <t>فورپک   کپسول استنشاقي 160 ug/9 ug - هيات امناي صرفه جويي ارزي در معالجه بيماران</t>
        </is>
      </c>
      <c r="E1208" t="inlineStr">
        <is>
          <t>تی‌تک و آریا</t>
        </is>
      </c>
    </row>
    <row r="1209">
      <c r="A1209" t="n">
        <v>1208</v>
      </c>
      <c r="B1209" t="n">
        <v>52867</v>
      </c>
      <c r="C1209" t="inlineStr">
        <is>
          <t>DICLOFENAC SODIUM GEL TOPICAL 1 % 60 g</t>
        </is>
      </c>
      <c r="D1209" t="inlineStr">
        <is>
          <t>ديکلوفناک   ژل موضعي 1 % 60 g - داروسازي ابوريحان</t>
        </is>
      </c>
      <c r="E1209" t="inlineStr">
        <is>
          <t>تی‌تک و آریا</t>
        </is>
      </c>
    </row>
    <row r="1210">
      <c r="A1210" t="n">
        <v>1209</v>
      </c>
      <c r="B1210" t="n">
        <v>52870</v>
      </c>
      <c r="C1210" t="inlineStr">
        <is>
          <t>DEXAMETHASONE (AS DISODIUM PHOSPHATE) INJECTION PARENTERAL 4 mg/1mL 1 mL</t>
        </is>
      </c>
      <c r="D1210" t="inlineStr">
        <is>
          <t>آکوازون   تزريقي پرنترال 4 mg/1mL 1 mL - داروسازي ابوريحان</t>
        </is>
      </c>
      <c r="E1210" t="inlineStr">
        <is>
          <t>تی‌تک و آریا</t>
        </is>
      </c>
    </row>
    <row r="1211">
      <c r="A1211" t="n">
        <v>1210</v>
      </c>
      <c r="B1211" t="n">
        <v>52872</v>
      </c>
      <c r="C1211" t="inlineStr">
        <is>
          <t>COVID-19 VACCINE, WHOLE VIRION, INACTIVATED, VERO CELL-DERIVED INJECTION PARENTERAL  5 {dose}</t>
        </is>
      </c>
      <c r="D1211" t="inlineStr">
        <is>
          <t>کويلو   تزريقي پرنترال  5 {dose} - بازرگاني سها کيش</t>
        </is>
      </c>
      <c r="E1211" t="inlineStr">
        <is>
          <t>تی‌تک و آریا</t>
        </is>
      </c>
    </row>
    <row r="1212">
      <c r="A1212" t="n">
        <v>1211</v>
      </c>
      <c r="B1212" t="n">
        <v>52873</v>
      </c>
      <c r="C1212" t="inlineStr">
        <is>
          <t>COVID-19 VACCINE, NON CONJUGATE, RECOMBINANT INJECTION INTRAMUSCULAR  1 {dose}</t>
        </is>
      </c>
      <c r="D1212" t="inlineStr">
        <is>
          <t>سوبرانا پلاس   تزريقي عضلاني  1 {dose} - انستيتو پاستور ايران</t>
        </is>
      </c>
      <c r="E1212" t="inlineStr">
        <is>
          <t>تی‌تک و آریا</t>
        </is>
      </c>
    </row>
    <row r="1213">
      <c r="A1213" t="n">
        <v>1212</v>
      </c>
      <c r="B1213" t="n">
        <v>52874</v>
      </c>
      <c r="C1213" t="inlineStr">
        <is>
          <t>COVID-19 VACCINE, NON CONJUGATE, RECOMBINANT INJECTION INTRAMUSCULAR  10 {dose}</t>
        </is>
      </c>
      <c r="D1213" t="inlineStr">
        <is>
          <t>پاستوکووک پلاس   تزريقي عضلاني  10 {dose} - انستيتو پاستور ايران</t>
        </is>
      </c>
      <c r="E1213" t="inlineStr">
        <is>
          <t>تی‌تک و آریا</t>
        </is>
      </c>
    </row>
    <row r="1214">
      <c r="A1214" t="n">
        <v>1213</v>
      </c>
      <c r="B1214" t="n">
        <v>52875</v>
      </c>
      <c r="C1214" t="inlineStr">
        <is>
          <t>DARUNAVIR (AS ETHANOLATE) TABLET ORAL 800 mg</t>
        </is>
      </c>
      <c r="D1214" t="inlineStr">
        <is>
          <t>داروپرو   قرص خوراکي 800 mg - سينا پيشگام دارو نوين</t>
        </is>
      </c>
      <c r="E1214" t="inlineStr">
        <is>
          <t>تی‌تک و آریا</t>
        </is>
      </c>
    </row>
    <row r="1215">
      <c r="A1215" t="n">
        <v>1214</v>
      </c>
      <c r="B1215" t="n">
        <v>52883</v>
      </c>
      <c r="C1215" t="inlineStr">
        <is>
          <t>TEMSIROLIMUS INJECTION, SOLUTION, CONCENTRATE PARENTERAL 5 mg/1mL 1 mL</t>
        </is>
      </c>
      <c r="D1215" t="inlineStr">
        <is>
          <t>توريسل   محلول غليظ تزريقي پرنترال 5 mg/1mL 1 mg - بازرگاني سها کيش</t>
        </is>
      </c>
      <c r="E1215" t="inlineStr">
        <is>
          <t>تی‌تک و آریا</t>
        </is>
      </c>
    </row>
    <row r="1216">
      <c r="A1216" t="n">
        <v>1215</v>
      </c>
      <c r="B1216" t="n">
        <v>52884</v>
      </c>
      <c r="C1216" t="inlineStr">
        <is>
          <t>COVID-19 VACCINE, WHOLE VIRION, INACTIVATED, VERO CELL-DERIVED INJECTION PARENTERAL  20 {dose}</t>
        </is>
      </c>
      <c r="D1216" t="inlineStr">
        <is>
          <t>کوواکسين   تزريقي پرنترال  20 {dose} - هيات امناي صرفه جويي ارزي در معالجه بيماران</t>
        </is>
      </c>
      <c r="E1216" t="inlineStr">
        <is>
          <t>تی‌تک و آریا</t>
        </is>
      </c>
    </row>
    <row r="1217">
      <c r="A1217" t="n">
        <v>1216</v>
      </c>
      <c r="B1217" t="n">
        <v>52888</v>
      </c>
      <c r="C1217" t="inlineStr">
        <is>
          <t>METFORMIN HYDROCHLORIDE TABLET ORAL 850 mg</t>
        </is>
      </c>
      <c r="E1217" t="inlineStr">
        <is>
          <t>فقط تی‌تک</t>
        </is>
      </c>
    </row>
    <row r="1218">
      <c r="A1218" t="n">
        <v>1217</v>
      </c>
      <c r="B1218" t="n">
        <v>52893</v>
      </c>
      <c r="C1218" t="inlineStr">
        <is>
          <t>CARFILZOMIB INJECTION, POWDER, FOR SOLUTION PARENTERAL 30 mg</t>
        </is>
      </c>
      <c r="D1218" t="inlineStr">
        <is>
          <t>کيپروليس   پودر براي تهيه محلول تزريقي پرنترال 30 mg  mg - بازرگاني سها کيش</t>
        </is>
      </c>
      <c r="E1218" t="inlineStr">
        <is>
          <t>تی‌تک و آریا</t>
        </is>
      </c>
    </row>
    <row r="1219">
      <c r="A1219" t="n">
        <v>1218</v>
      </c>
      <c r="B1219" t="n">
        <v>52895</v>
      </c>
      <c r="C1219" t="inlineStr">
        <is>
          <t>COVID-19 VACCINE, RECOMBINANT (Protein Subunit) INJECTION, EMULSION INTRAMUSCULAR 25 ug/0.5mL 16 {dose}</t>
        </is>
      </c>
      <c r="D1219" t="inlineStr">
        <is>
          <t>اسپايکوژن   امولسيون تزريقي عضلاني 25 ug/0.5mL 16 {dose} - تحقيقاتي وتوليدي سينا ژن</t>
        </is>
      </c>
      <c r="E1219" t="inlineStr">
        <is>
          <t>تی‌تک و آریا</t>
        </is>
      </c>
    </row>
    <row r="1220">
      <c r="A1220" t="n">
        <v>1219</v>
      </c>
      <c r="B1220" t="n">
        <v>52896</v>
      </c>
      <c r="C1220" t="inlineStr">
        <is>
          <t>AMINO ACID 10% (3) INJECTION, SOLUTION INTRAVENOUS 5.8 mg/12 mg/16.925 mg/2 mg/3.5 mg/8.2 mg/3 mg/8.7 mg/8.2 mg/9.8 mg/6.2 mg/0.4 mg/5.305 mg/3 mg/7.6 mg/0.6 mg/3.155 mg/2.01 mg/1mL 250 mL</t>
        </is>
      </c>
      <c r="D1220" t="inlineStr">
        <is>
          <t>نفروتکت 10%   محلول تزريقي داخل وريدي 5.8 mg/12 mg/16.925 mg/2 mg/3.5 mg/8.2 mg/3 mg/8.7 mg/8.2 mg/9.8 mg/6.2 mg/0.4 mg/5.305 mg/3 mg/7.6 mg/0.6 mg/3.155 mg/2.01 mg/1mL 250 mL - درمان ياب دارو</t>
        </is>
      </c>
      <c r="E1220" t="inlineStr">
        <is>
          <t>تی‌تک و آریا</t>
        </is>
      </c>
    </row>
    <row r="1221">
      <c r="A1221" t="n">
        <v>1220</v>
      </c>
      <c r="B1221" t="n">
        <v>52897</v>
      </c>
      <c r="C1221" t="inlineStr">
        <is>
          <t>AMINO ACID 10% (3) INJECTION, SOLUTION INTRAVENOUS 5.8 mg/12 mg/16.925 mg/2 mg/3.5 mg/8.2 mg/3 mg/8.7 mg/8.2 mg/9.8 mg/6.2 mg/0.4 mg/5.305 mg/3 mg/7.6 mg/0.6 mg/3.155 mg/2.01 mg/1mL 500 mL</t>
        </is>
      </c>
      <c r="D1221" t="inlineStr">
        <is>
          <t>نفروتکت 10%   محلول تزريقي داخل وريدي 5.8 mg/12 mg/16.925 mg/2 mg/3.5 mg/8.2 mg/3 mg/8.7 mg/8.2 mg/9.8 mg/6.2 mg/0.4 mg/5.305 mg/3 mg/7.6 mg/0.6 mg/3.155 mg/2.01 mg/1mL 500 mL - درمان ياب دارو</t>
        </is>
      </c>
      <c r="E1221" t="inlineStr">
        <is>
          <t>تی‌تک و آریا</t>
        </is>
      </c>
    </row>
    <row r="1222">
      <c r="A1222" t="n">
        <v>1221</v>
      </c>
      <c r="B1222" t="n">
        <v>52898</v>
      </c>
      <c r="C1222" t="inlineStr">
        <is>
          <t>TRAMADOL HYDROCHLORIDE TABLET, EXTENDED RELEASE ORAL 300 mg</t>
        </is>
      </c>
      <c r="E1222" t="inlineStr">
        <is>
          <t>فقط تی‌تک</t>
        </is>
      </c>
    </row>
    <row r="1223">
      <c r="A1223" t="n">
        <v>1222</v>
      </c>
      <c r="B1223" t="n">
        <v>52900</v>
      </c>
      <c r="C1223" t="inlineStr">
        <is>
          <t>TRAMETINIB (AS DIMETHYL SULFOXIDE) TABLET ORAL 0.5 mg</t>
        </is>
      </c>
      <c r="D1223" t="inlineStr">
        <is>
          <t>تراستينيب   قرص خوراکي 0.5 mg - نو آوران دارويي کيميا</t>
        </is>
      </c>
      <c r="E1223" t="inlineStr">
        <is>
          <t>تی‌تک و آریا</t>
        </is>
      </c>
    </row>
    <row r="1224">
      <c r="A1224" t="n">
        <v>1223</v>
      </c>
      <c r="B1224" t="n">
        <v>52901</v>
      </c>
      <c r="C1224" t="inlineStr">
        <is>
          <t>COVID-19 VACCINE, WHOLE VIRION, INACTIVATED, VERO CELL-DERIVED INJECTION PARENTERAL  4 {dose}</t>
        </is>
      </c>
      <c r="D1224" t="inlineStr">
        <is>
          <t>فخراوک   تزريقي پرنترال  4 {dose} - دارو سازي ميلاد دارو نور</t>
        </is>
      </c>
      <c r="E1224" t="inlineStr">
        <is>
          <t>تی‌تک و آریا</t>
        </is>
      </c>
    </row>
    <row r="1225">
      <c r="A1225" t="n">
        <v>1224</v>
      </c>
      <c r="B1225" t="n">
        <v>52904</v>
      </c>
      <c r="C1225" t="inlineStr">
        <is>
          <t>ADULT COLD PREPARATIONS (7-10) TABLET ORAL 15 mg/2 mg/30 mg/325 mg</t>
        </is>
      </c>
      <c r="D1225" t="inlineStr">
        <is>
          <t>کوريزان روز و شب   قرص خوراکي 15 mg/2 mg/30 mg/325 mg - داروسازي دکتر عبيدي</t>
        </is>
      </c>
      <c r="E1225" t="inlineStr">
        <is>
          <t>تی‌تک و آریا</t>
        </is>
      </c>
    </row>
    <row r="1226">
      <c r="A1226" t="n">
        <v>1225</v>
      </c>
      <c r="B1226" t="n">
        <v>52905</v>
      </c>
      <c r="C1226" t="inlineStr">
        <is>
          <t>NATAMYCIN SOLUTION, DROPS OPHTHALMIC 5 % 5 mL</t>
        </is>
      </c>
      <c r="D1226" t="inlineStr">
        <is>
          <t>ناتادراپس   محلول، قطره چشمي 5 % 5 % - اطلس ژن</t>
        </is>
      </c>
      <c r="E1226" t="inlineStr">
        <is>
          <t>تی‌تک و آریا</t>
        </is>
      </c>
    </row>
    <row r="1227">
      <c r="A1227" t="n">
        <v>1226</v>
      </c>
      <c r="B1227" t="n">
        <v>52907</v>
      </c>
      <c r="C1227" t="inlineStr">
        <is>
          <t>PYRVINIUM SUSPENSION ORAL 50 mg/5mL 25 mL</t>
        </is>
      </c>
      <c r="D1227" t="inlineStr">
        <is>
          <t>پيرکون   سوسپانسيون خوراکي 50 mg/5mL 25 mg - پويش دارو گستر برتر فارس</t>
        </is>
      </c>
      <c r="E1227" t="inlineStr">
        <is>
          <t>تی‌تک و آریا</t>
        </is>
      </c>
    </row>
    <row r="1228">
      <c r="A1228" t="n">
        <v>1227</v>
      </c>
      <c r="B1228" t="n">
        <v>52909</v>
      </c>
      <c r="C1228" t="inlineStr">
        <is>
          <t>ARTIFICIAL TEARS (HYALURONATE SODIUM) SOLUTION, DROPS OPHTHALMIC 0.15 % 0.5 mL</t>
        </is>
      </c>
      <c r="D1228" t="inlineStr">
        <is>
          <t>آرتيپيک ادونسد   محلول، قطره چشمي 0.15 % 0.5 mL - فرآورده هاي تزريقي و دارويي ايران</t>
        </is>
      </c>
      <c r="E1228" t="inlineStr">
        <is>
          <t>تی‌تک و آریا</t>
        </is>
      </c>
    </row>
    <row r="1229">
      <c r="A1229" t="n">
        <v>1228</v>
      </c>
      <c r="B1229" t="n">
        <v>52910</v>
      </c>
      <c r="C1229" t="inlineStr">
        <is>
          <t>ARTIFICIAL TEARS (HYALURONATE SODIUM) SOLUTION, DROPS OPHTHALMIC 0.15 % 10 mL</t>
        </is>
      </c>
      <c r="E1229" t="inlineStr">
        <is>
          <t>فقط تی‌تک</t>
        </is>
      </c>
    </row>
    <row r="1230">
      <c r="A1230" t="n">
        <v>1229</v>
      </c>
      <c r="B1230" t="n">
        <v>52912</v>
      </c>
      <c r="C1230" t="inlineStr">
        <is>
          <t>LIPID INFUSION 20% (3) INJECTION, EMULSION INTRAVENOUS 80 mg/100 mg/20 mg/1mL 100 mL</t>
        </is>
      </c>
      <c r="D1230" t="inlineStr">
        <is>
          <t>ليپوپلاس 20%   امولسيون تزريقي داخل وريدي 80 mg/100 mg/20 mg/1mL 100 mL - نيکان فارمد</t>
        </is>
      </c>
      <c r="E1230" t="inlineStr">
        <is>
          <t>تی‌تک و آریا</t>
        </is>
      </c>
    </row>
    <row r="1231">
      <c r="A1231" t="n">
        <v>1230</v>
      </c>
      <c r="B1231" t="n">
        <v>52913</v>
      </c>
      <c r="C1231" t="inlineStr">
        <is>
          <t>LIPID INFUSION 20% (3) INJECTION, EMULSION INTRAVENOUS 80 mg/100 mg/20 mg/1mL 250 mL</t>
        </is>
      </c>
      <c r="D1231" t="inlineStr">
        <is>
          <t>ليپوپلاس 20%   امولسيون تزريقي داخل وريدي 80 mg/100 mg/20 mg/1mL 250 mL - نيکان فارمد</t>
        </is>
      </c>
      <c r="E1231" t="inlineStr">
        <is>
          <t>تی‌تک و آریا</t>
        </is>
      </c>
    </row>
    <row r="1232">
      <c r="A1232" t="n">
        <v>1231</v>
      </c>
      <c r="B1232" t="n">
        <v>52914</v>
      </c>
      <c r="C1232" t="inlineStr">
        <is>
          <t>LIPID INFUSION 20% (3) INJECTION, EMULSION INTRAVENOUS 80 mg/100 mg/20 mg/1mL 500 mL</t>
        </is>
      </c>
      <c r="D1232" t="inlineStr">
        <is>
          <t>ليپوپلاس 20%   امولسيون تزريقي داخل وريدي 80 mg/100 mg/20 mg/1mL 500 mL - نيکان فارمد</t>
        </is>
      </c>
      <c r="E1232" t="inlineStr">
        <is>
          <t>تی‌تک و آریا</t>
        </is>
      </c>
    </row>
    <row r="1233">
      <c r="A1233" t="n">
        <v>1232</v>
      </c>
      <c r="B1233" t="n">
        <v>52915</v>
      </c>
      <c r="C1233" t="inlineStr">
        <is>
          <t>COVID-19 VACCINE, RECOMBINANT (Protein Subunit) INJECTION, EMULSION INTRAMUSCULAR 10 ug/0.2mL 5 {dose}</t>
        </is>
      </c>
      <c r="D1233" t="inlineStr">
        <is>
          <t>رازيکووپارس   امولسيون تزريقي عضلاني 10 ug/0.2mL 5 {dose} - موسسه تحقيقات واکسن وسرم سازي رازي</t>
        </is>
      </c>
      <c r="E1233" t="inlineStr">
        <is>
          <t>تی‌تک و آریا</t>
        </is>
      </c>
    </row>
    <row r="1234">
      <c r="A1234" t="n">
        <v>1233</v>
      </c>
      <c r="B1234" t="n">
        <v>52919</v>
      </c>
      <c r="C1234" t="inlineStr">
        <is>
          <t>ABEMACICLIB TABLET ORAL 150 mg</t>
        </is>
      </c>
      <c r="D1234" t="inlineStr">
        <is>
          <t>ابماسيکليب   قرص خوراکي 150 mg - داروسازي سبحان انکولوژي</t>
        </is>
      </c>
      <c r="E1234" t="inlineStr">
        <is>
          <t>تی‌تک و آریا</t>
        </is>
      </c>
    </row>
    <row r="1235">
      <c r="A1235" t="n">
        <v>1234</v>
      </c>
      <c r="B1235" t="n">
        <v>52920</v>
      </c>
      <c r="C1235" t="inlineStr">
        <is>
          <t>RISDIPLAM POWDER, FOR SOLUTION ORAL 0.75 mg/1mL 80 mL</t>
        </is>
      </c>
      <c r="D1235" t="inlineStr">
        <is>
          <t>اورليژن   پودر براي تهيه محلول خوراکي 0.75 mg/1mL 80 mg - رونا ژن</t>
        </is>
      </c>
      <c r="E1235" t="inlineStr">
        <is>
          <t>تی‌تک و آریا</t>
        </is>
      </c>
    </row>
    <row r="1236">
      <c r="A1236" t="n">
        <v>1235</v>
      </c>
      <c r="B1236" t="n">
        <v>52922</v>
      </c>
      <c r="C1236" t="inlineStr">
        <is>
          <t>ACETAMINOPHEN / CODEINE PHOSPHATE TABLET ORAL 500 mg/8 mg</t>
        </is>
      </c>
      <c r="D1236" t="inlineStr">
        <is>
          <t>پاراستامول کدئين   قرص خوراکي 500 mg/8 mg - داروسازي فاران شيمي</t>
        </is>
      </c>
      <c r="E1236" t="inlineStr">
        <is>
          <t>تی‌تک و آریا</t>
        </is>
      </c>
    </row>
    <row r="1237">
      <c r="A1237" t="n">
        <v>1236</v>
      </c>
      <c r="B1237" t="n">
        <v>52923</v>
      </c>
      <c r="C1237" t="inlineStr">
        <is>
          <t>BRIGATINIB TABLET ORAL 90 mg</t>
        </is>
      </c>
      <c r="D1237" t="inlineStr">
        <is>
          <t>آلونبريگ   قرص خوراکي 90 mg - بازرگاني سها کيش</t>
        </is>
      </c>
      <c r="E1237" t="inlineStr">
        <is>
          <t>تی‌تک و آریا</t>
        </is>
      </c>
    </row>
    <row r="1238">
      <c r="A1238" t="n">
        <v>1237</v>
      </c>
      <c r="B1238" t="n">
        <v>52926</v>
      </c>
      <c r="C1238" t="inlineStr">
        <is>
          <t>COVID-19 VACCINE, RECOMBINANT (Protein Subunit) INJECTION, EMULSION INTRAMUSCULAR 25 ug/0.5mL 1 {dose}</t>
        </is>
      </c>
      <c r="D1238" t="inlineStr">
        <is>
          <t>اسپايکوژن   امولسيون تزريقي عضلاني 25 ug/0.5mL 1 {dose} - تحقيقاتي وتوليدي سينا ژن</t>
        </is>
      </c>
      <c r="E1238" t="inlineStr">
        <is>
          <t>تی‌تک و آریا</t>
        </is>
      </c>
    </row>
    <row r="1239">
      <c r="A1239" t="n">
        <v>1238</v>
      </c>
      <c r="B1239" t="n">
        <v>52927</v>
      </c>
      <c r="C1239" t="inlineStr">
        <is>
          <t>COVID-19 VACCINE, RECOMBINANT (Protein Subunit) INJECTION, EMULSION INTRAMUSCULAR 25 ug/0.5mL 4 {dose}</t>
        </is>
      </c>
      <c r="D1239" t="inlineStr">
        <is>
          <t>اسپايکوژن   امولسيون تزريقي عضلاني 25 ug/0.5mL 4 {dose} - تحقيقاتي وتوليدي سينا ژن</t>
        </is>
      </c>
      <c r="E1239" t="inlineStr">
        <is>
          <t>تی‌تک و آریا</t>
        </is>
      </c>
    </row>
    <row r="1240">
      <c r="A1240" t="n">
        <v>1239</v>
      </c>
      <c r="B1240" t="n">
        <v>52928</v>
      </c>
      <c r="C1240" t="inlineStr">
        <is>
          <t>LINEZOLID INJECTION, SOLUTION PARENTERAL 2 mg/1mL 100 mL</t>
        </is>
      </c>
      <c r="D1240" t="inlineStr">
        <is>
          <t>لينزوليد   محلول تزريقي پرنترال 2 mg/1mL 100 mg - روناک</t>
        </is>
      </c>
      <c r="E1240" t="inlineStr">
        <is>
          <t>تی‌تک و آریا</t>
        </is>
      </c>
    </row>
    <row r="1241">
      <c r="A1241" t="n">
        <v>1240</v>
      </c>
      <c r="B1241" t="n">
        <v>52929</v>
      </c>
      <c r="C1241" t="inlineStr">
        <is>
          <t>COVID-19 VACCINE, RECOMBINANT INJECTION, SUSPENSION INTRAMUSCULAR 80 ug/0.5mL 10 {dose}</t>
        </is>
      </c>
      <c r="D1241" t="inlineStr">
        <is>
          <t>نورا وکسين   سوسپانسيون تزريقي عضلاني 80 ug/0.5mL 10 mL - پلاسما درمان سرو سپيد</t>
        </is>
      </c>
      <c r="E1241" t="inlineStr">
        <is>
          <t>تی‌تک و آریا</t>
        </is>
      </c>
    </row>
    <row r="1242">
      <c r="A1242" t="n">
        <v>1241</v>
      </c>
      <c r="B1242" t="n">
        <v>52930</v>
      </c>
      <c r="C1242" t="inlineStr">
        <is>
          <t>ANAGRELIDE HYDROCHLORIDE CAPSULE ORAL 1 mg</t>
        </is>
      </c>
      <c r="D1242" t="inlineStr">
        <is>
          <t>آگريپلت   کپسول خوراکي 1 mg - پارس دارو</t>
        </is>
      </c>
      <c r="E1242" t="inlineStr">
        <is>
          <t>تی‌تک و آریا</t>
        </is>
      </c>
    </row>
    <row r="1243">
      <c r="A1243" t="n">
        <v>1242</v>
      </c>
      <c r="B1243" t="n">
        <v>52931</v>
      </c>
      <c r="C1243" t="inlineStr">
        <is>
          <t>SELUMETINIB (AS HYDROGEN SULFATE) CAPSULE ORAL 25 mg</t>
        </is>
      </c>
      <c r="D1243" t="inlineStr">
        <is>
          <t>ُکسل يوگو   کپسول خوراکي 25 mg  mg - مرز گستران فناوري آينده</t>
        </is>
      </c>
      <c r="E1243" t="inlineStr">
        <is>
          <t>تی‌تک و آریا</t>
        </is>
      </c>
    </row>
    <row r="1244">
      <c r="A1244" t="n">
        <v>1243</v>
      </c>
      <c r="B1244" t="n">
        <v>52935</v>
      </c>
      <c r="C1244" t="inlineStr">
        <is>
          <t>COVID-19 VACCINE, RECOMBINANT INJECTION, SUSPENSION INTRAMUSCULAR 80 ug/0.5mL 1 {dose}</t>
        </is>
      </c>
      <c r="E1244" t="inlineStr">
        <is>
          <t>فقط تی‌تک</t>
        </is>
      </c>
    </row>
    <row r="1245">
      <c r="A1245" t="n">
        <v>1244</v>
      </c>
      <c r="B1245" t="n">
        <v>52937</v>
      </c>
      <c r="C1245" t="inlineStr">
        <is>
          <t>BARICITINIB TABLET ORAL 1 mg</t>
        </is>
      </c>
      <c r="D1245" t="inlineStr">
        <is>
          <t>باريسيتينيب   قرص خوراکي 1 mg - داروسازي سبحان انکولوژي</t>
        </is>
      </c>
      <c r="E1245" t="inlineStr">
        <is>
          <t>تی‌تک و آریا</t>
        </is>
      </c>
    </row>
    <row r="1246">
      <c r="A1246" t="n">
        <v>1245</v>
      </c>
      <c r="B1246" t="n">
        <v>52939</v>
      </c>
      <c r="C1246" t="inlineStr">
        <is>
          <t>DEXTRAN / SODIUM CHLORIDE INJECTION PARENTERAL 6 %/0.9 % 2 mL</t>
        </is>
      </c>
      <c r="D1246" t="inlineStr">
        <is>
          <t>دکستران   تزريقي پرنترال 6 %/0.9 % 2 mL - يارا طب خاورميانه</t>
        </is>
      </c>
      <c r="E1246" t="inlineStr">
        <is>
          <t>تی‌تک و آریا</t>
        </is>
      </c>
    </row>
    <row r="1247">
      <c r="A1247" t="n">
        <v>1246</v>
      </c>
      <c r="B1247" t="n">
        <v>52942</v>
      </c>
      <c r="C1247" t="inlineStr">
        <is>
          <t>MOLNUPIRAVIR CAPSULE ORAL 200 mg</t>
        </is>
      </c>
      <c r="D1247" t="inlineStr">
        <is>
          <t>مولنوپيراوير   کپسول خوراکي 200 mg - اکتوورکو</t>
        </is>
      </c>
      <c r="E1247" t="inlineStr">
        <is>
          <t>تی‌تک و آریا</t>
        </is>
      </c>
    </row>
    <row r="1248">
      <c r="A1248" t="n">
        <v>1247</v>
      </c>
      <c r="B1248" t="n">
        <v>52944</v>
      </c>
      <c r="C1248" t="inlineStr">
        <is>
          <t>RIPASUDIL SOLUTION, DROPS OPHTHALMIC 0.4 % 5 mL</t>
        </is>
      </c>
      <c r="D1248" t="inlineStr">
        <is>
          <t>ريپتک   محلول، قطره چشمي 0.4 % 5 mL - بازرگاني سها کيش</t>
        </is>
      </c>
      <c r="E1248" t="inlineStr">
        <is>
          <t>تی‌تک و آریا</t>
        </is>
      </c>
    </row>
    <row r="1249">
      <c r="A1249" t="n">
        <v>1248</v>
      </c>
      <c r="B1249" t="n">
        <v>52945</v>
      </c>
      <c r="C1249" t="inlineStr">
        <is>
          <t>IRBESARTAN TABLET ORAL 150 mg</t>
        </is>
      </c>
      <c r="D1249" t="inlineStr">
        <is>
          <t>ايربزارتان هگزال   قرص خوراکي 150 mg - بهستان دارو</t>
        </is>
      </c>
      <c r="E1249" t="inlineStr">
        <is>
          <t>تی‌تک و آریا</t>
        </is>
      </c>
    </row>
    <row r="1250">
      <c r="A1250" t="n">
        <v>1249</v>
      </c>
      <c r="B1250" t="n">
        <v>52948</v>
      </c>
      <c r="C1250" t="inlineStr">
        <is>
          <t>EMICIZUMAB INJECTION, SOLUTION PARENTERAL 150 mg/1mL 0.4 mL</t>
        </is>
      </c>
      <c r="D1250" t="inlineStr">
        <is>
          <t>همليبرا   محلول تزريقي پرنترال 150 mg/1mL 0.4 mg - بهستان دارو</t>
        </is>
      </c>
      <c r="E1250" t="inlineStr">
        <is>
          <t>تی‌تک و آریا</t>
        </is>
      </c>
    </row>
    <row r="1251">
      <c r="A1251" t="n">
        <v>1250</v>
      </c>
      <c r="B1251" t="n">
        <v>52950</v>
      </c>
      <c r="C1251" t="inlineStr">
        <is>
          <t>EMICIZUMAB INJECTION, SOLUTION PARENTERAL 150 mg/1mL 1 mL</t>
        </is>
      </c>
      <c r="D1251" t="inlineStr">
        <is>
          <t>همليبرا   محلول تزريقي پرنترال 150 mg/1mL 1 mg - بهستان دارو</t>
        </is>
      </c>
      <c r="E1251" t="inlineStr">
        <is>
          <t>تی‌تک و آریا</t>
        </is>
      </c>
    </row>
    <row r="1252">
      <c r="A1252" t="n">
        <v>1251</v>
      </c>
      <c r="B1252" t="n">
        <v>52951</v>
      </c>
      <c r="C1252" t="inlineStr">
        <is>
          <t>CABOZANTINIB (AS (S)-MALATE) TABLET ORAL 20 mg</t>
        </is>
      </c>
      <c r="D1252" t="inlineStr">
        <is>
          <t>زانکر   قرص خوراکي 20 mg - شيميائي و داروئي باران</t>
        </is>
      </c>
      <c r="E1252" t="inlineStr">
        <is>
          <t>تی‌تک و آریا</t>
        </is>
      </c>
    </row>
    <row r="1253">
      <c r="A1253" t="n">
        <v>1252</v>
      </c>
      <c r="B1253" t="n">
        <v>52956</v>
      </c>
      <c r="C1253" t="inlineStr">
        <is>
          <t>POLIOMYELITIS VACCINE (NOVEL TYPE 2) SUSPENSION ORAL 20 {dose}</t>
        </is>
      </c>
      <c r="D1253" t="inlineStr">
        <is>
          <t>واکسن دو ظرفيتي خوراکي فلج اطفال نوع 1 و 3   سوسپانسيون خوراکي 20 {dose}  {dose} - دارو درمان آرنگ</t>
        </is>
      </c>
      <c r="E1253" t="inlineStr">
        <is>
          <t>تی‌تک و آریا</t>
        </is>
      </c>
    </row>
    <row r="1254">
      <c r="A1254" t="n">
        <v>1253</v>
      </c>
      <c r="B1254" t="n">
        <v>52957</v>
      </c>
      <c r="C1254" t="inlineStr">
        <is>
          <t>ETHOSUXIMIDE SYRUP ORAL 250 mg/5mL 100 mL</t>
        </is>
      </c>
      <c r="D1254" t="inlineStr">
        <is>
          <t>ابسنز   شربت خوراکي 250 mg/5mL 100 mg - بازرگاني سها کيش</t>
        </is>
      </c>
      <c r="E1254" t="inlineStr">
        <is>
          <t>تی‌تک و آریا</t>
        </is>
      </c>
    </row>
    <row r="1255">
      <c r="A1255" t="n">
        <v>1254</v>
      </c>
      <c r="B1255" t="n">
        <v>52962</v>
      </c>
      <c r="C1255" t="inlineStr">
        <is>
          <t>BLOOD PLASMA, FRESH FROZEN INJECTION PARENTERAL</t>
        </is>
      </c>
      <c r="D1255" t="inlineStr">
        <is>
          <t>پلاسماي تازه منجمد شده   تزريقي پرنترال   mL - پلاسما فارمد سرو سپيد</t>
        </is>
      </c>
      <c r="E1255" t="inlineStr">
        <is>
          <t>تی‌تک و آریا</t>
        </is>
      </c>
    </row>
    <row r="1256">
      <c r="A1256" t="n">
        <v>1255</v>
      </c>
      <c r="B1256" t="n">
        <v>52964</v>
      </c>
      <c r="C1256" t="inlineStr">
        <is>
          <t>THROMBOCYTES (PLATELET, CONCENTRATED) INJECTION PARENTERAL</t>
        </is>
      </c>
      <c r="D1256" t="inlineStr">
        <is>
          <t>پلاکت کنستانتره   تزريقي پرنترال   mL - سازمان انتقال خون ايران</t>
        </is>
      </c>
      <c r="E1256" t="inlineStr">
        <is>
          <t>تی‌تک و آریا</t>
        </is>
      </c>
    </row>
    <row r="1257">
      <c r="A1257" t="n">
        <v>1256</v>
      </c>
      <c r="B1257" t="n">
        <v>52965</v>
      </c>
      <c r="C1257" t="inlineStr">
        <is>
          <t>THROMBOCYTES (PLATELET, IRRADIATED) INJECTION PARENTERAL</t>
        </is>
      </c>
      <c r="D1257" t="inlineStr">
        <is>
          <t>پلاکت اشعه ديده   تزريقي پرنترال   mL - سازمان انتقال خون ايران</t>
        </is>
      </c>
      <c r="E1257" t="inlineStr">
        <is>
          <t>تی‌تک و آریا</t>
        </is>
      </c>
    </row>
    <row r="1258">
      <c r="A1258" t="n">
        <v>1257</v>
      </c>
      <c r="B1258" t="n">
        <v>52966</v>
      </c>
      <c r="C1258" t="inlineStr">
        <is>
          <t>THROMBOCYTES (PLATELET, PHRESIS) INJECTION PARENTERAL</t>
        </is>
      </c>
      <c r="D1258" t="inlineStr">
        <is>
          <t>پلاکت فرزيس   تزريقي پرنترال   mL - سازمان انتقال خون ايران</t>
        </is>
      </c>
      <c r="E1258" t="inlineStr">
        <is>
          <t>تی‌تک و آریا</t>
        </is>
      </c>
    </row>
    <row r="1259">
      <c r="A1259" t="n">
        <v>1258</v>
      </c>
      <c r="B1259" t="n">
        <v>52967</v>
      </c>
      <c r="C1259" t="inlineStr">
        <is>
          <t>THROMBOCYTES (PLATELET, PHRESIS AND IRRADIATED) INJECTION PARENTERAL</t>
        </is>
      </c>
      <c r="D1259" t="inlineStr">
        <is>
          <t>پلاکت فرزيس اشعه ديده   تزريقي پرنترال - سازمان انتقال خون ايران</t>
        </is>
      </c>
      <c r="E1259" t="inlineStr">
        <is>
          <t>تی‌تک و آریا</t>
        </is>
      </c>
    </row>
    <row r="1260">
      <c r="A1260" t="n">
        <v>1259</v>
      </c>
      <c r="B1260" t="n">
        <v>52968</v>
      </c>
      <c r="C1260" t="inlineStr">
        <is>
          <t>BETAMETHASONE (AS VALERATE) / NEOMYCIN SULFATE OINTMENT TOPICAL 0.1 %/0.5 % 30 g</t>
        </is>
      </c>
      <c r="D1260" t="inlineStr">
        <is>
          <t>بتامتازون- ان   پماد موضعي 0.1 %/0.5 % 30 g - زاگرس بهداشت درمان دارو آفرند</t>
        </is>
      </c>
      <c r="E1260" t="inlineStr">
        <is>
          <t>تی‌تک و آریا</t>
        </is>
      </c>
    </row>
    <row r="1261">
      <c r="A1261" t="n">
        <v>1260</v>
      </c>
      <c r="B1261" t="n">
        <v>52972</v>
      </c>
      <c r="C1261" t="inlineStr">
        <is>
          <t>ERYTHROCYTES (RED BLOOD CELL) INJECTION PARENTERAL</t>
        </is>
      </c>
      <c r="D1261" t="inlineStr">
        <is>
          <t>گلبول قرمز   تزريقي پرنترال   mL - سازمان انتقال خون ايران</t>
        </is>
      </c>
      <c r="E1261" t="inlineStr">
        <is>
          <t>تی‌تک و آریا</t>
        </is>
      </c>
    </row>
    <row r="1262">
      <c r="A1262" t="n">
        <v>1261</v>
      </c>
      <c r="B1262" t="n">
        <v>52976</v>
      </c>
      <c r="C1262" t="inlineStr">
        <is>
          <t>ERYTHROCYTES (RED BLOOD CELL, IRRADIATED) INJECTION PARENTERAL</t>
        </is>
      </c>
      <c r="D1262" t="inlineStr">
        <is>
          <t>گلبول قرمز اشعه ديده   تزريقي پرنترال   mL - سازمان انتقال خون ايران</t>
        </is>
      </c>
      <c r="E1262" t="inlineStr">
        <is>
          <t>تی‌تک و آریا</t>
        </is>
      </c>
    </row>
    <row r="1263">
      <c r="A1263" t="n">
        <v>1262</v>
      </c>
      <c r="B1263" t="n">
        <v>52977</v>
      </c>
      <c r="C1263" t="inlineStr">
        <is>
          <t>ERYTHROCYTES (RED BLOOD CELL, WASHED AND IRRADIATED) INJECTION PARENTERAL  270 mL</t>
        </is>
      </c>
      <c r="D1263" t="inlineStr">
        <is>
          <t>گلبول قرمز شسته شده اشعه ديده   تزريقي پرنترال  270 mL - سازمان انتقال خون ايران</t>
        </is>
      </c>
      <c r="E1263" t="inlineStr">
        <is>
          <t>تی‌تک و آریا</t>
        </is>
      </c>
    </row>
    <row r="1264">
      <c r="A1264" t="n">
        <v>1263</v>
      </c>
      <c r="B1264" t="n">
        <v>52979</v>
      </c>
      <c r="C1264" t="inlineStr">
        <is>
          <t>TETRACYCLINE HYDROCHLORIDE OINTMENT TOPICAL 3 % 30 g</t>
        </is>
      </c>
      <c r="D1264" t="inlineStr">
        <is>
          <t>تتراسايکلين   پماد موضعي 3 % 30 g - زاگرس بهداشت درمان دارو آفرند</t>
        </is>
      </c>
      <c r="E1264" t="inlineStr">
        <is>
          <t>تی‌تک و آریا</t>
        </is>
      </c>
    </row>
    <row r="1265">
      <c r="A1265" t="n">
        <v>1264</v>
      </c>
      <c r="B1265" t="n">
        <v>52980</v>
      </c>
      <c r="C1265" t="inlineStr">
        <is>
          <t>TRIAMCINOLONE NN OINTMENT TOPICAL 1 mg/2.5 mg/100000 [iU]/1g 30 g</t>
        </is>
      </c>
      <c r="D1265" t="inlineStr">
        <is>
          <t>تريامسينولون ان ان   پماد موضعي 1 mg/2.5 mg/100000 [iU]/1g 30 g - زاگرس بهداشت درمان دارو آفرند</t>
        </is>
      </c>
      <c r="E1265" t="inlineStr">
        <is>
          <t>تی‌تک و آریا</t>
        </is>
      </c>
    </row>
    <row r="1266">
      <c r="A1266" t="n">
        <v>1265</v>
      </c>
      <c r="B1266" t="n">
        <v>52981</v>
      </c>
      <c r="C1266" t="inlineStr">
        <is>
          <t>ERYTHROCYTES (RED BLOOD CELL, LEUCOCYTE REDUCED) INJECTION PARENTERAL</t>
        </is>
      </c>
      <c r="D1266" t="inlineStr">
        <is>
          <t>گلبول قرمز کم لکوسيت   تزريقي پرنترال   mL - سازمان انتقال خون ايران</t>
        </is>
      </c>
      <c r="E1266" t="inlineStr">
        <is>
          <t>تی‌تک و آریا</t>
        </is>
      </c>
    </row>
    <row r="1267">
      <c r="A1267" t="n">
        <v>1266</v>
      </c>
      <c r="B1267" t="n">
        <v>52982</v>
      </c>
      <c r="C1267" t="inlineStr">
        <is>
          <t>ERYTHROCYTES (RED BLOOD CELL, LEUCOCYTE REDUCED AND WASHED) INJECTION PARENTERAL  270 mL</t>
        </is>
      </c>
      <c r="D1267" t="inlineStr">
        <is>
          <t>گلبول قرمز کم لکوسيت شسته شده   تزريقي پرنترال  270 mL - سازمان انتقال خون ايران</t>
        </is>
      </c>
      <c r="E1267" t="inlineStr">
        <is>
          <t>تی‌تک و آریا</t>
        </is>
      </c>
    </row>
    <row r="1268">
      <c r="A1268" t="n">
        <v>1267</v>
      </c>
      <c r="B1268" t="n">
        <v>52983</v>
      </c>
      <c r="C1268" t="inlineStr">
        <is>
          <t>BLOOD AND BLOOD FORMING ORGANS (WHOLE BLOOD) INJECTION PARENTERAL</t>
        </is>
      </c>
      <c r="D1268" t="inlineStr">
        <is>
          <t>خون کامل   تزريقي پرنترال   mL - سازمان انتقال خون ايران</t>
        </is>
      </c>
      <c r="E1268" t="inlineStr">
        <is>
          <t>تی‌تک و آریا</t>
        </is>
      </c>
    </row>
    <row r="1269">
      <c r="A1269" t="n">
        <v>1268</v>
      </c>
      <c r="B1269" t="n">
        <v>52984</v>
      </c>
      <c r="C1269" t="inlineStr">
        <is>
          <t>IBUPROFEN SUPPOSITORY RECTAL 60 mg</t>
        </is>
      </c>
      <c r="E1269" t="inlineStr">
        <is>
          <t>فقط تی‌تک</t>
        </is>
      </c>
    </row>
    <row r="1270">
      <c r="A1270" t="n">
        <v>1269</v>
      </c>
      <c r="B1270" t="n">
        <v>52988</v>
      </c>
      <c r="C1270" t="inlineStr">
        <is>
          <t>BETAMETHASONE (AS VALERATE) CREAM TOPICAL 0.1 % 500 g</t>
        </is>
      </c>
      <c r="D1270" t="inlineStr">
        <is>
          <t>بتامتازون-ناژو   کرم موضعي 0.1 % 500 g - ايران ناژو</t>
        </is>
      </c>
      <c r="E1270" t="inlineStr">
        <is>
          <t>تی‌تک و آریا</t>
        </is>
      </c>
    </row>
    <row r="1271">
      <c r="A1271" t="n">
        <v>1270</v>
      </c>
      <c r="B1271" t="n">
        <v>52996</v>
      </c>
      <c r="C1271" t="inlineStr">
        <is>
          <t>ROTAVIRUS VACCINE, PENTAVALENT, LIVE POWDER, FOR SUSPENSION ORAL  2.5 mL</t>
        </is>
      </c>
      <c r="D1271" t="inlineStr">
        <is>
          <t>روتاسيل   پودر براي تهيه سوسپانسيون   خوراکي  2.5 {dose} - کي بي سي</t>
        </is>
      </c>
      <c r="E1271" t="inlineStr">
        <is>
          <t>تی‌تک و آریا</t>
        </is>
      </c>
    </row>
    <row r="1272">
      <c r="A1272" t="n">
        <v>1271</v>
      </c>
      <c r="B1272" t="n">
        <v>52997</v>
      </c>
      <c r="C1272" t="inlineStr">
        <is>
          <t>ROTAVIRUS VACCINE, PENTAVALENT, LIVE POWDER, FOR SUSPENSION ORAL  5 mL</t>
        </is>
      </c>
      <c r="D1272" t="inlineStr">
        <is>
          <t>روتاسيل   پودر براي تهيه سوسپانسيون   خوراکي  5 {dose} - کي بي سي</t>
        </is>
      </c>
      <c r="E1272" t="inlineStr">
        <is>
          <t>تی‌تک و آریا</t>
        </is>
      </c>
    </row>
    <row r="1273">
      <c r="A1273" t="n">
        <v>1272</v>
      </c>
      <c r="B1273" t="n">
        <v>52998</v>
      </c>
      <c r="C1273" t="inlineStr">
        <is>
          <t>NUSINERSEN (AS SODIUM) INJECTION, SOLUTION PARENTERAL 2.4 mg/1mL 5 mL</t>
        </is>
      </c>
      <c r="D1273" t="inlineStr">
        <is>
          <t>اسپينرازا   محلول تزريقي پرنترال 2.4 mg/1mL 5 mg - بازرگاني سها کيش</t>
        </is>
      </c>
      <c r="E1273" t="inlineStr">
        <is>
          <t>تی‌تک و آریا</t>
        </is>
      </c>
    </row>
    <row r="1274">
      <c r="A1274" t="n">
        <v>1273</v>
      </c>
      <c r="B1274" t="n">
        <v>53002</v>
      </c>
      <c r="C1274" t="inlineStr">
        <is>
          <t>POMALIDOMIDE CAPSULE ORAL 3 mg</t>
        </is>
      </c>
      <c r="D1274" t="inlineStr">
        <is>
          <t>پماويد   کپسول خوراکي 3 mg - نانو فناوران داروئي الوند</t>
        </is>
      </c>
      <c r="E1274" t="inlineStr">
        <is>
          <t>تی‌تک و آریا</t>
        </is>
      </c>
    </row>
    <row r="1275">
      <c r="A1275" t="n">
        <v>1274</v>
      </c>
      <c r="B1275" t="n">
        <v>53003</v>
      </c>
      <c r="C1275" t="inlineStr">
        <is>
          <t>POMALIDOMIDE CAPSULE ORAL 2 mg</t>
        </is>
      </c>
      <c r="D1275" t="inlineStr">
        <is>
          <t>پماويد   کپسول خوراکي 2 mg - نانو فناوران داروئي الوند</t>
        </is>
      </c>
      <c r="E1275" t="inlineStr">
        <is>
          <t>تی‌تک و آریا</t>
        </is>
      </c>
    </row>
    <row r="1276">
      <c r="A1276" t="n">
        <v>1275</v>
      </c>
      <c r="B1276" t="n">
        <v>53004</v>
      </c>
      <c r="C1276" t="inlineStr">
        <is>
          <t>POMALIDOMIDE CAPSULE ORAL 1 mg</t>
        </is>
      </c>
      <c r="D1276" t="inlineStr">
        <is>
          <t>پماويد   کپسول خوراکي 1 mg - نانو فناوران داروئي الوند</t>
        </is>
      </c>
      <c r="E1276" t="inlineStr">
        <is>
          <t>تی‌تک و آریا</t>
        </is>
      </c>
    </row>
    <row r="1277">
      <c r="A1277" t="n">
        <v>1276</v>
      </c>
      <c r="B1277" t="n">
        <v>53010</v>
      </c>
      <c r="C1277" t="inlineStr">
        <is>
          <t>BUPIVACAINE HYDROCHLORIDE INJECTION PARENTERAL 0.5 % 4 mL</t>
        </is>
      </c>
      <c r="D1277" t="inlineStr">
        <is>
          <t>بوپيواکائين   تزريقي پرنترال 0.5 % 4 mg - ان بي اس کيش</t>
        </is>
      </c>
      <c r="E1277" t="inlineStr">
        <is>
          <t>تی‌تک و آریا</t>
        </is>
      </c>
    </row>
    <row r="1278">
      <c r="A1278" t="n">
        <v>1277</v>
      </c>
      <c r="B1278" t="n">
        <v>53017</v>
      </c>
      <c r="C1278" t="inlineStr">
        <is>
          <t>INOTUZUMAB OZOGAMICIN INJECTION, POWDER, LYOPHILIZED, FOR SOLUTION PARENTERAL 1 mg</t>
        </is>
      </c>
      <c r="D1278" t="inlineStr">
        <is>
          <t>اينونزا   پودر لئوفيليزه براي تهيه محلول تزريقي پرنترال 1 mg  mg - يارا طب خاورميانه</t>
        </is>
      </c>
      <c r="E1278" t="inlineStr">
        <is>
          <t>تی‌تک و آریا</t>
        </is>
      </c>
    </row>
    <row r="1279">
      <c r="A1279" t="n">
        <v>1278</v>
      </c>
      <c r="B1279" t="n">
        <v>53020</v>
      </c>
      <c r="C1279" t="inlineStr">
        <is>
          <t>INFLUENZA VACCINE, RECOMBINANT, TETRAVALENT INJECTION PARENTERAL 1 {dose} 0.5 mL</t>
        </is>
      </c>
      <c r="D1279" t="inlineStr">
        <is>
          <t>فلوگارد   تزريقي پرنترال 1 {dose} 0.5 mL - آريوژن فارمد</t>
        </is>
      </c>
      <c r="E1279" t="inlineStr">
        <is>
          <t>تی‌تک و آریا</t>
        </is>
      </c>
    </row>
    <row r="1280">
      <c r="A1280" t="n">
        <v>1279</v>
      </c>
      <c r="B1280" t="n">
        <v>53021</v>
      </c>
      <c r="C1280" t="inlineStr">
        <is>
          <t>RIFAMPICIN SUSPENSION ORAL 20 mg/1mL 200 mL</t>
        </is>
      </c>
      <c r="D1280" t="inlineStr">
        <is>
          <t>آرسين   سوسپانسيون خوراکي 20 mg/1mL 200 mg - بازرگاني سها کيش</t>
        </is>
      </c>
      <c r="E1280" t="inlineStr">
        <is>
          <t>تی‌تک و آریا</t>
        </is>
      </c>
    </row>
    <row r="1281">
      <c r="A1281" t="n">
        <v>1280</v>
      </c>
      <c r="B1281" t="n">
        <v>53022</v>
      </c>
      <c r="C1281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1206 mL</t>
        </is>
      </c>
      <c r="D1281" t="inlineStr">
        <is>
          <t>اسموف کابيون پريفرال   امولسيون تزريقي داخل وريدي 5 mg/7.4 mg/9.3 mg/4.3 mg/4.4 mg/6.2 mg/12 mg/3 mg/14 mg/11 mg/11.2 mg/6.5 mg/5.1 mg/2 mg/0.4 mg/1 mg/143 mg/0.74 mg/2.47 mg/4.48 mg/5.62 mg/4.18 mg/2</t>
        </is>
      </c>
      <c r="E1281" t="inlineStr">
        <is>
          <t>تی‌تک و آریا</t>
        </is>
      </c>
    </row>
    <row r="1282">
      <c r="A1282" t="n">
        <v>1281</v>
      </c>
      <c r="B1282" t="n">
        <v>53023</v>
      </c>
      <c r="C1282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1448 mL</t>
        </is>
      </c>
      <c r="D1282" t="inlineStr">
        <is>
          <t>اسموف کابيون پريفرال   امولسيون تزريقي داخل وريدي 5 mg/7.4 mg/9.3 mg/4.3 mg/4.4 mg/6.2 mg/12 mg/3 mg/14 mg/11 mg/11.2 mg/6.5 mg/5.1 mg/2 mg/0.4 mg/1 mg/143 mg/0.74 mg/2.47 mg/4.48 mg/5.62 mg/4.18 mg/2</t>
        </is>
      </c>
      <c r="E1282" t="inlineStr">
        <is>
          <t>تی‌تک و آریا</t>
        </is>
      </c>
    </row>
    <row r="1283">
      <c r="A1283" t="n">
        <v>1282</v>
      </c>
      <c r="B1283" t="n">
        <v>53024</v>
      </c>
      <c r="C1283" t="inlineStr">
        <is>
          <t>TOTAL PARENTRAL NUTRITION INJECTION, EMULSION INTRAVENOUS 5 mg/7.4 mg/9.3 mg/4.3 mg/4.4 mg/6.2 mg/12 mg/3 mg/14 mg/11 mg/11.2 mg/6.5 mg/5.1 mg/2 mg/0.4 mg/1 mg/143 mg/0.74 mg/2.47 mg/4.48 mg/5.62 mg/4.18 mg/23 ug/60 mg/60 mg/30 mg/50 mg/1mL 1904 mL</t>
        </is>
      </c>
      <c r="D1283" t="inlineStr">
        <is>
          <t>اسموف کابيون پريفرال   امولسيون تزريقي داخل وريدي 5 mg/7.4 mg/9.3 mg/4.3 mg/4.4 mg/6.2 mg/12 mg/3 mg/14 mg/11 mg/11.2 mg/6.5 mg/5.1 mg/2 mg/0.4 mg/1 mg/143 mg/0.74 mg/2.47 mg/4.48 mg/5.62 mg/4.18 mg/2</t>
        </is>
      </c>
      <c r="E1283" t="inlineStr">
        <is>
          <t>تی‌تک و آریا</t>
        </is>
      </c>
    </row>
    <row r="1284">
      <c r="A1284" t="n">
        <v>1283</v>
      </c>
      <c r="B1284" t="n">
        <v>53026</v>
      </c>
      <c r="C1284" t="inlineStr">
        <is>
          <t>PAPAVERINE HYDROCHLORIDE INJECTION PARENTERAL 20 mg/1mL 2 mL</t>
        </is>
      </c>
      <c r="D1284" t="inlineStr">
        <is>
          <t>پاپاورين هيدروکلرايد استروپ   تزريقي پرنترال 20 mg/1mL 2 mg - بازرگاني سها کيش</t>
        </is>
      </c>
      <c r="E1284" t="inlineStr">
        <is>
          <t>تی‌تک و آریا</t>
        </is>
      </c>
    </row>
    <row r="1285">
      <c r="A1285" t="n">
        <v>1284</v>
      </c>
      <c r="B1285" t="n">
        <v>53027</v>
      </c>
      <c r="C1285" t="inlineStr">
        <is>
          <t>DEXTROMETHORPHAN / GUAIFENESIN SYRUP ORAL 5 mg/100 mg/5mL 60 mL</t>
        </is>
      </c>
      <c r="E1285" t="inlineStr">
        <is>
          <t>فقط تی‌تک</t>
        </is>
      </c>
    </row>
    <row r="1286">
      <c r="A1286" t="n">
        <v>1285</v>
      </c>
      <c r="B1286" t="n">
        <v>53028</v>
      </c>
      <c r="C1286" t="inlineStr">
        <is>
          <t>CHLOROQUINE (AS PHOSPHATE) SUSPENSION ORAL 50 mg/5mL 60 mL</t>
        </is>
      </c>
      <c r="D1286" t="inlineStr">
        <is>
          <t>لارياگو   سوسپانسيون خوراکي 50 mg/5mL 60 mL - اريکه تجارت ويستا</t>
        </is>
      </c>
      <c r="E1286" t="inlineStr">
        <is>
          <t>تی‌تک و آریا</t>
        </is>
      </c>
    </row>
    <row r="1287">
      <c r="A1287" t="n">
        <v>1286</v>
      </c>
      <c r="B1287" t="n">
        <v>53029</v>
      </c>
      <c r="C1287" t="inlineStr">
        <is>
          <t>STIRIPENTOL POWDER, FOR SUSPENSION ORAL 250 mg</t>
        </is>
      </c>
      <c r="D1287" t="inlineStr">
        <is>
          <t>دياکوميت   پودر براي تهيه سوسپانسيون   خوراکي 250 mg  mg - بازرگاني سها کيش</t>
        </is>
      </c>
      <c r="E1287" t="inlineStr">
        <is>
          <t>تی‌تک و آریا</t>
        </is>
      </c>
    </row>
    <row r="1288">
      <c r="A1288" t="n">
        <v>1287</v>
      </c>
      <c r="B1288" t="n">
        <v>53030</v>
      </c>
      <c r="C1288" t="inlineStr">
        <is>
          <t>DABRAFENIB (AS MESILATE) CAPSULE ORAL 75 mg</t>
        </is>
      </c>
      <c r="D1288" t="inlineStr">
        <is>
          <t>تافينلار   کپسول خوراکي 75 mg - آسمان داروي پارس</t>
        </is>
      </c>
      <c r="E1288" t="inlineStr">
        <is>
          <t>تی‌تک و آریا</t>
        </is>
      </c>
    </row>
    <row r="1289">
      <c r="A1289" t="n">
        <v>1288</v>
      </c>
      <c r="B1289" t="n">
        <v>53036</v>
      </c>
      <c r="C1289" t="inlineStr">
        <is>
          <t>CHARCOAL ACTIVATED SUSPENSION ORAL 200 mg/1mL 125 mL</t>
        </is>
      </c>
      <c r="D1289" t="inlineStr">
        <is>
          <t>کربوليک   سوسپانسيون خوراکي 200 mg/1mL 125 mL - سينا پيشگام دارو نوين</t>
        </is>
      </c>
      <c r="E1289" t="inlineStr">
        <is>
          <t>تی‌تک و آریا</t>
        </is>
      </c>
    </row>
    <row r="1290">
      <c r="A1290" t="n">
        <v>1289</v>
      </c>
      <c r="B1290" t="n">
        <v>53037</v>
      </c>
      <c r="C1290" t="inlineStr">
        <is>
          <t>IVOSIDENIB TABLET ORAL 250 mg</t>
        </is>
      </c>
      <c r="D1290" t="inlineStr">
        <is>
          <t>اووسنيب   قرص خوراکي 250 mg - مرز گستران فناوري آينده</t>
        </is>
      </c>
      <c r="E1290" t="inlineStr">
        <is>
          <t>تی‌تک و آریا</t>
        </is>
      </c>
    </row>
    <row r="1291">
      <c r="A1291" t="n">
        <v>1290</v>
      </c>
      <c r="B1291" t="n">
        <v>53040</v>
      </c>
      <c r="C1291" t="inlineStr">
        <is>
          <t>TRAMETINIB (AS DIMETHYL SULFOXIDE) TABLET ORAL 2 mg</t>
        </is>
      </c>
      <c r="D1291" t="inlineStr">
        <is>
          <t>تراستينيب   قرص خوراکي 2 mg - نو آوران دارويي کيميا</t>
        </is>
      </c>
      <c r="E1291" t="inlineStr">
        <is>
          <t>تی‌تک و آریا</t>
        </is>
      </c>
    </row>
    <row r="1292">
      <c r="A1292" t="n">
        <v>1291</v>
      </c>
      <c r="B1292" t="n">
        <v>53042</v>
      </c>
      <c r="C1292" t="inlineStr">
        <is>
          <t>GERMANIUM (68 Ge) / GALLIUM (68 Ga) SOLUTION INTRAVENOUS 30 mCi 3 mL</t>
        </is>
      </c>
      <c r="D1292" t="inlineStr">
        <is>
          <t>ژرمانيوم68/گاليوم68   محلول داخل وريدي 30 mCi 3 mCi - پارس ايزوتوپ</t>
        </is>
      </c>
      <c r="E1292" t="inlineStr">
        <is>
          <t>تی‌تک و آریا</t>
        </is>
      </c>
    </row>
    <row r="1293">
      <c r="A1293" t="n">
        <v>1292</v>
      </c>
      <c r="B1293" t="n">
        <v>53043</v>
      </c>
      <c r="C1293" t="inlineStr">
        <is>
          <t>GERMANIUM (68 Ge) / GALLIUM (68 Ga) SOLUTION INTRAVENOUS 50 mCi 3 mL</t>
        </is>
      </c>
      <c r="D1293" t="inlineStr">
        <is>
          <t>ژرمانيوم68/گاليوم68   محلول داخل وريدي 50 mCi 3 mCi - پارس ايزوتوپ</t>
        </is>
      </c>
      <c r="E1293" t="inlineStr">
        <is>
          <t>تی‌تک و آریا</t>
        </is>
      </c>
    </row>
    <row r="1294">
      <c r="A1294" t="n">
        <v>1293</v>
      </c>
      <c r="B1294" t="n">
        <v>53044</v>
      </c>
      <c r="C1294" t="inlineStr">
        <is>
          <t>GERMANIUM (68 Ge) / GALLIUM (68 Ga) SOLUTION INTRAVENOUS 100 mCi 3 mL</t>
        </is>
      </c>
      <c r="D1294" t="inlineStr">
        <is>
          <t>ژرمانيوم68/گاليوم68   محلول داخل وريدي 100 mCi 3 mCi - پارس ايزوتوپ</t>
        </is>
      </c>
      <c r="E1294" t="inlineStr">
        <is>
          <t>تی‌تک و آریا</t>
        </is>
      </c>
    </row>
    <row r="1295">
      <c r="A1295" t="n">
        <v>1294</v>
      </c>
      <c r="B1295" t="n">
        <v>53045</v>
      </c>
      <c r="C1295" t="inlineStr">
        <is>
          <t>HUMAN AUTOLOGOUS SKIN MELANOCYTE &amp; KERATINOCYTE CELLS INJECTION, SUSPENSION INTRAEPIDERMAL 4 mL</t>
        </is>
      </c>
      <c r="D1295" t="inlineStr">
        <is>
          <t>ريکالرسل   سوسپانسيون تزريقي داخل اپيدرم 4 mL  mL - سل تک فارمد</t>
        </is>
      </c>
      <c r="E1295" t="inlineStr">
        <is>
          <t>تی‌تک و آریا</t>
        </is>
      </c>
    </row>
    <row r="1296">
      <c r="A1296" t="n">
        <v>1295</v>
      </c>
      <c r="B1296" t="n">
        <v>53051</v>
      </c>
      <c r="C1296" t="inlineStr">
        <is>
          <t>PRALIDOXIME IODIDE INJECTION, SOLUTION PARENTERAL 25 mg/1 mL 20 mL</t>
        </is>
      </c>
      <c r="D1296" t="inlineStr">
        <is>
          <t>آلدوپام   محلول تزريقي پرنترال 25 mg/1 mL 20 mg - دارويي پرسون بام بين الملل</t>
        </is>
      </c>
      <c r="E1296" t="inlineStr">
        <is>
          <t>تی‌تک و آریا</t>
        </is>
      </c>
    </row>
    <row r="1297">
      <c r="A1297" t="n">
        <v>1296</v>
      </c>
      <c r="B1297" t="n">
        <v>53052</v>
      </c>
      <c r="C1297" t="inlineStr">
        <is>
          <t>IFOSFAMIDE INJECTION, SOLUTION PARENTERAL 40 mg/1mL 50 mL</t>
        </is>
      </c>
      <c r="D1297" t="inlineStr">
        <is>
          <t>آيفو-سل   محلول تزريقي پرنترال 40 mg/1mL 50 mg - بازرگاني سها کيش</t>
        </is>
      </c>
      <c r="E1297" t="inlineStr">
        <is>
          <t>تی‌تک و آریا</t>
        </is>
      </c>
    </row>
    <row r="1298">
      <c r="A1298" t="n">
        <v>1297</v>
      </c>
      <c r="B1298" t="n">
        <v>53053</v>
      </c>
      <c r="C1298" t="inlineStr">
        <is>
          <t>AMOXICILLIN POWDER, FOR SUSPENSION ORAL 125 mg/5mL 30 mL</t>
        </is>
      </c>
      <c r="D1298" t="inlineStr">
        <is>
          <t>رونمکس   پودر براي تهيه سوسپانسيون   خوراکي 125 mg/5mL 30 mg - بازرگاني سها کيش</t>
        </is>
      </c>
      <c r="E1298" t="inlineStr">
        <is>
          <t>تی‌تک و آریا</t>
        </is>
      </c>
    </row>
    <row r="1299">
      <c r="A1299" t="n">
        <v>1298</v>
      </c>
      <c r="B1299" t="n">
        <v>53055</v>
      </c>
      <c r="C1299" t="inlineStr">
        <is>
          <t>CEFALEXIN POWDER, FOR SUSPENSION ORAL 125 mg/5mL 30 mL</t>
        </is>
      </c>
      <c r="D1299" t="inlineStr">
        <is>
          <t>رفکس   پودر براي تهيه سوسپانسيون   خوراکي 125 mg/5mL 30 mg - بازرگاني سها کيش</t>
        </is>
      </c>
      <c r="E1299" t="inlineStr">
        <is>
          <t>تی‌تک و آریا</t>
        </is>
      </c>
    </row>
    <row r="1300">
      <c r="A1300" t="n">
        <v>1299</v>
      </c>
      <c r="B1300" t="n">
        <v>53056</v>
      </c>
      <c r="C1300" t="inlineStr">
        <is>
          <t>CO-AMOXICLAV POWDER, FOR SUSPENSION ORAL 400 mg/57 mg/5 mL 30 mL</t>
        </is>
      </c>
      <c r="D1300" t="inlineStr">
        <is>
          <t>اکسترا کلاو فورت   پودر براي تهيه سوسپانسيون   خوراکي 400 mg/57 mg/5 mL 30 mL - بازرگاني سها کيش</t>
        </is>
      </c>
      <c r="E1300" t="inlineStr">
        <is>
          <t>تی‌تک و آریا</t>
        </is>
      </c>
    </row>
    <row r="1301">
      <c r="A1301" t="n">
        <v>1300</v>
      </c>
      <c r="B1301" t="n">
        <v>53057</v>
      </c>
      <c r="C1301" t="inlineStr">
        <is>
          <t>CO-AMOXICLAV POWDER, FOR SUSPENSION ORAL 200 mg/28.5 mg/5 mL 30 mL</t>
        </is>
      </c>
      <c r="D1301" t="inlineStr">
        <is>
          <t>آلموکس سي وي   پودر براي تهيه سوسپانسيون   خوراکي 200 mg/28.5 mg/5 mL 30 mL - بازرگاني سها کيش</t>
        </is>
      </c>
      <c r="E1301" t="inlineStr">
        <is>
          <t>تی‌تک و آریا</t>
        </is>
      </c>
    </row>
    <row r="1302">
      <c r="A1302" t="n">
        <v>1301</v>
      </c>
      <c r="B1302" t="n">
        <v>53059</v>
      </c>
      <c r="C1302" t="inlineStr">
        <is>
          <t>SURFACTANT (BOVINE LIPID EXTRACT) INJECTION, SUSPENSION TRANSTRACHEAL 27 mg/1mL 4 mL</t>
        </is>
      </c>
      <c r="D1302" t="inlineStr">
        <is>
          <t>بلس   سوسپانسيون تزريقي از راه تراشه 27 mg/1mL 4 mL - تدبير کالاي جم</t>
        </is>
      </c>
      <c r="E1302" t="inlineStr">
        <is>
          <t>تی‌تک و آریا</t>
        </is>
      </c>
    </row>
    <row r="1303">
      <c r="A1303" t="n">
        <v>1302</v>
      </c>
      <c r="B1303" t="n">
        <v>53060</v>
      </c>
      <c r="C1303" t="inlineStr">
        <is>
          <t>SURFACTANT (BOVINE LIPID EXTRACT) INJECTION, SUSPENSION TRANSTRACHEAL 27 mg/1mL 3 mL</t>
        </is>
      </c>
      <c r="D1303" t="inlineStr">
        <is>
          <t>بلس   سوسپانسيون تزريقي از راه تراشه 27 mg/1mL 3 mL - تدبير کالاي جم</t>
        </is>
      </c>
      <c r="E1303" t="inlineStr">
        <is>
          <t>تی‌تک و آریا</t>
        </is>
      </c>
    </row>
    <row r="1304">
      <c r="A1304" t="n">
        <v>1303</v>
      </c>
      <c r="B1304" t="n">
        <v>53061</v>
      </c>
      <c r="C1304" t="inlineStr">
        <is>
          <t>BUDESONIDE CAPSULE RESPIRATORY 200 ug</t>
        </is>
      </c>
      <c r="D1304" t="inlineStr">
        <is>
          <t>بودلا   کپسول استنشاقي 200 ug - افق توليد دارو پارس</t>
        </is>
      </c>
      <c r="E1304" t="inlineStr">
        <is>
          <t>تی‌تک و آریا</t>
        </is>
      </c>
    </row>
    <row r="1305">
      <c r="A1305" t="n">
        <v>1304</v>
      </c>
      <c r="B1305" t="n">
        <v>53069</v>
      </c>
      <c r="C1305" t="inlineStr">
        <is>
          <t>AZITHROMYCIN SUSPENSION ORAL 100 mg/5mL 15 mL</t>
        </is>
      </c>
      <c r="D1305" t="inlineStr">
        <is>
          <t>آزيکم   سوسپانسيون خوراکي 100 mg/5mL 15 mg - بازرگاني سها کيش</t>
        </is>
      </c>
      <c r="E1305" t="inlineStr">
        <is>
          <t>تی‌تک و آریا</t>
        </is>
      </c>
    </row>
    <row r="1306">
      <c r="A1306" t="n">
        <v>1305</v>
      </c>
      <c r="B1306" t="n">
        <v>53070</v>
      </c>
      <c r="C1306" t="inlineStr">
        <is>
          <t>AZITHROMYCIN SUSPENSION ORAL 100 mg/5mL 30 mL</t>
        </is>
      </c>
      <c r="D1306" t="inlineStr">
        <is>
          <t>بي دي اي - زين   سوسپانسيون خوراکي 100 mg/5mL 30 mL - سلامت سازان آراد دارو</t>
        </is>
      </c>
      <c r="E1306" t="inlineStr">
        <is>
          <t>تی‌تک و آریا</t>
        </is>
      </c>
    </row>
    <row r="1307">
      <c r="A1307" t="n">
        <v>1306</v>
      </c>
      <c r="B1307" t="n">
        <v>53071</v>
      </c>
      <c r="C1307" t="inlineStr">
        <is>
          <t>AZITHROMYCIN SUSPENSION ORAL 200 mg/5mL 15 mL</t>
        </is>
      </c>
      <c r="D1307" t="inlineStr">
        <is>
          <t>آزيتاف   سوسپانسيون خوراکي 200 mg/5mL 15 mg - بازرگاني سها کيش</t>
        </is>
      </c>
      <c r="E1307" t="inlineStr">
        <is>
          <t>تی‌تک و آریا</t>
        </is>
      </c>
    </row>
    <row r="1308">
      <c r="A1308" t="n">
        <v>1307</v>
      </c>
      <c r="B1308" t="n">
        <v>53072</v>
      </c>
      <c r="C1308" t="inlineStr">
        <is>
          <t>AZITHROMYCIN SUSPENSION ORAL 200 mg/5mL 30 mL</t>
        </is>
      </c>
      <c r="D1308" t="inlineStr">
        <is>
          <t>بي دي اي - زين   سوسپانسيون خوراکي 200 mg/5mL 30 mL - سلامت سازان آراد دارو</t>
        </is>
      </c>
      <c r="E1308" t="inlineStr">
        <is>
          <t>تی‌تک و آریا</t>
        </is>
      </c>
    </row>
    <row r="1309">
      <c r="A1309" t="n">
        <v>1308</v>
      </c>
      <c r="B1309" t="n">
        <v>53073</v>
      </c>
      <c r="C1309" t="inlineStr">
        <is>
          <t>AMOXICILLIN POWDER, FOR SUSPENSION ORAL 250 mg/5mL 80 mL</t>
        </is>
      </c>
      <c r="D1309" t="inlineStr">
        <is>
          <t>لارگوپن   پودر براي تهيه سوسپانسيون   خوراکي 250 mg/5mL 80 mL - سلامت سازان آراد دارو</t>
        </is>
      </c>
      <c r="E1309" t="inlineStr">
        <is>
          <t>تی‌تک و آریا</t>
        </is>
      </c>
    </row>
    <row r="1310">
      <c r="A1310" t="n">
        <v>1309</v>
      </c>
      <c r="B1310" t="n">
        <v>53074</v>
      </c>
      <c r="C1310" t="inlineStr">
        <is>
          <t>AMOXICILLIN POWDER, FOR SUSPENSION ORAL 250 mg/5mL 60 mL</t>
        </is>
      </c>
      <c r="D1310" t="inlineStr">
        <is>
          <t>آلموکس دي اس   پودر براي تهيه سوسپانسيون   خوراکي 250 mg/5mL 60 mg - بازرگاني سها کيش</t>
        </is>
      </c>
      <c r="E1310" t="inlineStr">
        <is>
          <t>تی‌تک و آریا</t>
        </is>
      </c>
    </row>
    <row r="1311">
      <c r="A1311" t="n">
        <v>1310</v>
      </c>
      <c r="B1311" t="n">
        <v>53076</v>
      </c>
      <c r="C1311" t="inlineStr">
        <is>
          <t>TRAMADOL HYDROCHLORIDE INJECTION PARENTERAL 50 mg/1mL 2 mL</t>
        </is>
      </c>
      <c r="D1311" t="inlineStr">
        <is>
          <t>ترامادول   تزريقي پرنترال 50 mg/1mL 2 mL - البرز دارو</t>
        </is>
      </c>
      <c r="E1311" t="inlineStr">
        <is>
          <t>تی‌تک و آریا</t>
        </is>
      </c>
    </row>
    <row r="1312">
      <c r="A1312" t="n">
        <v>1311</v>
      </c>
      <c r="B1312" t="n">
        <v>53077</v>
      </c>
      <c r="C1312" t="inlineStr">
        <is>
          <t>MOCLOBEMIDE TABLET ORAL 300 mg</t>
        </is>
      </c>
      <c r="D1312" t="inlineStr">
        <is>
          <t>اوروريکس   قرص خوراکي 300 mg - بازرگاني سها کيش</t>
        </is>
      </c>
      <c r="E1312" t="inlineStr">
        <is>
          <t>تی‌تک و آریا</t>
        </is>
      </c>
    </row>
    <row r="1313">
      <c r="A1313" t="n">
        <v>1312</v>
      </c>
      <c r="B1313" t="n">
        <v>53079</v>
      </c>
      <c r="C1313" t="inlineStr">
        <is>
          <t>AXITINIB TABLET ORAL 5 mg</t>
        </is>
      </c>
      <c r="D1313" t="inlineStr">
        <is>
          <t>اينليتا   قرص خوراکي 5 mg - آسمان داروي پارس</t>
        </is>
      </c>
      <c r="E1313" t="inlineStr">
        <is>
          <t>تی‌تک و آریا</t>
        </is>
      </c>
    </row>
    <row r="1314">
      <c r="A1314" t="n">
        <v>1313</v>
      </c>
      <c r="B1314" t="n">
        <v>53080</v>
      </c>
      <c r="C1314" t="inlineStr">
        <is>
          <t>ACETAMINOPHEN / CAFFEINE / IBUPROFEN CAPSULE ORAL 250 mg/50 mg/200 mg</t>
        </is>
      </c>
      <c r="D1314" t="inlineStr">
        <is>
          <t>ريفن   کپسول خوراکي 250 mg/50 mg/200 mg - داروسازي ريحانه اصفهان</t>
        </is>
      </c>
      <c r="E1314" t="inlineStr">
        <is>
          <t>تی‌تک و آریا</t>
        </is>
      </c>
    </row>
    <row r="1315">
      <c r="A1315" t="n">
        <v>1314</v>
      </c>
      <c r="B1315" t="n">
        <v>53083</v>
      </c>
      <c r="C1315" t="inlineStr">
        <is>
          <t>TREPROSTINIL (AS SODIUM) INJECTION PARENTERAL 1 mg/1mL 10 mL</t>
        </is>
      </c>
      <c r="D1315" t="inlineStr">
        <is>
          <t>تريسوا   تزريقي پرنترال 1 mg/1mL 10 mg - بهستان دارو</t>
        </is>
      </c>
      <c r="E1315" t="inlineStr">
        <is>
          <t>تی‌تک و آریا</t>
        </is>
      </c>
    </row>
    <row r="1316">
      <c r="A1316" t="n">
        <v>1315</v>
      </c>
      <c r="B1316" t="n">
        <v>53084</v>
      </c>
      <c r="C1316" t="inlineStr">
        <is>
          <t>TREPROSTINIL (AS SODIUM) INJECTION PARENTERAL 2.5 mg/1mL 10 mL</t>
        </is>
      </c>
      <c r="D1316" t="inlineStr">
        <is>
          <t>تريسوا   تزريقي پرنترال 2.5 mg/1mL 10 mg - بهستان دارو</t>
        </is>
      </c>
      <c r="E1316" t="inlineStr">
        <is>
          <t>تی‌تک و آریا</t>
        </is>
      </c>
    </row>
    <row r="1317">
      <c r="A1317" t="n">
        <v>1316</v>
      </c>
      <c r="B1317" t="n">
        <v>53085</v>
      </c>
      <c r="C1317" t="inlineStr">
        <is>
          <t>TREPROSTINIL (AS SODIUM) INJECTION PARENTERAL 5 mg/1mL 10 mL</t>
        </is>
      </c>
      <c r="D1317" t="inlineStr">
        <is>
          <t>تريسوا   تزريقي پرنترال 5 mg/1mL 10 mg - بهستان دارو</t>
        </is>
      </c>
      <c r="E1317" t="inlineStr">
        <is>
          <t>تی‌تک و آریا</t>
        </is>
      </c>
    </row>
    <row r="1318">
      <c r="A1318" t="n">
        <v>1317</v>
      </c>
      <c r="B1318" t="n">
        <v>53090</v>
      </c>
      <c r="C1318" t="inlineStr">
        <is>
          <t>TRASTUZUMAB DERUXTECAN INJECTION, POWDER, FOR SOLUTION PARENTERAL 100 mg</t>
        </is>
      </c>
      <c r="D1318" t="inlineStr">
        <is>
          <t>انهرتو   پودر براي تهيه محلول تزريقي پرنترال 100 mg  mg - بازرگاني سها کيش</t>
        </is>
      </c>
      <c r="E1318" t="inlineStr">
        <is>
          <t>تی‌تک و آریا</t>
        </is>
      </c>
    </row>
    <row r="1319">
      <c r="A1319" t="n">
        <v>1318</v>
      </c>
      <c r="B1319" t="n">
        <v>53091</v>
      </c>
      <c r="C1319" t="inlineStr">
        <is>
          <t>OPIPRAMOL DIHYDROCHLORIDE TABLET ORAL 50 mg</t>
        </is>
      </c>
      <c r="E1319" t="inlineStr">
        <is>
          <t>فقط تی‌تک</t>
        </is>
      </c>
    </row>
    <row r="1320">
      <c r="A1320" t="n">
        <v>1319</v>
      </c>
      <c r="B1320" t="n">
        <v>53092</v>
      </c>
      <c r="C1320" t="inlineStr">
        <is>
          <t>FOMEPIZOLE (AS SULFATE) INJECTION PARENTERAL 5 mg/1mL 20 mL</t>
        </is>
      </c>
      <c r="D1320" t="inlineStr">
        <is>
          <t>فومپيزول   تزريقي پرنترال 5 mg/1mL 20 mL - سينا پيشگام دارو نوين</t>
        </is>
      </c>
      <c r="E1320" t="inlineStr">
        <is>
          <t>تی‌تک و آریا</t>
        </is>
      </c>
    </row>
    <row r="1321">
      <c r="A1321" t="n">
        <v>1320</v>
      </c>
      <c r="B1321" t="n">
        <v>53094</v>
      </c>
      <c r="C1321" t="inlineStr">
        <is>
          <t>DONEPEZIL HYDROCHLORIDE TABLET, ORALLY DISINTEGRATING ORAL 5 mg</t>
        </is>
      </c>
      <c r="D1321" t="inlineStr">
        <is>
          <t>دنپزيل   قرص بازشونده در دهان خوراکي 5 mg - ناوک دارو</t>
        </is>
      </c>
      <c r="E1321" t="inlineStr">
        <is>
          <t>تی‌تک و آریا</t>
        </is>
      </c>
    </row>
    <row r="1322">
      <c r="A1322" t="n">
        <v>1321</v>
      </c>
      <c r="B1322" t="n">
        <v>53095</v>
      </c>
      <c r="C1322" t="inlineStr">
        <is>
          <t>DONEPEZIL HYDROCHLORIDE TABLET, ORALLY DISINTEGRATING ORAL 10 mg</t>
        </is>
      </c>
      <c r="D1322" t="inlineStr">
        <is>
          <t>دونپزيل   قرص بازشونده در دهان خوراکي 10 mg - ناوک دارو</t>
        </is>
      </c>
      <c r="E1322" t="inlineStr">
        <is>
          <t>تی‌تک و آریا</t>
        </is>
      </c>
    </row>
    <row r="1323">
      <c r="A1323" t="n">
        <v>1322</v>
      </c>
      <c r="B1323" t="n">
        <v>53097</v>
      </c>
      <c r="C1323" t="inlineStr">
        <is>
          <t>EFAVIRENZ SUSPENSION ORAL 30 mg/1mL 180 mL</t>
        </is>
      </c>
      <c r="D1323" t="inlineStr">
        <is>
          <t>افاويرنز   سوسپانسيون خوراکي 30 mg/1mL 180 mg - بازرگاني سها کيش</t>
        </is>
      </c>
      <c r="E1323" t="inlineStr">
        <is>
          <t>تی‌تک و آریا</t>
        </is>
      </c>
    </row>
    <row r="1324">
      <c r="A1324" t="n">
        <v>1323</v>
      </c>
      <c r="B1324" t="n">
        <v>53099</v>
      </c>
      <c r="C1324" t="inlineStr">
        <is>
          <t>ZOSTER VACCINE, RECOMBINANT INJECTION, POWDER, FOR SUSPENSION PARENTERAL 50 ug/0.5mL</t>
        </is>
      </c>
      <c r="E1324" t="inlineStr">
        <is>
          <t>فقط تی‌تک</t>
        </is>
      </c>
    </row>
    <row r="1325">
      <c r="A1325" t="n">
        <v>1324</v>
      </c>
      <c r="B1325" t="n">
        <v>53102</v>
      </c>
      <c r="C1325" t="inlineStr">
        <is>
          <t>ATAZANAVIR (AS SULFATE) TABLET ORAL 200 mg</t>
        </is>
      </c>
      <c r="D1325" t="inlineStr">
        <is>
          <t>آتازاناوير   قرص خوراکي 200 mg - ماه داروي حکيم</t>
        </is>
      </c>
      <c r="E1325" t="inlineStr">
        <is>
          <t>تی‌تک و آریا</t>
        </is>
      </c>
    </row>
    <row r="1326">
      <c r="A1326" t="n">
        <v>1325</v>
      </c>
      <c r="B1326" t="n">
        <v>53107</v>
      </c>
      <c r="C1326" t="inlineStr">
        <is>
          <t>GLYCERIN IODINE SOLUTION TOPICAL 2 % 10 mL</t>
        </is>
      </c>
      <c r="D1326" t="inlineStr">
        <is>
          <t>گليسيرين آيداين   محلول موضعي 2 % 10 mL - کيميا دارو سپهر</t>
        </is>
      </c>
      <c r="E1326" t="inlineStr">
        <is>
          <t>تی‌تک و آریا</t>
        </is>
      </c>
    </row>
    <row r="1327">
      <c r="A1327" t="n">
        <v>1326</v>
      </c>
      <c r="B1327" t="n">
        <v>53108</v>
      </c>
      <c r="C1327" t="inlineStr">
        <is>
          <t>BORIC ACID ALCOHOL SOLUTION TOPICAL 3 % 10 mL</t>
        </is>
      </c>
      <c r="D1327" t="inlineStr">
        <is>
          <t>بوريک اسيد الکل   محلول موضعي 3 % 10 mL - کيميا دارو سپهر</t>
        </is>
      </c>
      <c r="E1327" t="inlineStr">
        <is>
          <t>تی‌تک و آریا</t>
        </is>
      </c>
    </row>
    <row r="1328">
      <c r="A1328" t="n">
        <v>1327</v>
      </c>
      <c r="B1328" t="n">
        <v>53109</v>
      </c>
      <c r="C1328" t="inlineStr">
        <is>
          <t>PROGESTERONE INJECTION PARENTERAL 25 mg/1mL 2 mL</t>
        </is>
      </c>
      <c r="D1328" t="inlineStr">
        <is>
          <t>فرتيژست   تزريقي پرنترال 25 mg/1mL 2 mL - داروسازي ابوريحان</t>
        </is>
      </c>
      <c r="E1328" t="inlineStr">
        <is>
          <t>تی‌تک و آریا</t>
        </is>
      </c>
    </row>
    <row r="1329">
      <c r="A1329" t="n">
        <v>1328</v>
      </c>
      <c r="B1329" t="n">
        <v>53112</v>
      </c>
      <c r="C1329" t="inlineStr">
        <is>
          <t>TECHNETIUM (99MTC) HYNIC-PSMA 11 INJECTION, POWDER, LYOPHILIZED, FOR SOLUTION PARENTERAL 20 ug</t>
        </is>
      </c>
      <c r="D1329" t="inlineStr">
        <is>
          <t>پارس-تکتو پي. اس. ام .آ   پودر لئوفيليزه براي تهيه محلول تزريقي پرنترال 20 ug  g - پارس ايزوتوپ</t>
        </is>
      </c>
      <c r="E1329" t="inlineStr">
        <is>
          <t>تی‌تک و آریا</t>
        </is>
      </c>
    </row>
    <row r="1330">
      <c r="A1330" t="n">
        <v>1329</v>
      </c>
      <c r="B1330" t="n">
        <v>53114</v>
      </c>
      <c r="C1330" t="inlineStr">
        <is>
          <t>VEDOLIZUMAB INJECTION, SOLUTION PARENTERAL 108 mg/0.68mL</t>
        </is>
      </c>
      <c r="D1330" t="inlineStr">
        <is>
          <t>ودآريو   محلول تزريقي پرنترال 108 mg/0.68mL  mg - آريوژن فارمد</t>
        </is>
      </c>
      <c r="E1330" t="inlineStr">
        <is>
          <t>تی‌تک و آریا</t>
        </is>
      </c>
    </row>
    <row r="1331">
      <c r="A1331" t="n">
        <v>1330</v>
      </c>
      <c r="B1331" t="n">
        <v>53115</v>
      </c>
      <c r="C1331" t="inlineStr">
        <is>
          <t>NIVOLUMAB INJECTION, SOLUTION, CONCENTRATE PARENTERAL 10 mg/1mL 24 mL</t>
        </is>
      </c>
      <c r="D1331" t="inlineStr">
        <is>
          <t>اکسترامب   محلول غليظ تزريقي پرنترال 10 mg/1mL 24 mg - تحقيقاتي وتوليدي سينا ژن</t>
        </is>
      </c>
      <c r="E1331" t="inlineStr">
        <is>
          <t>تی‌تک و آریا</t>
        </is>
      </c>
    </row>
    <row r="1332">
      <c r="A1332" t="n">
        <v>1331</v>
      </c>
      <c r="B1332" t="n">
        <v>53122</v>
      </c>
      <c r="C1332" t="inlineStr">
        <is>
          <t>COLLAGENASE CLOSTRIDIUM HISTOLYTICUM INJECTION, POWDER, LYOPHILIZED PARENTERAL 0.9 mg</t>
        </is>
      </c>
      <c r="D1332" t="inlineStr">
        <is>
          <t>زيافلکس   پودر لئوفيليزه براي تهيه فرآورده تزريقي پرنترال 0.9 mg  mg - بازرگاني سها کيش</t>
        </is>
      </c>
      <c r="E1332" t="inlineStr">
        <is>
          <t>تی‌تک و آریا</t>
        </is>
      </c>
    </row>
    <row r="1333">
      <c r="A1333" t="n">
        <v>1332</v>
      </c>
      <c r="B1333" t="n">
        <v>53123</v>
      </c>
      <c r="C1333" t="inlineStr">
        <is>
          <t>PERTUZUMAB / TRASTUZUMAB INJECTION PARENTERAL 60 mg/60 mg/1mL 10 mL</t>
        </is>
      </c>
      <c r="D1333" t="inlineStr">
        <is>
          <t>فزگو   تزريقي پرنترال 60 mg/60 mg/1mL 10 mL - بهستان دارو</t>
        </is>
      </c>
      <c r="E1333" t="inlineStr">
        <is>
          <t>تی‌تک و آریا</t>
        </is>
      </c>
    </row>
    <row r="1334">
      <c r="A1334" t="n">
        <v>1333</v>
      </c>
      <c r="B1334" t="n">
        <v>53124</v>
      </c>
      <c r="C1334" t="inlineStr">
        <is>
          <t>PERTUZUMAB / TRASTUZUMAB INJECTION PARENTERAL 80 mg/40 mg/1mL 15 mL</t>
        </is>
      </c>
      <c r="D1334" t="inlineStr">
        <is>
          <t>فزگو   تزريقي پرنترال 80 mg/40 mg/1mL 15 mL - بهستان دارو</t>
        </is>
      </c>
      <c r="E1334" t="inlineStr">
        <is>
          <t>تی‌تک و آریا</t>
        </is>
      </c>
    </row>
    <row r="1335">
      <c r="A1335" t="n">
        <v>1334</v>
      </c>
      <c r="B1335" t="n">
        <v>53125</v>
      </c>
      <c r="C1335" t="inlineStr">
        <is>
          <t>METHOTREXATE SODIUM INJECTION PARENTERAL 5 mg/1mL 3 mL</t>
        </is>
      </c>
      <c r="D1335" t="inlineStr">
        <is>
          <t>ومترکس   تزريقي پرنترال 5 mg/1mL 3 mg - بانژ طب</t>
        </is>
      </c>
      <c r="E1335" t="inlineStr">
        <is>
          <t>تی‌تک و آریا</t>
        </is>
      </c>
    </row>
    <row r="1336">
      <c r="A1336" t="n">
        <v>1335</v>
      </c>
      <c r="B1336" t="n">
        <v>53126</v>
      </c>
      <c r="C1336" t="inlineStr">
        <is>
          <t>LORLATINIB TABLET ORAL 100 mg</t>
        </is>
      </c>
      <c r="D1336" t="inlineStr">
        <is>
          <t>لورلاتينيب   قرص خوراکي 100 mg - شفا گستر آرنگ</t>
        </is>
      </c>
      <c r="E1336" t="inlineStr">
        <is>
          <t>تی‌تک و آریا</t>
        </is>
      </c>
    </row>
    <row r="1337">
      <c r="A1337" t="n">
        <v>1336</v>
      </c>
      <c r="B1337" t="n">
        <v>53127</v>
      </c>
      <c r="C1337" t="inlineStr">
        <is>
          <t>RIOCIGUAT TABLET ORAL 2 mg</t>
        </is>
      </c>
      <c r="D1337" t="inlineStr">
        <is>
          <t>آدمپاس   قرص خوراکي 2 mg - بازرگاني سها کيش</t>
        </is>
      </c>
      <c r="E1337" t="inlineStr">
        <is>
          <t>تی‌تک و آریا</t>
        </is>
      </c>
    </row>
    <row r="1338">
      <c r="A1338" t="n">
        <v>1337</v>
      </c>
      <c r="B1338" t="n">
        <v>53128</v>
      </c>
      <c r="C1338" t="inlineStr">
        <is>
          <t>BEXAROTENE CAPSULE ORAL 75 mg</t>
        </is>
      </c>
      <c r="D1338" t="inlineStr">
        <is>
          <t>بکسگراتين   کپسول خوراکي 75 mg - بازرگاني سها کيش</t>
        </is>
      </c>
      <c r="E1338" t="inlineStr">
        <is>
          <t>تی‌تک و آریا</t>
        </is>
      </c>
    </row>
    <row r="1339">
      <c r="A1339" t="n">
        <v>1338</v>
      </c>
      <c r="B1339" t="n">
        <v>53136</v>
      </c>
      <c r="C1339" t="inlineStr">
        <is>
          <t>USTEKINUMAB INJECTION, SOLUTION PARENTERAL 90 mg/1mL 0.5 mL</t>
        </is>
      </c>
      <c r="D1339" t="inlineStr">
        <is>
          <t>استلارا   محلول تزريقي پرنترال 90 mg/1mL 0.5 mg - بهستان دارو</t>
        </is>
      </c>
      <c r="E1339" t="inlineStr">
        <is>
          <t>تی‌تک و آریا</t>
        </is>
      </c>
    </row>
    <row r="1340">
      <c r="A1340" t="n">
        <v>1339</v>
      </c>
      <c r="B1340" t="n">
        <v>53137</v>
      </c>
      <c r="C1340" t="inlineStr">
        <is>
          <t>USTEKINUMAB INJECTION, SOLUTION, CONCENTRATE PARENTERAL 5 mg/1mL 26 mL</t>
        </is>
      </c>
      <c r="D1340" t="inlineStr">
        <is>
          <t>استلارا   محلول غليظ تزريقي پرنترال 5 mg/1mL 26 mg - بهستان دارو</t>
        </is>
      </c>
      <c r="E1340" t="inlineStr">
        <is>
          <t>تی‌تک و آریا</t>
        </is>
      </c>
    </row>
    <row r="1341">
      <c r="A1341" t="n">
        <v>1340</v>
      </c>
      <c r="B1341" t="n">
        <v>53138</v>
      </c>
      <c r="C1341" t="inlineStr">
        <is>
          <t>USTEKINUMAB INJECTION, SOLUTION PARENTERAL 90 mg/1mL 1 mL</t>
        </is>
      </c>
      <c r="D1341" t="inlineStr">
        <is>
          <t>استلارا   محلول تزريقي پرنترال 90 mg/1mL 1 mg - بهستان دارو</t>
        </is>
      </c>
      <c r="E1341" t="inlineStr">
        <is>
          <t>تی‌تک و آریا</t>
        </is>
      </c>
    </row>
    <row r="1342">
      <c r="A1342" t="n">
        <v>1341</v>
      </c>
      <c r="B1342" t="n">
        <v>53143</v>
      </c>
      <c r="C1342" t="inlineStr">
        <is>
          <t>TUCATINIB TABLET ORAL 150 mg</t>
        </is>
      </c>
      <c r="D1342" t="inlineStr">
        <is>
          <t>توکاکسن   قرص خوراکي 150 mg - بازرگاني سها کيش</t>
        </is>
      </c>
      <c r="E1342" t="inlineStr">
        <is>
          <t>تی‌تک و آریا</t>
        </is>
      </c>
    </row>
    <row r="1343">
      <c r="A1343" t="n">
        <v>1342</v>
      </c>
      <c r="B1343" t="n">
        <v>53145</v>
      </c>
      <c r="C1343" t="inlineStr">
        <is>
          <t>DIPHTHERIA TOXOID / TETANUS TOXOID ADSORBED VACCINE (DT) (INFANTS &amp; CHILDREN) INJECTION PARENTERAL 10 {dose} 5 mL</t>
        </is>
      </c>
      <c r="D1343" t="inlineStr">
        <is>
          <t>واکسن توکسوئيد ديفتري/ توکسوئيد کزاز- جذب سطحي شده- نوزادان و کودکان   تزريقي پرنترال 10 {dose} 5 {dose} - دارو درمان آرنگ</t>
        </is>
      </c>
      <c r="E1343" t="inlineStr">
        <is>
          <t>تی‌تک و آریا</t>
        </is>
      </c>
    </row>
    <row r="1344">
      <c r="A1344" t="n">
        <v>1343</v>
      </c>
      <c r="B1344" t="n">
        <v>53146</v>
      </c>
      <c r="C1344" t="inlineStr">
        <is>
          <t>CRIZOTINIB CAPSULE ORAL 200 mg</t>
        </is>
      </c>
      <c r="D1344" t="inlineStr">
        <is>
          <t>ريزولانگ   کپسول خوراکي 200 mg - نو آوران دارويي کيميا</t>
        </is>
      </c>
      <c r="E1344" t="inlineStr">
        <is>
          <t>تی‌تک و آریا</t>
        </is>
      </c>
    </row>
    <row r="1345">
      <c r="A1345" t="n">
        <v>1344</v>
      </c>
      <c r="B1345" t="n">
        <v>53147</v>
      </c>
      <c r="C1345" t="inlineStr">
        <is>
          <t>FOSFOMYCIN (AS SODIUM) INJECTION, POWDER PARENTERAL 2 g</t>
        </is>
      </c>
      <c r="E1345" t="inlineStr">
        <is>
          <t>فقط تی‌تک</t>
        </is>
      </c>
    </row>
    <row r="1346">
      <c r="A1346" t="n">
        <v>1345</v>
      </c>
      <c r="B1346" t="n">
        <v>53148</v>
      </c>
      <c r="C1346" t="inlineStr">
        <is>
          <t>FOSFOMYCIN (AS SODIUM) INJECTION, POWDER PARENTERAL 4 g</t>
        </is>
      </c>
      <c r="E1346" t="inlineStr">
        <is>
          <t>فقط تی‌تک</t>
        </is>
      </c>
    </row>
    <row r="1347">
      <c r="A1347" t="n">
        <v>1346</v>
      </c>
      <c r="B1347" t="n">
        <v>53154</v>
      </c>
      <c r="C1347" t="inlineStr">
        <is>
          <t>OK-432 (PICIBANIL) INJECTION, POWDER, FOR SUSPENSION PARENTERAL 0.1 mg</t>
        </is>
      </c>
      <c r="D1347" t="inlineStr">
        <is>
          <t>اوکي- 432 پيسيبانيل   پودر براي تهيه سوسپانسيون تزريقي پرنترال 0.1 mg  mg - بازرگاني سها کيش</t>
        </is>
      </c>
      <c r="E1347" t="inlineStr">
        <is>
          <t>تی‌تک و آریا</t>
        </is>
      </c>
    </row>
    <row r="1348">
      <c r="A1348" t="n">
        <v>1347</v>
      </c>
      <c r="B1348" t="n">
        <v>53155</v>
      </c>
      <c r="C1348" t="inlineStr">
        <is>
          <t>TOLVAPTAN TABLET ORAL 15 mg</t>
        </is>
      </c>
      <c r="D1348" t="inlineStr">
        <is>
          <t>تولوات   قرص خوراکي 15 mg - آسمان داروي پارس</t>
        </is>
      </c>
      <c r="E1348" t="inlineStr">
        <is>
          <t>تی‌تک و آریا</t>
        </is>
      </c>
    </row>
    <row r="1349">
      <c r="A1349" t="n">
        <v>1348</v>
      </c>
      <c r="B1349" t="n">
        <v>53156</v>
      </c>
      <c r="C1349" t="inlineStr">
        <is>
          <t>CABOZANTINIB (AS (S)-MALATE) TABLET ORAL 40 mg</t>
        </is>
      </c>
      <c r="D1349" t="inlineStr">
        <is>
          <t>زانکر   قرص خوراکي 40 mg - شيميائي و داروئي باران</t>
        </is>
      </c>
      <c r="E1349" t="inlineStr">
        <is>
          <t>تی‌تک و آریا</t>
        </is>
      </c>
    </row>
    <row r="1350">
      <c r="A1350" t="n">
        <v>1349</v>
      </c>
      <c r="B1350" t="n">
        <v>53160</v>
      </c>
      <c r="C1350" t="inlineStr">
        <is>
          <t>CODEINE PHOSPHATE / GUAIFENESIN / PHENYLEPHRINE SYRUP ORAL 7.9 mg/100 mg/5 mg/5mL 60 mL</t>
        </is>
      </c>
      <c r="D1350" t="inlineStr">
        <is>
          <t>اکسپو کاف سي   شربت خوراکي 7.9 mg/100 mg/5 mg/5mL 60 mL - کارخانجات دارو پخش</t>
        </is>
      </c>
      <c r="E1350" t="inlineStr">
        <is>
          <t>تی‌تک و آریا</t>
        </is>
      </c>
    </row>
    <row r="1351">
      <c r="A1351" t="n">
        <v>1350</v>
      </c>
      <c r="B1351" t="n">
        <v>53161</v>
      </c>
      <c r="C1351" t="inlineStr">
        <is>
          <t>DEXTROMETHORPHAN / GUAIFENESIN / PSEUDOEPHEDRINE SYRUP ORAL 15 mg/200 mg/30 mg/5mL 120 mL</t>
        </is>
      </c>
      <c r="D1351" t="inlineStr">
        <is>
          <t>کوريزان سرفه و سينوس   شربت خوراکي 15 mg/200 mg/30 mg/5mL 120 mL - داروسازي دکتر عبيدي</t>
        </is>
      </c>
      <c r="E1351" t="inlineStr">
        <is>
          <t>تی‌تک و آریا</t>
        </is>
      </c>
    </row>
    <row r="1352">
      <c r="A1352" t="n">
        <v>1351</v>
      </c>
      <c r="B1352" t="n">
        <v>53164</v>
      </c>
      <c r="C1352" t="inlineStr">
        <is>
          <t>BOSUTINIB (AS MONOHYDRATE) TABLET, COATED ORAL 400 mg</t>
        </is>
      </c>
      <c r="D1352" t="inlineStr">
        <is>
          <t>بوسوتريس   قرص روکشدار خوراکي 400 mg - بازرگاني سها کيش</t>
        </is>
      </c>
      <c r="E1352" t="inlineStr">
        <is>
          <t>تی‌تک و آریا</t>
        </is>
      </c>
    </row>
    <row r="1353">
      <c r="A1353" t="n">
        <v>1352</v>
      </c>
      <c r="B1353" t="n">
        <v>53165</v>
      </c>
      <c r="C1353" t="inlineStr">
        <is>
          <t>BOSUTINIB (AS MONOHYDRATE) TABLET, COATED ORAL 100 mg</t>
        </is>
      </c>
      <c r="D1353" t="inlineStr">
        <is>
          <t>بوسانتينيب   قرص روکشدار خوراکي 100 mg - مرز گستران فناوري آينده</t>
        </is>
      </c>
      <c r="E1353" t="inlineStr">
        <is>
          <t>تی‌تک و آریا</t>
        </is>
      </c>
    </row>
    <row r="1354">
      <c r="A1354" t="n">
        <v>1353</v>
      </c>
      <c r="B1354" t="n">
        <v>53166</v>
      </c>
      <c r="C1354" t="inlineStr">
        <is>
          <t>BOSUTINIB (AS MONOHYDRATE) TABLET, COATED ORAL 500 mg</t>
        </is>
      </c>
      <c r="D1354" t="inlineStr">
        <is>
          <t>سوليبا   قرص روکشدار خوراکي 500 mg - نانو فناوران داروئي الوند</t>
        </is>
      </c>
      <c r="E1354" t="inlineStr">
        <is>
          <t>تی‌تک و آریا</t>
        </is>
      </c>
    </row>
    <row r="1355">
      <c r="A1355" t="n">
        <v>1354</v>
      </c>
      <c r="B1355" t="n">
        <v>53171</v>
      </c>
      <c r="C1355" t="inlineStr">
        <is>
          <t>TOFACITINIB (AS CITRATE) TABLET, EXTENDED RELEASE ORAL 11 mg</t>
        </is>
      </c>
      <c r="D1355" t="inlineStr">
        <is>
          <t>توفاکسل   قرص پيوسته رهش خوراکي 11 mg - نو آوران دارويي کيميا</t>
        </is>
      </c>
      <c r="E1355" t="inlineStr">
        <is>
          <t>تی‌تک و آریا</t>
        </is>
      </c>
    </row>
    <row r="1356">
      <c r="A1356" t="n">
        <v>1355</v>
      </c>
      <c r="B1356" t="n">
        <v>53181</v>
      </c>
      <c r="C1356" t="inlineStr">
        <is>
          <t>RIBOCICLIB (AS SUCCINATE) TABLET, COATED ORAL 200 mg</t>
        </is>
      </c>
      <c r="D1356" t="inlineStr">
        <is>
          <t>والامور   قرص روکشدار خوراکي 200 mg - بازرگاني سها کيش</t>
        </is>
      </c>
      <c r="E1356" t="inlineStr">
        <is>
          <t>تی‌تک و آریا</t>
        </is>
      </c>
    </row>
    <row r="1357">
      <c r="A1357" t="n">
        <v>1356</v>
      </c>
      <c r="B1357" t="n">
        <v>53187</v>
      </c>
      <c r="C1357" t="inlineStr">
        <is>
          <t>ERYTHROCYTES (RED BLOOD CELL, LEUCOCYTE REDUCED AND WASHED AND IRRADIATED) INJECTION PARENTERAL  270 mL</t>
        </is>
      </c>
      <c r="D1357" t="inlineStr">
        <is>
          <t>گلبول قرمز کم لکوسيت شسته شده اشعه ديده   تزريقي پرنترال  270 mL - سازمان انتقال خون ايران</t>
        </is>
      </c>
      <c r="E1357" t="inlineStr">
        <is>
          <t>تی‌تک و آریا</t>
        </is>
      </c>
    </row>
    <row r="1358">
      <c r="A1358" t="n">
        <v>1357</v>
      </c>
      <c r="B1358" t="n">
        <v>53189</v>
      </c>
      <c r="C1358" t="inlineStr">
        <is>
          <t>ERYTHROCYTES (RED BLOOD CELL, WASHED) INJECTION PARENTERAL  270 mL</t>
        </is>
      </c>
      <c r="D1358" t="inlineStr">
        <is>
          <t>گلبول قرمز شسته شده   تزريقي پرنترال  270 mL - سازمان انتقال خون ايران</t>
        </is>
      </c>
      <c r="E1358" t="inlineStr">
        <is>
          <t>تی‌تک و آریا</t>
        </is>
      </c>
    </row>
    <row r="1359">
      <c r="A1359" t="n">
        <v>1358</v>
      </c>
      <c r="B1359" t="n">
        <v>53193</v>
      </c>
      <c r="C1359" t="inlineStr">
        <is>
          <t>GEMTUZUMAB OZOGAMICIN INJECTION, POWDER, FOR SOLUTION PARENTERAL 4.5 mg</t>
        </is>
      </c>
      <c r="D1359" t="inlineStr">
        <is>
          <t>مايلوتارگ   پودر براي تهيه محلول تزريقي پرنترال 4.5 mg  mg - بهستان دارو</t>
        </is>
      </c>
      <c r="E1359" t="inlineStr">
        <is>
          <t>تی‌تک و آریا</t>
        </is>
      </c>
    </row>
    <row r="1360">
      <c r="A1360" t="n">
        <v>1359</v>
      </c>
      <c r="B1360" t="n">
        <v>53194</v>
      </c>
      <c r="C1360" t="inlineStr">
        <is>
          <t>EFAVIRENZ / LAMIVUDINE / TENOFOVIR DISOPROXIL FUMARATE TABLET ORAL 400 mg/300 mg/300 mg</t>
        </is>
      </c>
      <c r="D1360" t="inlineStr">
        <is>
          <t>افالاتن   قرص خوراکي 400 mg/300 mg/300 mg - فرفيون دارو</t>
        </is>
      </c>
      <c r="E1360" t="inlineStr">
        <is>
          <t>تی‌تک و آریا</t>
        </is>
      </c>
    </row>
    <row r="1361">
      <c r="A1361" t="n">
        <v>1360</v>
      </c>
      <c r="B1361" t="n">
        <v>53201</v>
      </c>
      <c r="C1361" t="inlineStr">
        <is>
          <t>DEXTROMETHORPHAN / PSEUDOEPHEDRINE SYRUP ORAL 15 mg/30 mg/5mL 120 mL</t>
        </is>
      </c>
      <c r="D1361" t="inlineStr">
        <is>
          <t>ليتو خوارزمي دکس پي   شربت خوراکي 15 mg/30 mg/5mL 120 mL - داروسازي خوارزمي</t>
        </is>
      </c>
      <c r="E1361" t="inlineStr">
        <is>
          <t>تی‌تک و آریا</t>
        </is>
      </c>
    </row>
    <row r="1362">
      <c r="A1362" t="n">
        <v>1361</v>
      </c>
      <c r="B1362" t="n">
        <v>53202</v>
      </c>
      <c r="C1362" t="inlineStr">
        <is>
          <t>IRBESARTAN / HYDROCHLOROTHIAZIDE TABLET ORAL 150 mg/12.5 mg</t>
        </is>
      </c>
      <c r="D1362" t="inlineStr">
        <is>
          <t>ايربزارتان کامپ هگزال   قرص خوراکي 150 mg/12.5 mg - بهستان دارو</t>
        </is>
      </c>
      <c r="E1362" t="inlineStr">
        <is>
          <t>تی‌تک و آریا</t>
        </is>
      </c>
    </row>
    <row r="1363">
      <c r="A1363" t="n">
        <v>1362</v>
      </c>
      <c r="B1363" t="n">
        <v>53203</v>
      </c>
      <c r="C1363" t="inlineStr">
        <is>
          <t>IRBESARTAN / HYDROCHLOROTHIAZIDE TABLET ORAL 300 mg/12.5 mg</t>
        </is>
      </c>
      <c r="D1363" t="inlineStr">
        <is>
          <t>ايربزارتان کامپ هگزال   قرص خوراکي 300 mg/12.5 mg - بهستان دارو</t>
        </is>
      </c>
      <c r="E1363" t="inlineStr">
        <is>
          <t>تی‌تک و آریا</t>
        </is>
      </c>
    </row>
    <row r="1364">
      <c r="A1364" t="n">
        <v>1363</v>
      </c>
      <c r="B1364" t="n">
        <v>53204</v>
      </c>
      <c r="C1364" t="inlineStr">
        <is>
          <t>IRBESARTAN / HYDROCHLOROTHIAZIDE TABLET ORAL 300 mg/25 mg</t>
        </is>
      </c>
      <c r="D1364" t="inlineStr">
        <is>
          <t>ايربزارتان کامپ هگزال   قرص خوراکي 300 mg/25 mg - بهستان دارو</t>
        </is>
      </c>
      <c r="E1364" t="inlineStr">
        <is>
          <t>تی‌تک و آریا</t>
        </is>
      </c>
    </row>
    <row r="1365">
      <c r="A1365" t="n">
        <v>1364</v>
      </c>
      <c r="B1365" t="n">
        <v>53205</v>
      </c>
      <c r="C1365" t="inlineStr">
        <is>
          <t>RAMIPRIL CAPSULE ORAL 5 mg</t>
        </is>
      </c>
      <c r="D1365" t="inlineStr">
        <is>
          <t>راميپريل جي پي   کپسول خوراکي 5 mg - سينا پيشگام دارو نوين</t>
        </is>
      </c>
      <c r="E1365" t="inlineStr">
        <is>
          <t>تی‌تک و آریا</t>
        </is>
      </c>
    </row>
    <row r="1366">
      <c r="A1366" t="n">
        <v>1365</v>
      </c>
      <c r="B1366" t="n">
        <v>53206</v>
      </c>
      <c r="C1366" t="inlineStr">
        <is>
          <t>RAMIPRIL CAPSULE ORAL 2.5 mg</t>
        </is>
      </c>
      <c r="D1366" t="inlineStr">
        <is>
          <t>راميپريل جي پي   کپسول خوراکي 2.5 mg - سينا پيشگام دارو نوين</t>
        </is>
      </c>
      <c r="E1366" t="inlineStr">
        <is>
          <t>تی‌تک و آریا</t>
        </is>
      </c>
    </row>
    <row r="1367">
      <c r="A1367" t="n">
        <v>1366</v>
      </c>
      <c r="B1367" t="n">
        <v>53207</v>
      </c>
      <c r="C1367" t="inlineStr">
        <is>
          <t>RAMIPRIL TABLET ORAL 2.5 mg</t>
        </is>
      </c>
      <c r="D1367" t="inlineStr">
        <is>
          <t>راميپريل ساندوز   قرص خوراکي 2.5 mg - بهستان دارو</t>
        </is>
      </c>
      <c r="E1367" t="inlineStr">
        <is>
          <t>تی‌تک و آریا</t>
        </is>
      </c>
    </row>
    <row r="1368">
      <c r="A1368" t="n">
        <v>1367</v>
      </c>
      <c r="B1368" t="n">
        <v>53209</v>
      </c>
      <c r="C1368" t="inlineStr">
        <is>
          <t>RAMIPRIL TABLET ORAL 5 mg</t>
        </is>
      </c>
      <c r="D1368" t="inlineStr">
        <is>
          <t>راميپريل ساندوز   قرص خوراکي 5 mg - بهستان دارو</t>
        </is>
      </c>
      <c r="E1368" t="inlineStr">
        <is>
          <t>تی‌تک و آریا</t>
        </is>
      </c>
    </row>
    <row r="1369">
      <c r="A1369" t="n">
        <v>1368</v>
      </c>
      <c r="B1369" t="n">
        <v>53210</v>
      </c>
      <c r="C1369" t="inlineStr">
        <is>
          <t>RAMIPRIL TABLET ORAL 10 mg</t>
        </is>
      </c>
      <c r="D1369" t="inlineStr">
        <is>
          <t>راميپريل ساندوز   قرص خوراکي 10 mg - بهستان دارو</t>
        </is>
      </c>
      <c r="E1369" t="inlineStr">
        <is>
          <t>تی‌تک و آریا</t>
        </is>
      </c>
    </row>
    <row r="1370">
      <c r="A1370" t="n">
        <v>1369</v>
      </c>
      <c r="B1370" t="n">
        <v>53214</v>
      </c>
      <c r="C1370" t="inlineStr">
        <is>
          <t>LIPID INFUSION 20% (2) INJECTION, SOLUTION INTRAVENOUS 5 %/6 %/6 %/3 % 100 mL</t>
        </is>
      </c>
      <c r="D1370" t="inlineStr">
        <is>
          <t>اسموف ليپيد 20%   محلول تزريقي داخل وريدي 5 %/6 %/6 %/3 % 100 mL - روژين دارو</t>
        </is>
      </c>
      <c r="E1370" t="inlineStr">
        <is>
          <t>تی‌تک و آریا</t>
        </is>
      </c>
    </row>
    <row r="1371">
      <c r="A1371" t="n">
        <v>1370</v>
      </c>
      <c r="B1371" t="n">
        <v>53216</v>
      </c>
      <c r="C1371" t="inlineStr">
        <is>
          <t>PIROXICAM GEL TOPICAL 0.5 g/100g 30 g</t>
        </is>
      </c>
      <c r="D1371" t="inlineStr">
        <is>
          <t>پيروکسيکام   ژل موضعي 0.5 g/100g 30 g - سبحان دارو</t>
        </is>
      </c>
      <c r="E1371" t="inlineStr">
        <is>
          <t>تی‌تک و آریا</t>
        </is>
      </c>
    </row>
    <row r="1372">
      <c r="A1372" t="n">
        <v>1371</v>
      </c>
      <c r="B1372" t="n">
        <v>53217</v>
      </c>
      <c r="C1372" t="inlineStr">
        <is>
          <t>METHOXSALEN INJECTION PARENTERAL 20 ug/1mL 5 mL</t>
        </is>
      </c>
      <c r="D1372" t="inlineStr">
        <is>
          <t>(ام اُ پي-8) متوکسي پسولارن   تزريقي پرنترال 20 ug/1mL 5 ug - بازرگاني سها کيش</t>
        </is>
      </c>
      <c r="E1372" t="inlineStr">
        <is>
          <t>تی‌تک و آریا</t>
        </is>
      </c>
    </row>
    <row r="1373">
      <c r="A1373" t="n">
        <v>1372</v>
      </c>
      <c r="B1373" t="n">
        <v>53218</v>
      </c>
      <c r="C1373" t="inlineStr">
        <is>
          <t>ABEMACICLIB TABLET ORAL 50 mg</t>
        </is>
      </c>
      <c r="D1373" t="inlineStr">
        <is>
          <t>ابماسيکليب   قرص خوراکي 50 mg - داروسازي سبحان انکولوژي</t>
        </is>
      </c>
      <c r="E1373" t="inlineStr">
        <is>
          <t>تی‌تک و آریا</t>
        </is>
      </c>
    </row>
    <row r="1374">
      <c r="A1374" t="n">
        <v>1373</v>
      </c>
      <c r="B1374" t="n">
        <v>53219</v>
      </c>
      <c r="C1374" t="inlineStr">
        <is>
          <t>ABEMACICLIB TABLET ORAL 100 mg</t>
        </is>
      </c>
      <c r="D1374" t="inlineStr">
        <is>
          <t>ابماسيکليب   قرص خوراکي 100 mg - داروسازي سبحان انکولوژي</t>
        </is>
      </c>
      <c r="E1374" t="inlineStr">
        <is>
          <t>تی‌تک و آریا</t>
        </is>
      </c>
    </row>
    <row r="1375">
      <c r="A1375" t="n">
        <v>1374</v>
      </c>
      <c r="B1375" t="n">
        <v>53220</v>
      </c>
      <c r="C1375" t="inlineStr">
        <is>
          <t>ABEMACICLIB TABLET ORAL 200 mg</t>
        </is>
      </c>
      <c r="D1375" t="inlineStr">
        <is>
          <t>ابماسيکليب   قرص خوراکي 200 mg - داروسازي سبحان انکولوژي</t>
        </is>
      </c>
      <c r="E1375" t="inlineStr">
        <is>
          <t>تی‌تک و آریا</t>
        </is>
      </c>
    </row>
    <row r="1376">
      <c r="A1376" t="n">
        <v>1375</v>
      </c>
      <c r="B1376" t="n">
        <v>53221</v>
      </c>
      <c r="C1376" t="inlineStr">
        <is>
          <t>TERLIPRESSIN ACETATE INJECTION, SOLUTION PARENTERAL 200 ug/1mL 5 mL</t>
        </is>
      </c>
      <c r="D1376" t="inlineStr">
        <is>
          <t>ترليپرسين استات اورفارما   محلول تزريقي پرنترال 200 ug/1mL 5 mg - اهران تجارت</t>
        </is>
      </c>
      <c r="E1376" t="inlineStr">
        <is>
          <t>تی‌تک و آریا</t>
        </is>
      </c>
    </row>
    <row r="1377">
      <c r="A1377" t="n">
        <v>1376</v>
      </c>
      <c r="B1377" t="n">
        <v>53224</v>
      </c>
      <c r="C1377" t="inlineStr">
        <is>
          <t>SUMATRIPTAN SPRAY NASAL 20 mg 6 {dose}</t>
        </is>
      </c>
      <c r="D1377" t="inlineStr">
        <is>
          <t>سوماتريپتان   اسپري از راه بيني 20 mg 6 mL - بهستان دارو</t>
        </is>
      </c>
      <c r="E1377" t="inlineStr">
        <is>
          <t>تی‌تک و آریا</t>
        </is>
      </c>
    </row>
    <row r="1378">
      <c r="A1378" t="n">
        <v>1377</v>
      </c>
      <c r="B1378" t="n">
        <v>53230</v>
      </c>
      <c r="C1378" t="inlineStr">
        <is>
          <t>MIDOSTAURIN CAPSULE, LIQUID FILLED ORAL 25 mg</t>
        </is>
      </c>
      <c r="D1378" t="inlineStr">
        <is>
          <t>ريداپت   کپسول حاوي مايع خوراکي 25 mg - بازرگاني سها کيش</t>
        </is>
      </c>
      <c r="E1378" t="inlineStr">
        <is>
          <t>تی‌تک و آریا</t>
        </is>
      </c>
    </row>
    <row r="1379">
      <c r="A1379" t="n">
        <v>1378</v>
      </c>
      <c r="B1379" t="n">
        <v>53231</v>
      </c>
      <c r="C1379" t="inlineStr">
        <is>
          <t>DIPHTHERIA ANTITOXIN (EQUINE) INJECTION PARENTERAL 2000 [iU]/1mL 5 mL</t>
        </is>
      </c>
      <c r="D1379" t="inlineStr">
        <is>
          <t>ايمونوگلوبولين ضدديفتري   تزريقي پرنترال 2000 [iU]/1mL 5 mL - موسسه تحقيقات واکسن وسرم سازي رازي</t>
        </is>
      </c>
      <c r="E1379" t="inlineStr">
        <is>
          <t>تی‌تک و آریا</t>
        </is>
      </c>
    </row>
    <row r="1380">
      <c r="A1380" t="n">
        <v>1379</v>
      </c>
      <c r="B1380" t="n">
        <v>53244</v>
      </c>
      <c r="C1380" t="inlineStr">
        <is>
          <t>ENCORAFENIB CAPSULE ORAL 75 mg</t>
        </is>
      </c>
      <c r="D1380" t="inlineStr">
        <is>
          <t>برافتووي   کپسول خوراکي 75 mg - ياسين داروي فارس</t>
        </is>
      </c>
      <c r="E1380" t="inlineStr">
        <is>
          <t>تی‌تک و آریا</t>
        </is>
      </c>
    </row>
    <row r="1381">
      <c r="A1381" t="n">
        <v>1380</v>
      </c>
      <c r="B1381" t="n">
        <v>53245</v>
      </c>
      <c r="C1381" t="inlineStr">
        <is>
          <t>AZELASTINE HYDROCHLORIDE / FLUTICASONE PROPIONATE SPRAY, METERED NASAL 137 ug/50 ug/1 {Puff} 70 {dose}</t>
        </is>
      </c>
      <c r="D1381" t="inlineStr">
        <is>
          <t>آزافلونکس   اسپري با دوز اندازه گيري شده از راه بيني 137 ug/50 ug/1 {Puff} 70 {dose} - درمان پژوهان تريتا</t>
        </is>
      </c>
      <c r="E1381" t="inlineStr">
        <is>
          <t>تی‌تک و آریا</t>
        </is>
      </c>
    </row>
    <row r="1382">
      <c r="A1382" t="n">
        <v>1381</v>
      </c>
      <c r="B1382" t="n">
        <v>53254</v>
      </c>
      <c r="C1382" t="inlineStr">
        <is>
          <t>FLUOCINOLONE ACETONIDE OINTMENT TOPICAL 0.025 % 2000 g</t>
        </is>
      </c>
      <c r="D1382" t="inlineStr">
        <is>
          <t>فلوئوسينولون-عماد   پماد موضعي 0.025 % 2000 kg - عماد درمان پارس</t>
        </is>
      </c>
      <c r="E1382" t="inlineStr">
        <is>
          <t>تی‌تک و آریا</t>
        </is>
      </c>
    </row>
    <row r="1383">
      <c r="A1383" t="n">
        <v>1382</v>
      </c>
      <c r="B1383" t="n">
        <v>53255</v>
      </c>
      <c r="C1383" t="inlineStr">
        <is>
          <t>OZANIMOD (AS HYDROCHLORIDE) CAPSULE ORAL 0.23 mg</t>
        </is>
      </c>
      <c r="E1383" t="inlineStr">
        <is>
          <t>فقط تی‌تک</t>
        </is>
      </c>
    </row>
    <row r="1384">
      <c r="A1384" t="n">
        <v>1383</v>
      </c>
      <c r="B1384" t="n">
        <v>53258</v>
      </c>
      <c r="C1384" t="inlineStr">
        <is>
          <t>PALIVIZUMAB INJECTION, SOLUTION PARENTERAL 50 mg/0.5mL</t>
        </is>
      </c>
      <c r="D1384" t="inlineStr">
        <is>
          <t>سيناجيس   محلول تزريقي پرنترال 50 mg/0.5mL  mg - کوبل دارو</t>
        </is>
      </c>
      <c r="E1384" t="inlineStr">
        <is>
          <t>تی‌تک و آریا</t>
        </is>
      </c>
    </row>
    <row r="1385">
      <c r="A1385" t="n">
        <v>1384</v>
      </c>
      <c r="B1385" t="n">
        <v>53259</v>
      </c>
      <c r="C1385" t="inlineStr">
        <is>
          <t>PALIVIZUMAB INJECTION, SOLUTION PARENTERAL 100 mg/1mL</t>
        </is>
      </c>
      <c r="D1385" t="inlineStr">
        <is>
          <t>سيناجيس   محلول تزريقي پرنترال 100 mg/1mL  mg - کوبل دارو</t>
        </is>
      </c>
      <c r="E1385" t="inlineStr">
        <is>
          <t>تی‌تک و آریا</t>
        </is>
      </c>
    </row>
    <row r="1386">
      <c r="A1386" t="n">
        <v>1385</v>
      </c>
      <c r="B1386" t="n">
        <v>53266</v>
      </c>
      <c r="C1386" t="inlineStr">
        <is>
          <t>TOLVAPTAN TABLET ORAL 30 mg</t>
        </is>
      </c>
      <c r="D1386" t="inlineStr">
        <is>
          <t>تولوات   قرص خوراکي 30 mg - آسمان داروي پارس</t>
        </is>
      </c>
      <c r="E1386" t="inlineStr">
        <is>
          <t>تی‌تک و آریا</t>
        </is>
      </c>
    </row>
    <row r="1387">
      <c r="A1387" t="n">
        <v>1386</v>
      </c>
      <c r="B1387" t="n">
        <v>53267</v>
      </c>
      <c r="C1387" t="inlineStr">
        <is>
          <t>PNEUMOCOCCAL VACCINE 15-VALENT INJECTION PARENTERAL  0.5 mL</t>
        </is>
      </c>
      <c r="D1387" t="inlineStr">
        <is>
          <t>وکسنوونس   تزريقي پرنترال  0.5 mL - بهستان دارو</t>
        </is>
      </c>
      <c r="E1387" t="inlineStr">
        <is>
          <t>تی‌تک و آریا</t>
        </is>
      </c>
    </row>
    <row r="1388">
      <c r="A1388" t="n">
        <v>1387</v>
      </c>
      <c r="B1388" t="n">
        <v>53269</v>
      </c>
      <c r="C1388" t="inlineStr">
        <is>
          <t>DULAGLUTIDE INJECTION, SOLUTION PARENTERAL 1.5 mg/0.5mL</t>
        </is>
      </c>
      <c r="D1388" t="inlineStr">
        <is>
          <t>تروليسيتي   محلول تزريقي پرنترال 1.5 mg/0.5mL  mg - شفا ياب گستر</t>
        </is>
      </c>
      <c r="E1388" t="inlineStr">
        <is>
          <t>تی‌تک و آریا</t>
        </is>
      </c>
    </row>
    <row r="1389">
      <c r="A1389" t="n">
        <v>1388</v>
      </c>
      <c r="B1389" t="n">
        <v>53270</v>
      </c>
      <c r="C1389" t="inlineStr">
        <is>
          <t>DULAGLUTIDE INJECTION, SOLUTION PARENTERAL 0.75 mg/0.5mL</t>
        </is>
      </c>
      <c r="D1389" t="inlineStr">
        <is>
          <t>تروليسيتي   محلول تزريقي پرنترال 0.75 mg/0.5mL  mg - شفا ياب گستر</t>
        </is>
      </c>
      <c r="E1389" t="inlineStr">
        <is>
          <t>تی‌تک و آریا</t>
        </is>
      </c>
    </row>
    <row r="1390">
      <c r="A1390" t="n">
        <v>1389</v>
      </c>
      <c r="B1390" t="n">
        <v>53274</v>
      </c>
      <c r="C1390" t="inlineStr">
        <is>
          <t>SACITUZUMAB GOVITECAN INJECTION, POWDER, FOR SOLUTION PARENTERAL 200 mg</t>
        </is>
      </c>
      <c r="D1390" t="inlineStr">
        <is>
          <t>ترودلوي   پودر براي تهيه محلول تزريقي پرنترال 200 mg  mg - آسمان داروي پارس</t>
        </is>
      </c>
      <c r="E1390" t="inlineStr">
        <is>
          <t>تی‌تک و آریا</t>
        </is>
      </c>
    </row>
    <row r="1391">
      <c r="A1391" t="n">
        <v>1390</v>
      </c>
      <c r="B1391" t="n">
        <v>53276</v>
      </c>
      <c r="C1391" t="inlineStr">
        <is>
          <t>DABRAFENIB (AS MESILATE) CAPSULE ORAL 50 mg</t>
        </is>
      </c>
      <c r="D1391" t="inlineStr">
        <is>
          <t>تافينلار   کپسول خوراکي 50 mg - بازرگاني سها کيش</t>
        </is>
      </c>
      <c r="E1391" t="inlineStr">
        <is>
          <t>تی‌تک و آریا</t>
        </is>
      </c>
    </row>
    <row r="1392">
      <c r="A1392" t="n">
        <v>1391</v>
      </c>
      <c r="B1392" t="n">
        <v>53278</v>
      </c>
      <c r="C1392" t="inlineStr">
        <is>
          <t>ABATACEPT INJECTION, POWDER, FOR SOLUTION PARENTERAL 250 mg</t>
        </is>
      </c>
      <c r="D1392" t="inlineStr">
        <is>
          <t>اورنسيا   پودر براي تهيه محلول تزريقي پرنترال 250 mg  mg - بازرگاني سها کيش</t>
        </is>
      </c>
      <c r="E1392" t="inlineStr">
        <is>
          <t>تی‌تک و آریا</t>
        </is>
      </c>
    </row>
    <row r="1393">
      <c r="A1393" t="n">
        <v>1392</v>
      </c>
      <c r="B1393" t="n">
        <v>53280</v>
      </c>
      <c r="C1393" t="inlineStr">
        <is>
          <t>TILIDINE / NALOXONE TABLET, EXTENDED RELEASE ORAL 100 mg/8 mg</t>
        </is>
      </c>
      <c r="D1393" t="inlineStr">
        <is>
          <t>تيليدين   قرص پيوسته رهش خوراکي 100 mg/8 mg - بازرگاني سها کيش</t>
        </is>
      </c>
      <c r="E1393" t="inlineStr">
        <is>
          <t>تی‌تک و آریا</t>
        </is>
      </c>
    </row>
    <row r="1394">
      <c r="A1394" t="n">
        <v>1393</v>
      </c>
      <c r="B1394" t="n">
        <v>53281</v>
      </c>
      <c r="C1394" t="inlineStr">
        <is>
          <t>MIDODRINE HYDROCHLORIDE TABLET ORAL 10 mg</t>
        </is>
      </c>
      <c r="D1394" t="inlineStr">
        <is>
          <t>ميدودار   قرص خوراکي 10 mg - آرنا حيات دانش</t>
        </is>
      </c>
      <c r="E1394" t="inlineStr">
        <is>
          <t>تی‌تک و آریا</t>
        </is>
      </c>
    </row>
    <row r="1395">
      <c r="A1395" t="n">
        <v>1394</v>
      </c>
      <c r="B1395" t="n">
        <v>53287</v>
      </c>
      <c r="C1395" t="inlineStr">
        <is>
          <t>FLUNARIZINE (AS DIHYDROCHLORIDE) TABLET ORAL 5 mg</t>
        </is>
      </c>
      <c r="D1395" t="inlineStr">
        <is>
          <t>سيبليوم   قرص خوراکي 5 mg - بازرگاني سها کيش</t>
        </is>
      </c>
      <c r="E1395" t="inlineStr">
        <is>
          <t>تی‌تک و آریا</t>
        </is>
      </c>
    </row>
    <row r="1396">
      <c r="A1396" t="n">
        <v>1395</v>
      </c>
      <c r="B1396" t="n">
        <v>53288</v>
      </c>
      <c r="C1396" t="inlineStr">
        <is>
          <t>ENFORTUMAB VEDOTIN INJECTION, POWDER, FOR SOLUTION PARENTERAL 20 mg</t>
        </is>
      </c>
      <c r="D1396" t="inlineStr">
        <is>
          <t>پدسو   پودر براي تهيه محلول تزريقي پرنترال 20 mg  mg - بازرگاني سها کيش</t>
        </is>
      </c>
      <c r="E1396" t="inlineStr">
        <is>
          <t>تی‌تک و آریا</t>
        </is>
      </c>
    </row>
    <row r="1397">
      <c r="A1397" t="n">
        <v>1396</v>
      </c>
      <c r="B1397" t="n">
        <v>53289</v>
      </c>
      <c r="C1397" t="inlineStr">
        <is>
          <t>ENTRECTINIB CAPSULE ORAL 100 mg</t>
        </is>
      </c>
      <c r="D1397" t="inlineStr">
        <is>
          <t>روزليترک   کپسول خوراکي 100 mg - بازرگاني سها کيش</t>
        </is>
      </c>
      <c r="E1397" t="inlineStr">
        <is>
          <t>تی‌تک و آریا</t>
        </is>
      </c>
    </row>
    <row r="1398">
      <c r="A1398" t="n">
        <v>1397</v>
      </c>
      <c r="B1398" t="n">
        <v>53305</v>
      </c>
      <c r="C1398" t="inlineStr">
        <is>
          <t>PAPAVERINE HYDROCHLORIDE INJECTION PARENTERAL 20 mg/1mL 1 mL</t>
        </is>
      </c>
      <c r="D1398" t="inlineStr">
        <is>
          <t>پاپاورين سوفارما   تزريقي پرنترال 20 mg/1mL 1 mL - سينا پيشگام دارو نوين</t>
        </is>
      </c>
      <c r="E1398" t="inlineStr">
        <is>
          <t>تی‌تک و آریا</t>
        </is>
      </c>
    </row>
    <row r="1399">
      <c r="A1399" t="n">
        <v>1398</v>
      </c>
      <c r="B1399" t="n">
        <v>53306</v>
      </c>
      <c r="C1399" t="inlineStr">
        <is>
          <t>ZIDOVUDINE TABLET ORAL 100 mg</t>
        </is>
      </c>
      <c r="D1399" t="inlineStr">
        <is>
          <t>زيدوودين   قرص خوراکي 100 mg - بهر سان فرتاک دارو</t>
        </is>
      </c>
      <c r="E1399" t="inlineStr">
        <is>
          <t>تی‌تک و آریا</t>
        </is>
      </c>
    </row>
    <row r="1400">
      <c r="A1400" t="n">
        <v>1399</v>
      </c>
      <c r="B1400" t="n">
        <v>53309</v>
      </c>
      <c r="C1400" t="inlineStr">
        <is>
          <t>DIPHTHERIA TOXOID / TETANUS TOXOIDS ADSORBED VACCINE (Td) (ADULT) INJECTION PARENTERAL 14 {dose} 7 mL</t>
        </is>
      </c>
      <c r="D1400" t="inlineStr">
        <is>
          <t>واکسن جذب شده ديفتري و کزاز بزرگسالان   تزريقي پرنترال 14 {dose} 7 {dose} - موسسه تحقيقات واکسن وسرم سازي رازي</t>
        </is>
      </c>
      <c r="E1400" t="inlineStr">
        <is>
          <t>تی‌تک و آریا</t>
        </is>
      </c>
    </row>
    <row r="1401">
      <c r="A1401" t="n">
        <v>1400</v>
      </c>
      <c r="B1401" t="n">
        <v>53310</v>
      </c>
      <c r="C1401" t="inlineStr">
        <is>
          <t>AMINO ACID 10% PAEDIATRIC (1) INJECTION, SOLUTION INTRAVENOUS 8 mg/13 mg/8.51 mg/3.12 mg/3.75 mg/4.4 mg/2.01 mg/9 mg/7.5 mg/4.76 mg/9.3 mg/4.15 mg/0.7 mg/2.3 mg/1.6 mg/9.71 mg/7.67 mg/5.176 mg/2.26 mg/0.4 mg/1 mL/1mL 100 mL</t>
        </is>
      </c>
      <c r="D1401" t="inlineStr">
        <is>
          <t xml:space="preserve">آمينوون اينفنت 10%   محلول تزريقي داخل وريدي 8 mg/13 mg/8.51 mg/3.12 mg/3.75 mg/4.4 mg/2.01 mg/9 mg/7.5 mg/4.76 mg/9.3 mg/4.15 mg/0.7 mg/2.3 mg/1.6 mg/9.71 mg/7.67 mg/5.176 mg/2.26 mg/0.4 mg/1 mL/1mL </t>
        </is>
      </c>
      <c r="E1401" t="inlineStr">
        <is>
          <t>تی‌تک و آریا</t>
        </is>
      </c>
    </row>
    <row r="1402">
      <c r="A1402" t="n">
        <v>1401</v>
      </c>
      <c r="B1402" t="n">
        <v>53311</v>
      </c>
      <c r="C1402" t="inlineStr">
        <is>
          <t>LIPID INFUSION 10% (2) INJECTION, SOLUTION INTRAVENOUS 100 mg/22 mg/12 mg/1mL 100 mL</t>
        </is>
      </c>
      <c r="D1402" t="inlineStr">
        <is>
          <t>اينتراليپيد 10%   محلول تزريقي داخل وريدي 100 mg/22 mg/12 mg/1mL 100 mL - درمان ياب دارو</t>
        </is>
      </c>
      <c r="E1402" t="inlineStr">
        <is>
          <t>تی‌تک و آریا</t>
        </is>
      </c>
    </row>
    <row r="1403">
      <c r="A1403" t="n">
        <v>1402</v>
      </c>
      <c r="B1403" t="n">
        <v>53313</v>
      </c>
      <c r="C1403" t="inlineStr">
        <is>
          <t>LABETALOL HYDROCHLORIDE TABLET ORAL 100 mg</t>
        </is>
      </c>
      <c r="D1403" t="inlineStr">
        <is>
          <t>لابتالول   قرص خوراکي 100 mg - بازرگاني سها کيش</t>
        </is>
      </c>
      <c r="E1403" t="inlineStr">
        <is>
          <t>تی‌تک و آریا</t>
        </is>
      </c>
    </row>
    <row r="1404">
      <c r="A1404" t="n">
        <v>1403</v>
      </c>
      <c r="B1404" t="n">
        <v>53314</v>
      </c>
      <c r="C1404" t="inlineStr">
        <is>
          <t>RABIES IMMUNE GLOBULIN INJECTION PARENTERAL 200 [iU]/1mL 5 mL</t>
        </is>
      </c>
      <c r="D1404" t="inlineStr">
        <is>
          <t>اکوئي رب   تزريقي پرنترال 200 [iU]/1mL 5 [iU] - تدبير کالاي جم</t>
        </is>
      </c>
      <c r="E1404" t="inlineStr">
        <is>
          <t>تی‌تک و آریا</t>
        </is>
      </c>
    </row>
    <row r="1405">
      <c r="A1405" t="n">
        <v>1404</v>
      </c>
      <c r="B1405" t="n">
        <v>53317</v>
      </c>
      <c r="C1405" t="inlineStr">
        <is>
          <t>BLOOD PLASMA, PHRESIS, ANTIRABIES INJECTION PARENTERAL  650 mL</t>
        </is>
      </c>
      <c r="D1405" t="inlineStr">
        <is>
          <t>پلاسماي انساني هايپرايميون ضد هاري   تزريقي پرنترال  650 mL - نوين داروي زيست فن آور هراز</t>
        </is>
      </c>
      <c r="E1405" t="inlineStr">
        <is>
          <t>تی‌تک و آریا</t>
        </is>
      </c>
    </row>
    <row r="1406">
      <c r="A1406" t="n">
        <v>1405</v>
      </c>
      <c r="B1406" t="n">
        <v>53318</v>
      </c>
      <c r="C1406" t="inlineStr">
        <is>
          <t>MEASLES VACCINE, MONOVALENT INJECTION PARENTERAL 5 {dose}</t>
        </is>
      </c>
      <c r="D1406" t="inlineStr">
        <is>
          <t>واکسن زنده تخفيف حدت يافته سرخک   تزريقي پرنترال 5 {dose}  {dose} - موسسه تحقيقات واکسن وسرم سازي رازي</t>
        </is>
      </c>
      <c r="E1406" t="inlineStr">
        <is>
          <t>تی‌تک و آریا</t>
        </is>
      </c>
    </row>
    <row r="1407">
      <c r="A1407" t="n">
        <v>1406</v>
      </c>
      <c r="B1407" t="n">
        <v>53319</v>
      </c>
      <c r="C1407" t="inlineStr">
        <is>
          <t>SILDENAFIL (AS CITRATE) TABLET ORAL 20 mg</t>
        </is>
      </c>
      <c r="D1407" t="inlineStr">
        <is>
          <t>سيلدنافيل   قرص خوراکي 20 mg - داروسازي جالينوس</t>
        </is>
      </c>
      <c r="E1407" t="inlineStr">
        <is>
          <t>تی‌تک و آریا</t>
        </is>
      </c>
    </row>
    <row r="1408">
      <c r="A1408" t="n">
        <v>1407</v>
      </c>
      <c r="B1408" t="n">
        <v>53320</v>
      </c>
      <c r="C1408" t="inlineStr">
        <is>
          <t>SILDENAFIL (AS CITRATE) TABLET ORAL 5 mg</t>
        </is>
      </c>
      <c r="D1408" t="inlineStr">
        <is>
          <t>سيلدنافيل   قرص خوراکي 5 mg - داروسازي جالينوس</t>
        </is>
      </c>
      <c r="E1408" t="inlineStr">
        <is>
          <t>تی‌تک و آریا</t>
        </is>
      </c>
    </row>
    <row r="1409">
      <c r="A1409" t="n">
        <v>1408</v>
      </c>
      <c r="B1409" t="n">
        <v>53321</v>
      </c>
      <c r="C1409" t="inlineStr">
        <is>
          <t>SELEXIPAG TABLET ORAL 200 ug</t>
        </is>
      </c>
      <c r="D1409" t="inlineStr">
        <is>
          <t>آپتراوي   قرص خوراکي 200 ug - بازرگاني سها کيش</t>
        </is>
      </c>
      <c r="E1409" t="inlineStr">
        <is>
          <t>تی‌تک و آریا</t>
        </is>
      </c>
    </row>
    <row r="1410">
      <c r="A1410" t="n">
        <v>1409</v>
      </c>
      <c r="B1410" t="n">
        <v>53322</v>
      </c>
      <c r="C1410" t="inlineStr">
        <is>
          <t>ROTAVIRUS VACCINE, PENTAVALENT, LIVE SOLUTION ORAL 1 {dose} 2 {dose}</t>
        </is>
      </c>
      <c r="D1410" t="inlineStr">
        <is>
          <t>روتاسيل   محلول خوراکي 1 {dose} 2 {dose} - هيات امناي صرفه جويي ارزي در معالجه بيماران</t>
        </is>
      </c>
      <c r="E1410" t="inlineStr">
        <is>
          <t>تی‌تک و آریا</t>
        </is>
      </c>
    </row>
    <row r="1411">
      <c r="A1411" t="n">
        <v>1410</v>
      </c>
      <c r="B1411" t="n">
        <v>53325</v>
      </c>
      <c r="C1411" t="inlineStr">
        <is>
          <t>QUININE DIHYDROCHLORIDE INJECTION PARENTERAL 300 mg/1mL 2 mL</t>
        </is>
      </c>
      <c r="D1411" t="inlineStr">
        <is>
          <t>کينين دي هيدرو کلرايد   تزريقي پرنترال 300 mg/1mL 2 mg - بهر سان فرتاک دارو</t>
        </is>
      </c>
      <c r="E1411" t="inlineStr">
        <is>
          <t>تی‌تک و آریا</t>
        </is>
      </c>
    </row>
    <row r="1412">
      <c r="A1412" t="n">
        <v>1411</v>
      </c>
      <c r="B1412" t="n">
        <v>53329</v>
      </c>
      <c r="C1412" t="inlineStr">
        <is>
          <t>AMIVANTAMAB INJECTION, SOLUTION, CONCENTRATE PARENTERAL /1mL 7 mL</t>
        </is>
      </c>
      <c r="D1412" t="inlineStr">
        <is>
          <t>رايبروانت   محلول غليظ تزريقي پرنترال /1mL 7 - مرز گستران فناوري آينده</t>
        </is>
      </c>
      <c r="E1412" t="inlineStr">
        <is>
          <t>تی‌تک و آریا</t>
        </is>
      </c>
    </row>
    <row r="1413">
      <c r="A1413" t="n">
        <v>1412</v>
      </c>
      <c r="B1413" t="n">
        <v>53330</v>
      </c>
      <c r="C1413" t="inlineStr">
        <is>
          <t>IVACAFTOR / TEZACAFTOR / ELEXACAFTOR TABLET ORAL 75 mg/50 mg/100 mg</t>
        </is>
      </c>
      <c r="D1413" t="inlineStr">
        <is>
          <t>کافتريو   قرص خوراکي 75 mg/50 mg/100 mg - بازرگاني سها کيش</t>
        </is>
      </c>
      <c r="E1413" t="inlineStr">
        <is>
          <t>تی‌تک و آریا</t>
        </is>
      </c>
    </row>
    <row r="1414">
      <c r="A1414" t="n">
        <v>1413</v>
      </c>
      <c r="B1414" t="n">
        <v>53332</v>
      </c>
      <c r="C1414" t="inlineStr">
        <is>
          <t>BUPRENORPHINE  INJECTION, SOLUTION, EXTENDED RELEASE PARENTERAL 300 mg/1.5mL</t>
        </is>
      </c>
      <c r="D1414" t="inlineStr">
        <is>
          <t>بوپرنورفين اي آر   تزريق، محلول، رهش طولاني مدت پرنترال 300 mg/1.5mL  mg - تحقيقاتي و توليدي واريان فارمد</t>
        </is>
      </c>
      <c r="E1414" t="inlineStr">
        <is>
          <t>تی‌تک و آریا</t>
        </is>
      </c>
    </row>
    <row r="1415">
      <c r="A1415" t="n">
        <v>1414</v>
      </c>
      <c r="B1415" t="n">
        <v>53338</v>
      </c>
      <c r="C1415" t="inlineStr">
        <is>
          <t>CENOBAMATE TABLET ORAL 100 mg</t>
        </is>
      </c>
      <c r="D1415" t="inlineStr">
        <is>
          <t>اونتوزري   قرص خوراکي 100 mg - بازرگاني سها کيش</t>
        </is>
      </c>
      <c r="E1415" t="inlineStr">
        <is>
          <t>تی‌تک و آریا</t>
        </is>
      </c>
    </row>
    <row r="1416">
      <c r="A1416" t="n">
        <v>1415</v>
      </c>
      <c r="B1416" t="n">
        <v>53340</v>
      </c>
      <c r="C1416" t="inlineStr">
        <is>
          <t>ISOPROTERENOL HYDROCHLORIDE INJECTION PARENTERAL 2 mg/1mL 1 mL</t>
        </is>
      </c>
      <c r="D1416" t="inlineStr">
        <is>
          <t>ايزولين   تزريقي پرنترال 2 mg/1mL 1 mg - دارويي البرز زاگرس</t>
        </is>
      </c>
      <c r="E1416" t="inlineStr">
        <is>
          <t>تی‌تک و آریا</t>
        </is>
      </c>
    </row>
    <row r="1417">
      <c r="A1417" t="n">
        <v>1416</v>
      </c>
      <c r="B1417" t="n">
        <v>53343</v>
      </c>
      <c r="C1417" t="inlineStr">
        <is>
          <t>MENINGOCOCCAL POLYSACCHARIDE CONJUGATE VACCINE A,C,Y,W,X INJECTION PARENTERAL 1 {dose} 0.5 mL</t>
        </is>
      </c>
      <c r="D1417" t="inlineStr">
        <is>
          <t>منفايو   تزريقي پرنترال 1 {dose} 0.5 {dose} - اوين دارو</t>
        </is>
      </c>
      <c r="E1417" t="inlineStr">
        <is>
          <t>تی‌تک و آریا</t>
        </is>
      </c>
    </row>
    <row r="1418">
      <c r="A1418" t="n">
        <v>1417</v>
      </c>
      <c r="B1418" t="n">
        <v>53344</v>
      </c>
      <c r="C1418" t="inlineStr">
        <is>
          <t>MENINGOCOCCAL POLYSACCHARIDE CONJUGATE VACCINE A,C,Y,W,X INJECTION PARENTERAL 5 {dose} 2.5 mL</t>
        </is>
      </c>
      <c r="D1418" t="inlineStr">
        <is>
          <t>منفايو   تزريقي پرنترال 5 {dose} 2.5 {dose} - اوين دارو</t>
        </is>
      </c>
      <c r="E1418" t="inlineStr">
        <is>
          <t>تی‌تک و آریا</t>
        </is>
      </c>
    </row>
    <row r="1419">
      <c r="A1419" t="n">
        <v>1418</v>
      </c>
      <c r="B1419" t="n">
        <v>53347</v>
      </c>
      <c r="C1419" t="inlineStr">
        <is>
          <t>OPIUM TINCTURE ORAL 10 mg/1mL 30 mL</t>
        </is>
      </c>
      <c r="E1419" t="inlineStr">
        <is>
          <t>فقط تی‌تک</t>
        </is>
      </c>
    </row>
    <row r="1420">
      <c r="A1420" t="n">
        <v>1419</v>
      </c>
      <c r="B1420" t="n">
        <v>53348</v>
      </c>
      <c r="C1420" t="inlineStr">
        <is>
          <t>OPIUM TINCTURE ORAL 10 mg/1mL 60 mL</t>
        </is>
      </c>
      <c r="E1420" t="inlineStr">
        <is>
          <t>فقط تی‌تک</t>
        </is>
      </c>
    </row>
    <row r="1421">
      <c r="A1421" t="n">
        <v>1420</v>
      </c>
      <c r="B1421" t="n">
        <v>53351</v>
      </c>
      <c r="C1421" t="inlineStr">
        <is>
          <t>FERRIC CARBOXYMALTOSE INJECTION PARENTERAL 50 mg/1mL 2 mL</t>
        </is>
      </c>
      <c r="D1421" t="inlineStr">
        <is>
          <t>فريرايز   تزريقي پرنترال 50 mg/1mL 2 mg - زيست دارو دانش</t>
        </is>
      </c>
      <c r="E1421" t="inlineStr">
        <is>
          <t>تی‌تک و آریا</t>
        </is>
      </c>
    </row>
    <row r="1422">
      <c r="A1422" t="n">
        <v>1421</v>
      </c>
      <c r="B1422" t="n">
        <v>53363</v>
      </c>
      <c r="C1422" t="inlineStr">
        <is>
          <t>PERMETHRIN SHAMPOO TOPICAL 1 % 100 mL</t>
        </is>
      </c>
      <c r="D1422" t="inlineStr">
        <is>
          <t>پيرتومکس   شامپو موضعي 1 % 100 mL - لابراتوارهاي شهردارو</t>
        </is>
      </c>
      <c r="E1422" t="inlineStr">
        <is>
          <t>تی‌تک و آریا</t>
        </is>
      </c>
    </row>
    <row r="1423">
      <c r="A1423" t="n">
        <v>1422</v>
      </c>
      <c r="B1423" t="n">
        <v>53369</v>
      </c>
      <c r="C1423" t="inlineStr">
        <is>
          <t>ALPELISIB TABLET ORAL 150 mg</t>
        </is>
      </c>
      <c r="D1423" t="inlineStr">
        <is>
          <t>پيويکتو   قرص خوراکي 150 mg - بازرگاني سها کيش</t>
        </is>
      </c>
      <c r="E1423" t="inlineStr">
        <is>
          <t>تی‌تک و آریا</t>
        </is>
      </c>
    </row>
    <row r="1424">
      <c r="A1424" t="n">
        <v>1423</v>
      </c>
      <c r="B1424" t="n">
        <v>53375</v>
      </c>
      <c r="C1424" t="inlineStr">
        <is>
          <t>SACITUZUMAB GOVITECAN INJECTION, POWDER, FOR SOLUTION PARENTERAL 180 mg</t>
        </is>
      </c>
      <c r="D1424" t="inlineStr">
        <is>
          <t>ترودلوي   پودر براي تهيه محلول تزريقي پرنترال 180 mg  mg - ياسين داروي فارس</t>
        </is>
      </c>
      <c r="E1424" t="inlineStr">
        <is>
          <t>تی‌تک و آریا</t>
        </is>
      </c>
    </row>
    <row r="1425">
      <c r="A1425" t="n">
        <v>1424</v>
      </c>
      <c r="B1425" t="n">
        <v>53377</v>
      </c>
      <c r="C1425" t="inlineStr">
        <is>
          <t>OPIUM TINCTURE ORAL 10 mg/1mL 15 mL</t>
        </is>
      </c>
      <c r="E1425" t="inlineStr">
        <is>
          <t>فقط تی‌تک</t>
        </is>
      </c>
    </row>
    <row r="1426">
      <c r="A1426" t="n">
        <v>1425</v>
      </c>
      <c r="B1426" t="n">
        <v>53378</v>
      </c>
      <c r="C1426" t="inlineStr">
        <is>
          <t>ELOTUZUMAB INJECTION, POWDER, FOR SOLUTION PARENTERAL 300 mg</t>
        </is>
      </c>
      <c r="D1426" t="inlineStr">
        <is>
          <t>امپليسيتي   پودر براي تهيه محلول تزريقي پرنترال 300 mg  mg - ياسين داروي فارس</t>
        </is>
      </c>
      <c r="E1426" t="inlineStr">
        <is>
          <t>تی‌تک و آریا</t>
        </is>
      </c>
    </row>
    <row r="1427">
      <c r="A1427" t="n">
        <v>1426</v>
      </c>
      <c r="B1427" t="n">
        <v>53386</v>
      </c>
      <c r="C1427" t="inlineStr">
        <is>
          <t>ARTIFICIAL SALIVA SPRAY ORAL  50 mL</t>
        </is>
      </c>
      <c r="D1427" t="inlineStr">
        <is>
          <t>بزاق مصنوعي   اسپري خوراکي  50 mL - ايران دارو</t>
        </is>
      </c>
      <c r="E1427" t="inlineStr">
        <is>
          <t>تی‌تک و آریا</t>
        </is>
      </c>
    </row>
    <row r="1428">
      <c r="A1428" t="n">
        <v>1427</v>
      </c>
      <c r="B1428" t="n">
        <v>53387</v>
      </c>
      <c r="C1428" t="inlineStr">
        <is>
          <t>BECLOMETHASONE DIPROPIONATE / FORMOTEROL FUMARATE / GLYCOPYRRONIUM (AS BROMIDE) INHALANT RESPIRATORY 100 ug/6 ug/10 ug 120 {Puff}</t>
        </is>
      </c>
      <c r="D1428" t="inlineStr">
        <is>
          <t>تريمبو   اينهالر استنشاقي 100 ug/6 ug/10 ug 120 {Puff} - درمان ياب دارو</t>
        </is>
      </c>
      <c r="E1428" t="inlineStr">
        <is>
          <t>تی‌تک و آریا</t>
        </is>
      </c>
    </row>
    <row r="1429">
      <c r="A1429" t="n">
        <v>1428</v>
      </c>
      <c r="B1429" t="n">
        <v>53389</v>
      </c>
      <c r="C1429" t="inlineStr">
        <is>
          <t>TORSEMIDE TABLET ORAL 5 mg</t>
        </is>
      </c>
      <c r="D1429" t="inlineStr">
        <is>
          <t>تورزايد   قرص خوراکي 5 mg - آرنا حيات دانش</t>
        </is>
      </c>
      <c r="E1429" t="inlineStr">
        <is>
          <t>تی‌تک و آریا</t>
        </is>
      </c>
    </row>
    <row r="1430">
      <c r="A1430" t="n">
        <v>1429</v>
      </c>
      <c r="B1430" t="n">
        <v>53390</v>
      </c>
      <c r="C1430" t="inlineStr">
        <is>
          <t>TORSEMIDE TABLET ORAL 10 mg</t>
        </is>
      </c>
      <c r="D1430" t="inlineStr">
        <is>
          <t>تورزايد   قرص خوراکي 10 mg - آرنا حيات دانش</t>
        </is>
      </c>
      <c r="E1430" t="inlineStr">
        <is>
          <t>تی‌تک و آریا</t>
        </is>
      </c>
    </row>
    <row r="1431">
      <c r="A1431" t="n">
        <v>1430</v>
      </c>
      <c r="B1431" t="n">
        <v>53391</v>
      </c>
      <c r="C1431" t="inlineStr">
        <is>
          <t>TORSEMIDE TABLET ORAL 20 mg</t>
        </is>
      </c>
      <c r="D1431" t="inlineStr">
        <is>
          <t>تورزايد   قرص خوراکي 20 mg - آرنا حيات دانش</t>
        </is>
      </c>
      <c r="E1431" t="inlineStr">
        <is>
          <t>تی‌تک و آریا</t>
        </is>
      </c>
    </row>
    <row r="1432">
      <c r="A1432" t="n">
        <v>1431</v>
      </c>
      <c r="B1432" t="n">
        <v>53392</v>
      </c>
      <c r="C1432" t="inlineStr">
        <is>
          <t>TORSEMIDE TABLET ORAL 100 mg</t>
        </is>
      </c>
      <c r="D1432" t="inlineStr">
        <is>
          <t>تورزايد   قرص خوراکي 100 mg - آرنا حيات دانش</t>
        </is>
      </c>
      <c r="E1432" t="inlineStr">
        <is>
          <t>تی‌تک و آریا</t>
        </is>
      </c>
    </row>
    <row r="1433">
      <c r="A1433" t="n">
        <v>1432</v>
      </c>
      <c r="B1433" t="n">
        <v>53393</v>
      </c>
      <c r="C1433" t="inlineStr">
        <is>
          <t>DEXTROMETHORPHAN / GUAIFENESIN / PHENYLEPHRINE SYRUP ORAL 10 mg/100 mg/5 mg/5mL 120 mL</t>
        </is>
      </c>
      <c r="D1433" t="inlineStr">
        <is>
          <t>ستادکس   شربت خوراکي 10 mg/100 mg/5 mg/5mL 120 mL - داروسازي رها اصفهان</t>
        </is>
      </c>
      <c r="E1433" t="inlineStr">
        <is>
          <t>تی‌تک و آریا</t>
        </is>
      </c>
    </row>
    <row r="1434">
      <c r="A1434" t="n">
        <v>1433</v>
      </c>
      <c r="B1434" t="n">
        <v>53394</v>
      </c>
      <c r="C1434" t="inlineStr">
        <is>
          <t>ERYTHROCYTES (RED BLOOD CELL, LEUCOCYTE REDUCED AND IRRADIATED ) INJECTION PARENTERAL  300 mL</t>
        </is>
      </c>
      <c r="D1434" t="inlineStr">
        <is>
          <t>گلبول قرمز کم لکوسيت اشعه ديده   تزريقي پرنترال  300 mL - سازمان انتقال خون ايران</t>
        </is>
      </c>
      <c r="E1434" t="inlineStr">
        <is>
          <t>تی‌تک و آریا</t>
        </is>
      </c>
    </row>
    <row r="1435">
      <c r="A1435" t="n">
        <v>1434</v>
      </c>
      <c r="B1435" t="n">
        <v>53395</v>
      </c>
      <c r="C1435" t="inlineStr">
        <is>
          <t>BLOOD PLASMA, FRESH FROZEN, LEUCOCYTE REDUCED INJECTION PARENTERAL  250 mL</t>
        </is>
      </c>
      <c r="D1435" t="inlineStr">
        <is>
          <t>پلاسماي تازه منجمد شده کم لکوسيت   تزريقي پرنترال  250 mL - سازمان انتقال خون ايران</t>
        </is>
      </c>
      <c r="E1435" t="inlineStr">
        <is>
          <t>تی‌تک و آریا</t>
        </is>
      </c>
    </row>
    <row r="1436">
      <c r="A1436" t="n">
        <v>1435</v>
      </c>
      <c r="B1436" t="n">
        <v>53398</v>
      </c>
      <c r="C1436" t="inlineStr">
        <is>
          <t>IDEBENONE TABLET ORAL 90 mg</t>
        </is>
      </c>
      <c r="D1436" t="inlineStr">
        <is>
          <t>آيدبکس   قرص خوراکي 90 mg - بازرگاني سها کيش</t>
        </is>
      </c>
      <c r="E1436" t="inlineStr">
        <is>
          <t>تی‌تک و آریا</t>
        </is>
      </c>
    </row>
    <row r="1437">
      <c r="A1437" t="n">
        <v>1436</v>
      </c>
      <c r="B1437" t="n">
        <v>53399</v>
      </c>
      <c r="C1437" t="inlineStr">
        <is>
          <t>ERYTHROCYTES (RED BLOOD CELL, PEDIATRIC, LEUCOCYTE REDUCED) INJECTION PARENTERAL  90 mL</t>
        </is>
      </c>
      <c r="D1437" t="inlineStr">
        <is>
          <t>گلبول قرمز کم لکوسيت اطفال   تزريقي پرنترال  90 mL - سازمان انتقال خون ايران</t>
        </is>
      </c>
      <c r="E1437" t="inlineStr">
        <is>
          <t>تی‌تک و آریا</t>
        </is>
      </c>
    </row>
    <row r="1438">
      <c r="A1438" t="n">
        <v>1437</v>
      </c>
      <c r="B1438" t="n">
        <v>53401</v>
      </c>
      <c r="C1438" t="inlineStr">
        <is>
          <t>ZANUBRUTINIB CAPSULE ORAL 80 mg</t>
        </is>
      </c>
      <c r="D1438" t="inlineStr">
        <is>
          <t>بروکينسا   کپسول خوراکي 80 mg - بازرگاني سها کيش</t>
        </is>
      </c>
      <c r="E1438" t="inlineStr">
        <is>
          <t>تی‌تک و آریا</t>
        </is>
      </c>
    </row>
    <row r="1439">
      <c r="A1439" t="n">
        <v>1438</v>
      </c>
      <c r="B1439" t="n">
        <v>53403</v>
      </c>
      <c r="C1439" t="inlineStr">
        <is>
          <t>DEXRAZOXANE (AS HYDROCHLORIDE) INJECTION, POWDER, FOR SOLUTION PARENTERAL 500 mg</t>
        </is>
      </c>
      <c r="D1439" t="inlineStr">
        <is>
          <t>کارديوکسان   پودر براي تهيه محلول تزريقي پرنترال 500 mg  mg - پيک دارو توسعه</t>
        </is>
      </c>
      <c r="E1439" t="inlineStr">
        <is>
          <t>تی‌تک و آریا</t>
        </is>
      </c>
    </row>
    <row r="1440">
      <c r="A1440" t="n">
        <v>1439</v>
      </c>
      <c r="B1440" t="n">
        <v>53404</v>
      </c>
      <c r="C1440" t="inlineStr">
        <is>
          <t>ICOSAPENT ETHYL CAPSULE, LIQUID FILLED ORAL 500 mg</t>
        </is>
      </c>
      <c r="D1440" t="inlineStr">
        <is>
          <t>پرفورم آپ   کپسول حاوي مايع خوراکي 500 mg - زيست اروند فارمد</t>
        </is>
      </c>
      <c r="E1440" t="inlineStr">
        <is>
          <t>تی‌تک و آریا</t>
        </is>
      </c>
    </row>
    <row r="1441">
      <c r="A1441" t="n">
        <v>1440</v>
      </c>
      <c r="B1441" t="n">
        <v>53405</v>
      </c>
      <c r="C1441" t="inlineStr">
        <is>
          <t>ICOSAPENT ETHYL CAPSULE, LIQUID FILLED ORAL 1000 mg</t>
        </is>
      </c>
      <c r="D1441" t="inlineStr">
        <is>
          <t>پرفورم آپ   کپسول حاوي مايع خوراکي 1000 mg - زيست اروند فارمد</t>
        </is>
      </c>
      <c r="E1441" t="inlineStr">
        <is>
          <t>تی‌تک و آریا</t>
        </is>
      </c>
    </row>
    <row r="1442">
      <c r="A1442" t="n">
        <v>1441</v>
      </c>
      <c r="B1442" t="n">
        <v>53406</v>
      </c>
      <c r="C1442" t="inlineStr">
        <is>
          <t>CIPROFLOXACIN (AS HYDROCHLORIDE) SOLUTION, DROPS OPHTHALMIC 0.3 % 0.5 mL</t>
        </is>
      </c>
      <c r="D1442" t="inlineStr">
        <is>
          <t>سيپروفلوکساسين   محلول، قطره چشمي 0.3 % 0.5 mL - داروسازي دانا</t>
        </is>
      </c>
      <c r="E1442" t="inlineStr">
        <is>
          <t>تی‌تک و آریا</t>
        </is>
      </c>
    </row>
    <row r="1443">
      <c r="A1443" t="n">
        <v>1442</v>
      </c>
      <c r="B1443" t="n">
        <v>53407</v>
      </c>
      <c r="C1443" t="inlineStr">
        <is>
          <t>COBIMETINIB (AS HEMIFUMARATE) TABLET ORAL 20 mg</t>
        </is>
      </c>
      <c r="D1443" t="inlineStr">
        <is>
          <t>کوتليک   قرص خوراکي 20 mg - بازرگاني سها کيش</t>
        </is>
      </c>
      <c r="E1443" t="inlineStr">
        <is>
          <t>تی‌تک و آریا</t>
        </is>
      </c>
    </row>
    <row r="1444">
      <c r="A1444" t="n">
        <v>1443</v>
      </c>
      <c r="B1444" t="n">
        <v>53411</v>
      </c>
      <c r="C1444" t="inlineStr">
        <is>
          <t>SELPERCATINIB CAPSULE ORAL 80 mg</t>
        </is>
      </c>
      <c r="D1444" t="inlineStr">
        <is>
          <t>رتسِومو   کپسول خوراکي 80 mg - بازرگاني سها کيش</t>
        </is>
      </c>
      <c r="E1444" t="inlineStr">
        <is>
          <t>تی‌تک و آریا</t>
        </is>
      </c>
    </row>
    <row r="1445">
      <c r="A1445" t="n">
        <v>1444</v>
      </c>
      <c r="B1445" t="n">
        <v>53412</v>
      </c>
      <c r="C1445" t="inlineStr">
        <is>
          <t>DIROXIMEL FUMARATE CAPSULE, DELAYED RELEASE ORAL 231 mg</t>
        </is>
      </c>
      <c r="D1445" t="inlineStr">
        <is>
          <t>روکسيملا   کپسول انتريک کوتد خوراکي 231 mg - زيست دارو دانش</t>
        </is>
      </c>
      <c r="E1445" t="inlineStr">
        <is>
          <t>تی‌تک و آریا</t>
        </is>
      </c>
    </row>
    <row r="1446">
      <c r="A1446" t="n">
        <v>1445</v>
      </c>
      <c r="B1446" t="n">
        <v>53413</v>
      </c>
      <c r="C1446" t="inlineStr">
        <is>
          <t>VENETOCLAX TABLET ORAL 50 mg</t>
        </is>
      </c>
      <c r="D1446" t="inlineStr">
        <is>
          <t>تنوکلاکس   قرص خوراکي 50 mg - نانو فناوران داروئي الوند</t>
        </is>
      </c>
      <c r="E1446" t="inlineStr">
        <is>
          <t>تی‌تک و آریا</t>
        </is>
      </c>
    </row>
    <row r="1447">
      <c r="A1447" t="n">
        <v>1446</v>
      </c>
      <c r="B1447" t="n">
        <v>53414</v>
      </c>
      <c r="C1447" t="inlineStr">
        <is>
          <t>VENETOCLAX TABLET ORAL 10 mg</t>
        </is>
      </c>
      <c r="D1447" t="inlineStr">
        <is>
          <t>ونتوزا   قرص خوراکي 10 mg - زيست دارو دانش</t>
        </is>
      </c>
      <c r="E1447" t="inlineStr">
        <is>
          <t>تی‌تک و آریا</t>
        </is>
      </c>
    </row>
    <row r="1448">
      <c r="A1448" t="n">
        <v>1447</v>
      </c>
      <c r="B1448" t="n">
        <v>53415</v>
      </c>
      <c r="C1448" t="inlineStr">
        <is>
          <t>HEPATITIS B IMMUNE GLOBULIN INJECTION PARENTERAL 200 [iU]/1mL 10 mL</t>
        </is>
      </c>
      <c r="D1448" t="inlineStr">
        <is>
          <t>هپابولين اس ان   تزريقي پرنترال 200 [iU]/1mL 10 mL - درمان ياب آنا</t>
        </is>
      </c>
      <c r="E1448" t="inlineStr">
        <is>
          <t>تی‌تک و آریا</t>
        </is>
      </c>
    </row>
    <row r="1449">
      <c r="A1449" t="n">
        <v>1448</v>
      </c>
      <c r="B1449" t="n">
        <v>53418</v>
      </c>
      <c r="C1449" t="inlineStr">
        <is>
          <t>DIPHTHERIA / HEMOPHILUS INFLUENZAE B / PERTUSSIS / POLIOMYELITIS / TETANUS / HEPATITIS B VACCINE INJECTION, SUSPENSION PARENTERAL 1 {dose} 0.5 mL</t>
        </is>
      </c>
      <c r="D1449" t="inlineStr">
        <is>
          <t>هگزاسيل   سوسپانسيون تزريقي پرنترال 1 {dose} 0.5 {dose} - اوين دارو</t>
        </is>
      </c>
      <c r="E1449" t="inlineStr">
        <is>
          <t>تی‌تک و آریا</t>
        </is>
      </c>
    </row>
    <row r="1450">
      <c r="A1450" t="n">
        <v>1449</v>
      </c>
      <c r="B1450" t="n">
        <v>53419</v>
      </c>
      <c r="C1450" t="inlineStr">
        <is>
          <t>DIPHTHERIA / HEMOPHILUS INFLUENZAE B / PERTUSSIS / POLIOMYELITIS / TETANUS / HEPATITIS B VACCINE INJECTION, SUSPENSION PARENTERAL 10 {dose} 5 mL</t>
        </is>
      </c>
      <c r="D1450" t="inlineStr">
        <is>
          <t>هگزاسيل   سوسپانسيون تزريقي پرنترال 10 {dose} 5 {dose} - اوين دارو</t>
        </is>
      </c>
      <c r="E1450" t="inlineStr">
        <is>
          <t>تی‌تک و آریا</t>
        </is>
      </c>
    </row>
    <row r="1451">
      <c r="A1451" t="n">
        <v>1450</v>
      </c>
      <c r="B1451" t="n">
        <v>53427</v>
      </c>
      <c r="C1451" t="inlineStr">
        <is>
          <t>OLIPUDASE ALFA INJECTION, POWDER, LYOPHILIZED, FOR SOLUTION PARENTERAL 4 mg</t>
        </is>
      </c>
      <c r="D1451" t="inlineStr">
        <is>
          <t>ژنپوزايم   پودر لئوفيليزه براي تهيه محلول تزريقي پرنترال 4 mg  mg - بازرگاني سها کيش</t>
        </is>
      </c>
      <c r="E1451" t="inlineStr">
        <is>
          <t>تی‌تک و آریا</t>
        </is>
      </c>
    </row>
    <row r="1452">
      <c r="A1452" t="n">
        <v>1451</v>
      </c>
      <c r="B1452" t="n">
        <v>53428</v>
      </c>
      <c r="C1452" t="inlineStr">
        <is>
          <t>DEFLAZACORT TABLET ORAL 30 mg</t>
        </is>
      </c>
      <c r="D1452" t="inlineStr">
        <is>
          <t>فلانتادين   قرص خوراکي 30 mg - مرز گستران فناوري آينده</t>
        </is>
      </c>
      <c r="E1452" t="inlineStr">
        <is>
          <t>تی‌تک و آریا</t>
        </is>
      </c>
    </row>
    <row r="1453">
      <c r="A1453" t="n">
        <v>1452</v>
      </c>
      <c r="B1453" t="n">
        <v>53430</v>
      </c>
      <c r="C1453" t="inlineStr">
        <is>
          <t>FRUQUINTINIB CAPSULE ORAL 5 mg</t>
        </is>
      </c>
      <c r="D1453" t="inlineStr">
        <is>
          <t>فروزاکلا   کپسول خوراکي 5 mg - آسمان داروي پارس</t>
        </is>
      </c>
      <c r="E1453" t="inlineStr">
        <is>
          <t>تی‌تک و آریا</t>
        </is>
      </c>
    </row>
    <row r="1454">
      <c r="A1454" t="n">
        <v>1453</v>
      </c>
      <c r="B1454" t="n">
        <v>53431</v>
      </c>
      <c r="C1454" t="inlineStr">
        <is>
          <t>DOSTARLIMAB INJECTION, SOLUTION, CONCENTRATE PARENTERAL 50 mg/1mL 10 mL</t>
        </is>
      </c>
      <c r="D1454" t="inlineStr">
        <is>
          <t>جمپرلي   محلول غليظ تزريقي پرنترال 50 mg/1mL 10 mg - مرز گستران فناوري آينده</t>
        </is>
      </c>
      <c r="E1454" t="inlineStr">
        <is>
          <t>تی‌تک و آریا</t>
        </is>
      </c>
    </row>
    <row r="1455">
      <c r="A1455" t="n">
        <v>1454</v>
      </c>
      <c r="B1455" t="n">
        <v>53432</v>
      </c>
      <c r="C1455" t="inlineStr">
        <is>
          <t>PEMETREXED (AS DISODIU ) INJECTION, SOLUTION, CONCENTRATE PARENTERAL 25 mg/1mL 4 mL</t>
        </is>
      </c>
      <c r="D1455" t="inlineStr">
        <is>
          <t>آلمترا   محلول غليظ تزريقي پرنترال 25 mg/1mL 4 mg - سه دال نانو</t>
        </is>
      </c>
      <c r="E1455" t="inlineStr">
        <is>
          <t>تی‌تک و آریا</t>
        </is>
      </c>
    </row>
    <row r="1456">
      <c r="A1456" t="n">
        <v>1455</v>
      </c>
      <c r="B1456" t="n">
        <v>53433</v>
      </c>
      <c r="C1456" t="inlineStr">
        <is>
          <t>PEMETREXED (AS DISODIU ) INJECTION, SOLUTION, CONCENTRATE PARENTERAL 25 mg/1mL 20 mL</t>
        </is>
      </c>
      <c r="D1456" t="inlineStr">
        <is>
          <t>آلمترا   محلول غليظ تزريقي پرنترال 25 mg/1mL 20 mg - سه دال نانو</t>
        </is>
      </c>
      <c r="E1456" t="inlineStr">
        <is>
          <t>تی‌تک و آریا</t>
        </is>
      </c>
    </row>
    <row r="1457">
      <c r="A1457" t="n">
        <v>1456</v>
      </c>
      <c r="B1457" t="n">
        <v>53434</v>
      </c>
      <c r="C1457" t="inlineStr">
        <is>
          <t>ALLOGENIC SKIN DERIVED KERATINOCYTE PATCH TOPICAL 300000 cells/1 cm2 60 CM3</t>
        </is>
      </c>
      <c r="D1457" t="inlineStr">
        <is>
          <t>رويين شيت   پچ موضعي 300000 cells/1 cm2 60 - رويان آتي تک فارمد</t>
        </is>
      </c>
      <c r="E1457" t="inlineStr">
        <is>
          <t>تی‌تک و آریا</t>
        </is>
      </c>
    </row>
    <row r="1458">
      <c r="A1458" t="n">
        <v>1457</v>
      </c>
      <c r="B1458" t="n">
        <v>53435</v>
      </c>
      <c r="C1458" t="inlineStr">
        <is>
          <t>ALLOGENEIC CULTURED KERATINOCYTES AND FIBROBLASTS IN BOVINE COLLAGEN PATCH TOPICAL 300000 cells/1 cm2</t>
        </is>
      </c>
      <c r="D1458" t="inlineStr">
        <is>
          <t>رويين گرف   پچ موضعي 300000 cells/1 cm2  {dose} - رويان آتي تک فارمد</t>
        </is>
      </c>
      <c r="E1458" t="inlineStr">
        <is>
          <t>تی‌تک و آریا</t>
        </is>
      </c>
    </row>
    <row r="1459">
      <c r="A1459" t="n">
        <v>1458</v>
      </c>
      <c r="B1459" t="n">
        <v>53436</v>
      </c>
      <c r="C1459" t="inlineStr">
        <is>
          <t>COAGULATION FACTOR VIII, Long Acting INJECTION, POWDER, LYOPHILIZED PARENTERAL 1500 [iU]</t>
        </is>
      </c>
      <c r="E1459" t="inlineStr">
        <is>
          <t>فقط تی‌تک</t>
        </is>
      </c>
    </row>
    <row r="1460">
      <c r="A1460" t="n">
        <v>1459</v>
      </c>
      <c r="B1460" t="n">
        <v>53437</v>
      </c>
      <c r="C1460" t="inlineStr">
        <is>
          <t>COAGULATION FACTOR VIII, Long Acting INJECTION, POWDER, LYOPHILIZED PARENTERAL 3000 [iU]</t>
        </is>
      </c>
      <c r="E1460" t="inlineStr">
        <is>
          <t>فقط تی‌تک</t>
        </is>
      </c>
    </row>
    <row r="1461">
      <c r="A1461" t="n">
        <v>1460</v>
      </c>
      <c r="B1461" t="n">
        <v>53438</v>
      </c>
      <c r="C1461" t="inlineStr">
        <is>
          <t>ACICLOVIR / HYDROCORTISONE CREAM TOPICAL 5 %/1 % 15 g</t>
        </is>
      </c>
      <c r="D1461" t="inlineStr">
        <is>
          <t>آسيکلووير/ هيدروکورتيزون   کرم موضعي 5 %/1 % 15 g - پارس دارو</t>
        </is>
      </c>
      <c r="E1461" t="inlineStr">
        <is>
          <t>تی‌تک و آریا</t>
        </is>
      </c>
    </row>
    <row r="1462">
      <c r="A1462" t="n">
        <v>1461</v>
      </c>
      <c r="B1462" t="n">
        <v>53439</v>
      </c>
      <c r="C1462" t="inlineStr">
        <is>
          <t>SOTALOL HYDROCHLORIDE SOLUTION ORAL 5 mg/1 mL 60 mL</t>
        </is>
      </c>
      <c r="D1462" t="inlineStr">
        <is>
          <t>آمي ريتم   محلول خوراکي 5 mg/1 mL 60 mL - داروسازي امين</t>
        </is>
      </c>
      <c r="E1462" t="inlineStr">
        <is>
          <t>تی‌تک و آریا</t>
        </is>
      </c>
    </row>
    <row r="1463">
      <c r="A1463" t="n">
        <v>1462</v>
      </c>
      <c r="B1463" t="n">
        <v>53441</v>
      </c>
      <c r="C1463" t="inlineStr">
        <is>
          <t>POLATUZUMAB VEDOTIN INJECTION, POWDER, LYOPHILIZED, FOR SOLUTION PARENTERAL 140 mg</t>
        </is>
      </c>
      <c r="D1463" t="inlineStr">
        <is>
          <t>پوليوي   پودر لئوفيليزه براي تهيه محلول تزريقي پرنترال 140 mg  mg - آسمان داروي پارس</t>
        </is>
      </c>
      <c r="E1463" t="inlineStr">
        <is>
          <t>تی‌تک و آریا</t>
        </is>
      </c>
    </row>
    <row r="1464">
      <c r="A1464" t="n">
        <v>1463</v>
      </c>
      <c r="B1464" t="n">
        <v>53444</v>
      </c>
      <c r="C1464" t="inlineStr">
        <is>
          <t>BILASTINE SOLUTION ORAL 2.5 mg/1mL 120 mL</t>
        </is>
      </c>
      <c r="D1464" t="inlineStr">
        <is>
          <t>بيلاستا   محلول خوراکي 2.5 mg/1mL 120 mL - افق توليد دارو پارس</t>
        </is>
      </c>
      <c r="E1464" t="inlineStr">
        <is>
          <t>تی‌تک و آریا</t>
        </is>
      </c>
    </row>
    <row r="1465">
      <c r="A1465" t="n">
        <v>1464</v>
      </c>
      <c r="B1465" t="n">
        <v>53445</v>
      </c>
      <c r="C1465" t="inlineStr">
        <is>
          <t>ROTAVIRUS VACCINE, MONOVALENT, LIVE SOLUTION ORAL 5 {dose}</t>
        </is>
      </c>
      <c r="D1465" t="inlineStr">
        <is>
          <t>روتاوک   محلول خوراکي 5 {dose}  {dose} - دارو درمان آرنگ</t>
        </is>
      </c>
      <c r="E1465" t="inlineStr">
        <is>
          <t>تی‌تک و آریا</t>
        </is>
      </c>
    </row>
    <row r="1466">
      <c r="A1466" t="n">
        <v>1465</v>
      </c>
      <c r="B1466" t="n">
        <v>53449</v>
      </c>
      <c r="C1466" t="inlineStr">
        <is>
          <t>TENECTEPLASE INJECTION, POWDER PARENTERAL 25 mg</t>
        </is>
      </c>
      <c r="D1466" t="inlineStr">
        <is>
          <t>متالايز   پودر براي تهيه فرآورده تزريقي پرنترال 25 mg  mg - شفا ياب گستر</t>
        </is>
      </c>
      <c r="E1466" t="inlineStr">
        <is>
          <t>تی‌تک و آریا</t>
        </is>
      </c>
    </row>
    <row r="1467">
      <c r="A1467" t="n">
        <v>1466</v>
      </c>
      <c r="B1467" t="n">
        <v>53453</v>
      </c>
      <c r="C1467" t="inlineStr">
        <is>
          <t>SELEXIPAG TABLET ORAL 400 ug</t>
        </is>
      </c>
      <c r="D1467" t="inlineStr">
        <is>
          <t>سِلِپِگ   قرص خوراکي 400 ug - بازرگاني سها کيش</t>
        </is>
      </c>
      <c r="E1467" t="inlineStr">
        <is>
          <t>تی‌تک و آریا</t>
        </is>
      </c>
    </row>
    <row r="1468">
      <c r="A1468" t="n">
        <v>1467</v>
      </c>
      <c r="B1468" t="n">
        <v>53454</v>
      </c>
      <c r="C1468" t="inlineStr">
        <is>
          <t>FOLLITROPIN ALFA INJECTION PARENTERAL 600 [iU]/1mL 0.25 mL</t>
        </is>
      </c>
      <c r="D1468" t="inlineStr">
        <is>
          <t>سينال اف   تزريقي پرنترال 600 [iU]/1mL 0.25 [iU] - تحقيقاتي وتوليدي سينا ژن</t>
        </is>
      </c>
      <c r="E1468" t="inlineStr">
        <is>
          <t>تی‌تک و آریا</t>
        </is>
      </c>
    </row>
    <row r="1469">
      <c r="A1469" t="n">
        <v>1468</v>
      </c>
      <c r="B1469" t="n">
        <v>53456</v>
      </c>
      <c r="C1469" t="inlineStr">
        <is>
          <t>BRIGATINIB TABLET ORAL 180 mg</t>
        </is>
      </c>
      <c r="D1469" t="inlineStr">
        <is>
          <t>آلونبريگ   قرص خوراکي 180 mg - آسمان داروي پارس</t>
        </is>
      </c>
      <c r="E1469" t="inlineStr">
        <is>
          <t>تی‌تک و آریا</t>
        </is>
      </c>
    </row>
    <row r="1470">
      <c r="A1470" t="n">
        <v>1469</v>
      </c>
      <c r="B1470" t="n">
        <v>53457</v>
      </c>
      <c r="C1470" t="inlineStr">
        <is>
          <t>VALPROATE SODIUM INJECTION, SOLUTION PARENTERAL 115 mg/1mL 5 mL</t>
        </is>
      </c>
      <c r="D1470" t="inlineStr">
        <is>
          <t>والپروات سديم   محلول تزريقي پرنترال 115 mg/1mL 5 mL - داروسازي کاسپين تأمين</t>
        </is>
      </c>
      <c r="E1470" t="inlineStr">
        <is>
          <t>تی‌تک و آریا</t>
        </is>
      </c>
    </row>
    <row r="1471">
      <c r="A1471" t="n">
        <v>1470</v>
      </c>
      <c r="B1471" t="n">
        <v>53458</v>
      </c>
      <c r="C1471" t="inlineStr">
        <is>
          <t>FERRIC DERISOMALTOSE INJECTION PARENTERAL 100 mg/1mL 5 mL</t>
        </is>
      </c>
      <c r="D1471" t="inlineStr">
        <is>
          <t>فروونتا   تزريقي پرنترال 100 mg/1mL 5 mL - زيست اروند فارمد</t>
        </is>
      </c>
      <c r="E1471" t="inlineStr">
        <is>
          <t>تی‌تک و آریا</t>
        </is>
      </c>
    </row>
    <row r="1472">
      <c r="A1472" t="n">
        <v>1471</v>
      </c>
      <c r="B1472" t="n">
        <v>53465</v>
      </c>
      <c r="C1472" t="inlineStr">
        <is>
          <t>CETIRIZINE HYDROCHLORIDE SYRUP ORAL 1 mg/1mL 100 mL</t>
        </is>
      </c>
      <c r="D1472" t="inlineStr">
        <is>
          <t>ستيريزين   شربت خوراکي 1 mg/1mL 100 mL - البرز دارو</t>
        </is>
      </c>
      <c r="E1472" t="inlineStr">
        <is>
          <t>تی‌تک و آریا</t>
        </is>
      </c>
    </row>
    <row r="1473">
      <c r="A1473" t="n">
        <v>1472</v>
      </c>
      <c r="B1473" t="n">
        <v>53466</v>
      </c>
      <c r="C1473" t="inlineStr">
        <is>
          <t>ANTISNAKE VENOM SERUM, HEPTAVALENT INJECTION PARENTERAL 5 mL</t>
        </is>
      </c>
      <c r="D1473" t="inlineStr">
        <is>
          <t>ايمونوگلوبولين هفت ظرفيتي ضد زهر مار   تزريقي پرنترال 5 mL  mL - موسسه تحقيقات واکسن وسرم سازي رازي</t>
        </is>
      </c>
      <c r="E1473" t="inlineStr">
        <is>
          <t>تی‌تک و آریا</t>
        </is>
      </c>
    </row>
    <row r="1474">
      <c r="A1474" t="n">
        <v>1473</v>
      </c>
      <c r="B1474" t="n">
        <v>53467</v>
      </c>
      <c r="C1474" t="inlineStr">
        <is>
          <t>YELLOW FEVER VACCINE INJECTION PARENTERAL 2 {dose}</t>
        </is>
      </c>
      <c r="D1474" t="inlineStr">
        <is>
          <t>واکسن تب زرد   تزريقي پرنترال 2 {dose}  {dose} - دارو درمان آرنگ</t>
        </is>
      </c>
      <c r="E1474" t="inlineStr">
        <is>
          <t>تی‌تک و آریا</t>
        </is>
      </c>
    </row>
    <row r="1475">
      <c r="A1475" t="n">
        <v>1474</v>
      </c>
      <c r="B1475" t="n">
        <v>53469</v>
      </c>
      <c r="C1475" t="inlineStr">
        <is>
          <t>YELLOW FEVER VACCINE INJECTION PARENTERAL 10 {dose}</t>
        </is>
      </c>
      <c r="D1475" t="inlineStr">
        <is>
          <t>واکسن تب زرد   تزريقي پرنترال 10 {dose}  {dose} - دارو درمان آرنگ</t>
        </is>
      </c>
      <c r="E1475" t="inlineStr">
        <is>
          <t>تی‌تک و آریا</t>
        </is>
      </c>
    </row>
    <row r="1476">
      <c r="A1476" t="n">
        <v>1475</v>
      </c>
      <c r="B1476" t="n">
        <v>53471</v>
      </c>
      <c r="C1476" t="inlineStr">
        <is>
          <t>POVIDONE IODINE SOLUTION TOPICAL 10 % 120 mL</t>
        </is>
      </c>
      <c r="D1476" t="inlineStr">
        <is>
          <t>پوويدون آيداين   محلول موضعي 10 % 120 mL - دارو درمان سلفچگان</t>
        </is>
      </c>
      <c r="E1476" t="inlineStr">
        <is>
          <t>تی‌تک و آریا</t>
        </is>
      </c>
    </row>
    <row r="1477">
      <c r="A1477" t="n">
        <v>1476</v>
      </c>
      <c r="B1477" t="n">
        <v>53474</v>
      </c>
      <c r="C1477" t="inlineStr">
        <is>
          <t>LEVOFLOXACIN SOLUTION, DROPS OPHTHALMIC 1.5 % 5 mL</t>
        </is>
      </c>
      <c r="D1477" t="inlineStr">
        <is>
          <t>لووفلوکساسين   محلول، قطره چشمي 1.5 % 5 mL - توسعه دارويي آروان فارمد</t>
        </is>
      </c>
      <c r="E1477" t="inlineStr">
        <is>
          <t>تی‌تک و آریا</t>
        </is>
      </c>
    </row>
    <row r="1478">
      <c r="A1478" t="n">
        <v>1477</v>
      </c>
      <c r="B1478" t="n">
        <v>53475</v>
      </c>
      <c r="C1478" t="inlineStr">
        <is>
          <t>PLACENTA DERIVED STROMAL MESENCHYMAL CELLS INJECTION, SUSPENSION PARENTERAL 2000000 cm2/1mL 40 mL</t>
        </is>
      </c>
      <c r="D1478" t="inlineStr">
        <is>
          <t>سلول مزانشيمي استرومال مشتق از جفت و پرده جنين   سوسپانسيون تزريقي پرنترال 2000000 cm2/1mL 40 cells - زيست بازساختي تسکين</t>
        </is>
      </c>
      <c r="E1478" t="inlineStr">
        <is>
          <t>تی‌تک و آریا</t>
        </is>
      </c>
    </row>
    <row r="1479">
      <c r="A1479" t="n">
        <v>1478</v>
      </c>
      <c r="B1479" t="n">
        <v>53477</v>
      </c>
      <c r="C1479" t="inlineStr">
        <is>
          <t>MAVACAMTEN CAPSULE ORAL 2.5 mg</t>
        </is>
      </c>
      <c r="D1479" t="inlineStr">
        <is>
          <t>ايکارديو   کپسول خوراکي 2.5 mg - فناوران دارويي روشا</t>
        </is>
      </c>
      <c r="E1479" t="inlineStr">
        <is>
          <t>تی‌تک و آریا</t>
        </is>
      </c>
    </row>
    <row r="1480">
      <c r="A1480" t="n">
        <v>1479</v>
      </c>
      <c r="B1480" t="n">
        <v>53478</v>
      </c>
      <c r="C1480" t="inlineStr">
        <is>
          <t>MAVACAMTEN CAPSULE ORAL 5 mg</t>
        </is>
      </c>
      <c r="D1480" t="inlineStr">
        <is>
          <t>ايکارديو   کپسول خوراکي 5 mg - فناوران دارويي روشا</t>
        </is>
      </c>
      <c r="E1480" t="inlineStr">
        <is>
          <t>تی‌تک و آریا</t>
        </is>
      </c>
    </row>
    <row r="1481">
      <c r="A1481" t="n">
        <v>1480</v>
      </c>
      <c r="B1481" t="n">
        <v>53479</v>
      </c>
      <c r="C1481" t="inlineStr">
        <is>
          <t>INOTUZUMAB OZOGAMICIN INJECTION, POWDER, LYOPHILIZED, FOR SOLUTION PARENTERAL 0.9 mg</t>
        </is>
      </c>
      <c r="D1481" t="inlineStr">
        <is>
          <t>بسپونزا   پودر لئوفيليزه براي تهيه محلول تزريقي پرنترال 0.9 mg  mg - بهستان دارو</t>
        </is>
      </c>
      <c r="E1481" t="inlineStr">
        <is>
          <t>تی‌تک و آریا</t>
        </is>
      </c>
    </row>
    <row r="1482">
      <c r="A1482" t="n">
        <v>1481</v>
      </c>
      <c r="B1482" t="n">
        <v>53480</v>
      </c>
      <c r="C1482" t="inlineStr">
        <is>
          <t>ENFORTUMAB VEDOTIN INJECTION, POWDER, FOR SOLUTION PARENTERAL 30 mg</t>
        </is>
      </c>
      <c r="D1482" t="inlineStr">
        <is>
          <t>پدسو   پودر براي تهيه محلول تزريقي پرنترال 30 mg  mg - بازرگاني سها کيش</t>
        </is>
      </c>
      <c r="E1482" t="inlineStr">
        <is>
          <t>تی‌تک و آریا</t>
        </is>
      </c>
    </row>
    <row r="1483">
      <c r="A1483" t="n">
        <v>1482</v>
      </c>
      <c r="B1483" t="n">
        <v>53481</v>
      </c>
      <c r="C1483" t="inlineStr">
        <is>
          <t>SEMAGLUTIDE INJECTION, SOLUTION PARENTERAL 2 mg/3mL</t>
        </is>
      </c>
      <c r="D1483" t="inlineStr">
        <is>
          <t>ازمپيک   محلول تزريقي پرنترال 2 mg/3mL  mL - نوو نور ديسک پارس</t>
        </is>
      </c>
      <c r="E1483" t="inlineStr">
        <is>
          <t>تی‌تک و آریا</t>
        </is>
      </c>
    </row>
    <row r="1484">
      <c r="A1484" t="n">
        <v>1483</v>
      </c>
      <c r="B1484" t="n">
        <v>53484</v>
      </c>
      <c r="C1484" t="inlineStr">
        <is>
          <t>RUFINAMIDE TABLET ORAL 200 mg</t>
        </is>
      </c>
      <c r="D1484" t="inlineStr">
        <is>
          <t>اينوولون   قرص خوراکي 200 mg - بازرگاني سها کيش</t>
        </is>
      </c>
      <c r="E1484" t="inlineStr">
        <is>
          <t>تی‌تک و آریا</t>
        </is>
      </c>
    </row>
    <row r="1485">
      <c r="A1485" t="n">
        <v>1484</v>
      </c>
      <c r="B1485" t="n">
        <v>53485</v>
      </c>
      <c r="C1485" t="inlineStr">
        <is>
          <t>OMAVELOXOLONE CAPSULE ORAL 50 mg</t>
        </is>
      </c>
      <c r="D1485" t="inlineStr">
        <is>
          <t>اسکاي کلاريس   کپسول خوراکي 50 mg - بازرگاني سها کيش</t>
        </is>
      </c>
      <c r="E1485" t="inlineStr">
        <is>
          <t>تی‌تک و آریا</t>
        </is>
      </c>
    </row>
    <row r="1486">
      <c r="A1486" t="n">
        <v>1485</v>
      </c>
      <c r="B1486" t="n">
        <v>53487</v>
      </c>
      <c r="C1486" t="inlineStr">
        <is>
          <t>MULTIVITAMIN ADULT INJECTION, POWDER PARENTERAL 3500 [iU]/69 ug/414 ug/3.51 mg/4.14 mg/4.53 mg/17.25 mg/46 mg/125 mg/11.2 [iU]/220 [iU]/6 ug 10 mL</t>
        </is>
      </c>
      <c r="D1486" t="inlineStr">
        <is>
          <t>آفامولت   پودر براي تهيه فرآورده تزريقي پرنترال 3500 [iU]/69 ug/414 ug/3.51 mg/4.14 mg/4.53 mg/17.25 mg/46 mg/125 mg/11.2 [iU]/220 [iU]/6 ug 10 mL - آفا شيمي</t>
        </is>
      </c>
      <c r="E1486" t="inlineStr">
        <is>
          <t>تی‌تک و آریا</t>
        </is>
      </c>
    </row>
    <row r="1487">
      <c r="A1487" t="n">
        <v>1486</v>
      </c>
      <c r="B1487" t="n">
        <v>53489</v>
      </c>
      <c r="C1487" t="inlineStr">
        <is>
          <t>NAPROXEN TABLET, EXTENDED RELEASE ORAL 750 mg</t>
        </is>
      </c>
      <c r="D1487" t="inlineStr">
        <is>
          <t>ناپروديد   قرص پيوسته رهش خوراکي 750 mg - درمان ياب دارو</t>
        </is>
      </c>
      <c r="E1487" t="inlineStr">
        <is>
          <t>تی‌تک و آریا</t>
        </is>
      </c>
    </row>
    <row r="1488">
      <c r="A1488" t="n">
        <v>1487</v>
      </c>
      <c r="B1488" t="n">
        <v>53498</v>
      </c>
      <c r="C1488" t="inlineStr">
        <is>
          <t>CEFTOLOZANE (AS SULFATE) / Tazobactam (AS SODIUM) INJECTION, POWDER PARENTERAL 1 g/500 mg</t>
        </is>
      </c>
      <c r="D1488" t="inlineStr">
        <is>
          <t>زرباکسا   پودر براي تهيه فرآورده تزريقي پرنترال 1 g/500 mg  g - بهستان دارو</t>
        </is>
      </c>
      <c r="E1488" t="inlineStr">
        <is>
          <t>تی‌تک و آریا</t>
        </is>
      </c>
    </row>
    <row r="1489">
      <c r="A1489" t="n">
        <v>1488</v>
      </c>
      <c r="B1489" t="n">
        <v>53503</v>
      </c>
      <c r="C1489" t="inlineStr">
        <is>
          <t>DUPILUMAB INJECTION, SOLUTION SUBCUTANEOUS 150 mg/1mL 2 mL</t>
        </is>
      </c>
      <c r="D1489" t="inlineStr">
        <is>
          <t>آريکسنت   محلول تزريقي زير جلدي 150 mg/1mL 2 mg - آريوژن فارمد</t>
        </is>
      </c>
      <c r="E1489" t="inlineStr">
        <is>
          <t>تی‌تک و آریا</t>
        </is>
      </c>
    </row>
    <row r="1490">
      <c r="A1490" t="n">
        <v>1489</v>
      </c>
      <c r="B1490" t="n">
        <v>53505</v>
      </c>
      <c r="C1490" t="inlineStr">
        <is>
          <t>XANOMELINE (AS TARTRATE) / TROSPIUM CHLORIDE CAPSULE ORAL 100 mg/20 mg</t>
        </is>
      </c>
      <c r="D1490" t="inlineStr">
        <is>
          <t>کوبنفي   کپسول خوراکي 100 mg/20 mg - بازرگاني سها کيش</t>
        </is>
      </c>
      <c r="E1490" t="inlineStr">
        <is>
          <t>تی‌تک و آریا</t>
        </is>
      </c>
    </row>
    <row r="1491">
      <c r="A1491" t="n">
        <v>1490</v>
      </c>
      <c r="B1491" t="n">
        <v>53511</v>
      </c>
      <c r="C1491" t="inlineStr">
        <is>
          <t>ELACESTRANT (AS DIHYDROCHLORIDE) TABLET ORAL 345 mg</t>
        </is>
      </c>
      <c r="D1491" t="inlineStr">
        <is>
          <t>اورسردو   قرص خوراکي 345 mg - بازرگاني سها کيش</t>
        </is>
      </c>
      <c r="E1491" t="inlineStr">
        <is>
          <t>تی‌تک و آریا</t>
        </is>
      </c>
    </row>
    <row r="1492">
      <c r="A1492" t="n">
        <v>1491</v>
      </c>
      <c r="B1492" t="n">
        <v>53514</v>
      </c>
      <c r="C1492" t="inlineStr">
        <is>
          <t>BACLOFEN INJECTION, SOLUTION PARENTERAL 0.05 mg/1mL 2 mL</t>
        </is>
      </c>
      <c r="D1492" t="inlineStr">
        <is>
          <t>باکلوفن   محلول تزريقي پرنترال 0.05 mg/1mL 2 mL - بازرگاني سها کيش</t>
        </is>
      </c>
      <c r="E1492" t="inlineStr">
        <is>
          <t>تی‌تک و آریا</t>
        </is>
      </c>
    </row>
    <row r="1493">
      <c r="A1493" t="n">
        <v>1492</v>
      </c>
      <c r="B1493" t="n">
        <v>53516</v>
      </c>
      <c r="C1493" t="inlineStr">
        <is>
          <t>PITOLISANT (AS HYDROCHLORIDE) TABLET ORAL 17.8 mg</t>
        </is>
      </c>
      <c r="D1493" t="inlineStr">
        <is>
          <t>پيتوليکس   قرص خوراکي 17.8 mg - فناوران دارويي روشا</t>
        </is>
      </c>
      <c r="E1493" t="inlineStr">
        <is>
          <t>تی‌تک و آریا</t>
        </is>
      </c>
    </row>
    <row r="1494">
      <c r="A1494" t="n">
        <v>1493</v>
      </c>
      <c r="B1494" t="n">
        <v>53517</v>
      </c>
      <c r="C1494" t="inlineStr">
        <is>
          <t>HUMAN ALLOGENIC UMBILICAL CORD TISSUE-DERIVED MESENCHYMAL STROMAL CELLS INJECTION, SUSPENSION PARENTERAL 20000000 cells/2 mL</t>
        </is>
      </c>
      <c r="D1494" t="inlineStr">
        <is>
          <t>وارتوسل   سوسپانسيون تزريقي پرنترال 20000000 cells/2 mL  cells - سل تک فارمد</t>
        </is>
      </c>
      <c r="E1494" t="inlineStr">
        <is>
          <t>تی‌تک و آریا</t>
        </is>
      </c>
    </row>
    <row r="1495">
      <c r="A1495" t="n">
        <v>1494</v>
      </c>
      <c r="B1495" t="n">
        <v>53518</v>
      </c>
      <c r="C1495" t="inlineStr">
        <is>
          <t>CLONAZEPAM TABLET ORAL 0.5 mg</t>
        </is>
      </c>
      <c r="D1495" t="inlineStr">
        <is>
          <t>کلونازپام   قرص خوراکي 0.5 mg - داروسازي ريحانه اصفهان</t>
        </is>
      </c>
      <c r="E1495" t="inlineStr">
        <is>
          <t>تی‌تک و آریا</t>
        </is>
      </c>
    </row>
    <row r="1496">
      <c r="A1496" t="n">
        <v>1495</v>
      </c>
      <c r="B1496" t="n">
        <v>53519</v>
      </c>
      <c r="C1496" t="inlineStr">
        <is>
          <t>CARBAMAZEPINE SUSPENSION ORAL 100 mg/5mL 150 mL</t>
        </is>
      </c>
      <c r="D1496" t="inlineStr">
        <is>
          <t>تگرتول   سوسپانسيون خوراکي 100 mg/5mL 150 mL - پويش دارو گستر برتر فارس</t>
        </is>
      </c>
      <c r="E1496" t="inlineStr">
        <is>
          <t>تی‌تک و آریا</t>
        </is>
      </c>
    </row>
    <row r="1497">
      <c r="A1497" t="n">
        <v>1496</v>
      </c>
      <c r="B1497" t="n">
        <v>53521</v>
      </c>
      <c r="C1497" t="inlineStr">
        <is>
          <t>MEPOLIZUMAB INJECTION, SOLUTION PARENTERAL 100 mg 1 mL</t>
        </is>
      </c>
      <c r="D1497" t="inlineStr">
        <is>
          <t>نوکالا   محلول تزريقي پرنترال 100 mg 1 mg - بازرگاني سها کيش</t>
        </is>
      </c>
      <c r="E1497" t="inlineStr">
        <is>
          <t>تی‌تک و آریا</t>
        </is>
      </c>
    </row>
    <row r="1498">
      <c r="A1498" t="n">
        <v>1497</v>
      </c>
      <c r="B1498" t="n">
        <v>53522</v>
      </c>
      <c r="C1498" t="inlineStr">
        <is>
          <t>ELAPEGADEMASE INJECTION, SOLUTION INTRAMUSCULAR 1.6 mg/1mL 1.5 mL</t>
        </is>
      </c>
      <c r="D1498" t="inlineStr">
        <is>
          <t>روکاوي   محلول تزريقي عضلاني 1.6 mg/1mL 1.5 mg - پيک دارو توسعه</t>
        </is>
      </c>
      <c r="E1498" t="inlineStr">
        <is>
          <t>تی‌تک و آریا</t>
        </is>
      </c>
    </row>
    <row r="1499">
      <c r="A1499" t="n">
        <v>1498</v>
      </c>
      <c r="B1499" t="n">
        <v>53525</v>
      </c>
      <c r="C1499" t="inlineStr">
        <is>
          <t>ADALIMUMAB INJECTION, SOLUTION PARENTERAL 40 mg/0.4 mL</t>
        </is>
      </c>
      <c r="D1499" t="inlineStr">
        <is>
          <t>هيوميرا   محلول تزريقي پرنترال 40 mg/0.4 mL  mg - کوبل دارو</t>
        </is>
      </c>
      <c r="E1499" t="inlineStr">
        <is>
          <t>تی‌تک و آریا</t>
        </is>
      </c>
    </row>
    <row r="1500">
      <c r="A1500" t="n">
        <v>1499</v>
      </c>
      <c r="B1500" t="n">
        <v>53526</v>
      </c>
      <c r="C1500" t="inlineStr">
        <is>
          <t>FLIBANSERIN TABLET ORAL 100 mg</t>
        </is>
      </c>
      <c r="D1500" t="inlineStr">
        <is>
          <t>بايزنسا   قرص خوراکي 100 mg - زيست اروند فارمد</t>
        </is>
      </c>
      <c r="E1500" t="inlineStr">
        <is>
          <t>تی‌تک و آریا</t>
        </is>
      </c>
    </row>
    <row r="1501">
      <c r="A1501" t="n">
        <v>1500</v>
      </c>
      <c r="B1501" t="n">
        <v>53527</v>
      </c>
      <c r="C1501" t="inlineStr">
        <is>
          <t>CAPIVASERTIB TABLET ORAL 200 mg</t>
        </is>
      </c>
      <c r="D1501" t="inlineStr">
        <is>
          <t>تروکاپ   قرص خوراکي 200 mg - بازرگاني سها کيش</t>
        </is>
      </c>
      <c r="E1501" t="inlineStr">
        <is>
          <t>تی‌تک و آریا</t>
        </is>
      </c>
    </row>
    <row r="1502">
      <c r="A1502" t="n">
        <v>1501</v>
      </c>
      <c r="B1502" t="n">
        <v>53530</v>
      </c>
      <c r="C1502" t="inlineStr">
        <is>
          <t>ABACAVIR (AS SULFATE) SOLUTION ORAL 20 mg/1mL 60 mL</t>
        </is>
      </c>
      <c r="D1502" t="inlineStr">
        <is>
          <t>آباکاوير   محلول خوراکي 20 mg/1mL 60 mL - ماه داروي حکيم</t>
        </is>
      </c>
      <c r="E1502" t="inlineStr">
        <is>
          <t>تی‌تک و آریا</t>
        </is>
      </c>
    </row>
    <row r="1503">
      <c r="A1503" t="n">
        <v>1502</v>
      </c>
      <c r="B1503" t="n">
        <v>53531</v>
      </c>
      <c r="C1503" t="inlineStr">
        <is>
          <t>ALBENDAZOLE TABLET ORAL 400 mg</t>
        </is>
      </c>
      <c r="D1503" t="inlineStr">
        <is>
          <t>آلبندازول   قرص خوراکي 400 mg - بازرگاني سها کيش</t>
        </is>
      </c>
      <c r="E1503" t="inlineStr">
        <is>
          <t>تی‌تک و آریا</t>
        </is>
      </c>
    </row>
    <row r="1504">
      <c r="A1504" t="n">
        <v>1503</v>
      </c>
      <c r="B1504" t="n">
        <v>53532</v>
      </c>
      <c r="C1504" t="inlineStr">
        <is>
          <t>BUPRENORPHINE  INJECTION, SOLUTION, EXTENDED RELEASE PARENTERAL 64 mg/0.18 ml</t>
        </is>
      </c>
      <c r="E1504" t="inlineStr">
        <is>
          <t>فقط تی‌تک</t>
        </is>
      </c>
    </row>
    <row r="1505">
      <c r="A1505" t="n">
        <v>1504</v>
      </c>
      <c r="B1505" t="n">
        <v>53534</v>
      </c>
      <c r="C1505" t="inlineStr">
        <is>
          <t>PERAMPANEL SUSPENSION ORAL 0.5 mg/1 mL 340 mL</t>
        </is>
      </c>
      <c r="E1505" t="inlineStr">
        <is>
          <t>فقط تی‌تک</t>
        </is>
      </c>
    </row>
    <row r="1506">
      <c r="A1506" t="n">
        <v>1505</v>
      </c>
      <c r="B1506" t="n">
        <v>53535</v>
      </c>
      <c r="C1506" t="inlineStr">
        <is>
          <t>PERAMPANEL TABLET ORAL 2 mg</t>
        </is>
      </c>
      <c r="D1506" t="inlineStr">
        <is>
          <t>رايکوپين   قرص خوراکي 2 mg - کوبل دارو</t>
        </is>
      </c>
      <c r="E1506" t="inlineStr">
        <is>
          <t>تی‌تک و آریا</t>
        </is>
      </c>
    </row>
    <row r="1507">
      <c r="A1507" t="n">
        <v>1506</v>
      </c>
      <c r="B1507" t="n">
        <v>53536</v>
      </c>
      <c r="C1507" t="inlineStr">
        <is>
          <t>PERAMPANEL TABLET ORAL 4 mg</t>
        </is>
      </c>
      <c r="D1507" t="inlineStr">
        <is>
          <t>پراميرا   قرص خوراکي 4 mg - روناک</t>
        </is>
      </c>
      <c r="E1507" t="inlineStr">
        <is>
          <t>تی‌تک و آریا</t>
        </is>
      </c>
    </row>
    <row r="1508">
      <c r="A1508" t="n">
        <v>1507</v>
      </c>
      <c r="B1508" t="n">
        <v>53537</v>
      </c>
      <c r="C1508" t="inlineStr">
        <is>
          <t>PERAMPANEL TABLET ORAL 8 mg</t>
        </is>
      </c>
      <c r="D1508" t="inlineStr">
        <is>
          <t>پراميرا   قرص خوراکي 8 mg - روناک</t>
        </is>
      </c>
      <c r="E1508" t="inlineStr">
        <is>
          <t>تی‌تک و آریا</t>
        </is>
      </c>
    </row>
    <row r="1509">
      <c r="A1509" t="n">
        <v>1508</v>
      </c>
      <c r="B1509" t="n">
        <v>53538</v>
      </c>
      <c r="C1509" t="inlineStr">
        <is>
          <t>PERAMPANEL TABLET ORAL 6 mg</t>
        </is>
      </c>
      <c r="D1509" t="inlineStr">
        <is>
          <t>پراميرا   قرص خوراکي 6 mg - روناک</t>
        </is>
      </c>
      <c r="E1509" t="inlineStr">
        <is>
          <t>تی‌تک و آریا</t>
        </is>
      </c>
    </row>
    <row r="1510">
      <c r="A1510" t="n">
        <v>1509</v>
      </c>
      <c r="B1510" t="n">
        <v>53541</v>
      </c>
      <c r="C1510" t="inlineStr">
        <is>
          <t>RABIES HUMAN MONOCLONAL ANTIBODY (rDNA) INJECTION PARENTERAL 100 [iU]/2.5mL</t>
        </is>
      </c>
      <c r="D1510" t="inlineStr">
        <is>
          <t>واکسن ايمونوگلوبين هاري   تزريقي پرنترال 100 [iU]/2.5mL  [iU] - هيات امناي صرفه جويي ارزي در معالجه بيماران</t>
        </is>
      </c>
      <c r="E1510" t="inlineStr">
        <is>
          <t>تی‌تک و آریا</t>
        </is>
      </c>
    </row>
    <row r="1511">
      <c r="A1511" t="n">
        <v>1510</v>
      </c>
      <c r="B1511" t="n">
        <v>53542</v>
      </c>
      <c r="C1511" t="inlineStr">
        <is>
          <t>SODIUM BICARBONATE INJECTION PARENTERAL 8.4 % 100 mL</t>
        </is>
      </c>
      <c r="D1511" t="inlineStr">
        <is>
          <t>ويال سديم بي کربنات8/4%   تزريقي پرنترال 8.4 % 100 mL - نيکان فارمد</t>
        </is>
      </c>
      <c r="E1511" t="inlineStr">
        <is>
          <t>تی‌تک و آریا</t>
        </is>
      </c>
    </row>
    <row r="1512">
      <c r="A1512" t="n">
        <v>1511</v>
      </c>
      <c r="B1512" t="n">
        <v>53543</v>
      </c>
      <c r="C1512" t="inlineStr">
        <is>
          <t>MEASLES VACCINE, MONOVALENT INJECTION PARENTERAL 10 {dose}</t>
        </is>
      </c>
      <c r="D1512" t="inlineStr">
        <is>
          <t>واکسن سرخک   تزريقي پرنترال 10 {dose}  {dose} - دارو درمان آرنگ</t>
        </is>
      </c>
      <c r="E1512" t="inlineStr">
        <is>
          <t>تی‌تک و آریا</t>
        </is>
      </c>
    </row>
    <row r="1513">
      <c r="A1513" t="n">
        <v>1512</v>
      </c>
      <c r="B1513" t="n">
        <v>53544</v>
      </c>
      <c r="C1513" t="inlineStr">
        <is>
          <t>153 Sm-EDTMP INJECTION, POWDER, LYOPHILIZED, FOR SOLUTION PARENTERAL 150 mg</t>
        </is>
      </c>
      <c r="D1513" t="inlineStr">
        <is>
          <t>ساماريوم-153 اي.دي.تي.ام.پي کيت   پودر لئوفيليزه براي تهيه محلول تزريقي پرنترال 150 mg  mg - پارس ايزوتوپ</t>
        </is>
      </c>
      <c r="E1513" t="inlineStr">
        <is>
          <t>تی‌تک و آریا</t>
        </is>
      </c>
    </row>
    <row r="1514">
      <c r="A1514" t="n">
        <v>1513</v>
      </c>
      <c r="B1514" t="n">
        <v>53545</v>
      </c>
      <c r="C1514" t="inlineStr">
        <is>
          <t>18F-FPSMA INJECTION, SOLUTION PARENTERAL 10 mCi</t>
        </is>
      </c>
      <c r="D1514" t="inlineStr">
        <is>
          <t>فلوئور18-اف.پي.اس.ام.آ   محلول تزريقي پرنترال 10 mCi  mCi - پارس ايزوتوپ</t>
        </is>
      </c>
      <c r="E1514" t="inlineStr">
        <is>
          <t>تی‌تک و آریا</t>
        </is>
      </c>
    </row>
    <row r="1515">
      <c r="A1515" t="n">
        <v>1514</v>
      </c>
      <c r="B1515" t="n">
        <v>53546</v>
      </c>
      <c r="C1515" t="inlineStr">
        <is>
          <t>18F-FET INJECTION, SOLUTION PARENTERAL 5 mCi 3 mL</t>
        </is>
      </c>
      <c r="D1515" t="inlineStr">
        <is>
          <t>فلوئور-18 فلوئورواتيل تايروزين   محلول تزريقي پرنترال 5 mCi 3 mCi - پارس ايزوتوپ</t>
        </is>
      </c>
      <c r="E1515" t="inlineStr">
        <is>
          <t>تی‌تک و آریا</t>
        </is>
      </c>
    </row>
    <row r="1516">
      <c r="A1516" t="n">
        <v>1515</v>
      </c>
      <c r="B1516" t="n">
        <v>53547</v>
      </c>
      <c r="C1516" t="inlineStr">
        <is>
          <t>18F-FES INJECTION, SOLUTION PARENTERAL 5 mCi</t>
        </is>
      </c>
      <c r="D1516" t="inlineStr">
        <is>
          <t>فلوئور-18فلوئورواستراديول   محلول تزريقي پرنترال 5 mCi  mCi - پارس ايزوتوپ</t>
        </is>
      </c>
      <c r="E1516" t="inlineStr">
        <is>
          <t>تی‌تک و آریا</t>
        </is>
      </c>
    </row>
    <row r="1517">
      <c r="A1517" t="n">
        <v>1516</v>
      </c>
      <c r="B1517" t="n">
        <v>53548</v>
      </c>
      <c r="C1517" t="inlineStr">
        <is>
          <t>18F-FBP INJECTION, SOLUTION PARENTERAL 5 mCi</t>
        </is>
      </c>
      <c r="D1517" t="inlineStr">
        <is>
          <t>فلوئور-18فلوئوروبتا پير   محلول تزريقي پرنترال 5 mCi  mCi - پارس ايزوتوپ</t>
        </is>
      </c>
      <c r="E1517" t="inlineStr">
        <is>
          <t>تی‌تک و آریا</t>
        </is>
      </c>
    </row>
    <row r="1518">
      <c r="A1518" t="n">
        <v>1517</v>
      </c>
      <c r="B1518" t="n">
        <v>53549</v>
      </c>
      <c r="C1518" t="inlineStr">
        <is>
          <t>Ga68-FAPI-46 INJECTION, SOLUTION PARENTERAL 5 mCi</t>
        </is>
      </c>
      <c r="D1518" t="inlineStr">
        <is>
          <t>گاليوم-68-فاپي-46   محلول تزريقي پرنترال 5 mCi  mCi - پارس ايزوتوپ</t>
        </is>
      </c>
      <c r="E1518" t="inlineStr">
        <is>
          <t>تی‌تک و آریا</t>
        </is>
      </c>
    </row>
    <row r="1519">
      <c r="A1519" t="n">
        <v>1518</v>
      </c>
      <c r="B1519" t="n">
        <v>53550</v>
      </c>
      <c r="C1519" t="inlineStr">
        <is>
          <t>LU177-Pentixather INJECTION, SOLUTION PARENTERAL 200 mCi</t>
        </is>
      </c>
      <c r="D1519" t="inlineStr">
        <is>
          <t>لوتشيوم 177پنتيکساتر   محلول تزريقي پرنترال 200 mCi  mCi - پارس ايزوتوپ</t>
        </is>
      </c>
      <c r="E1519" t="inlineStr">
        <is>
          <t>تی‌تک و آریا</t>
        </is>
      </c>
    </row>
    <row r="1520">
      <c r="A1520" t="n">
        <v>1519</v>
      </c>
      <c r="B1520" t="n">
        <v>53551</v>
      </c>
      <c r="C1520" t="inlineStr">
        <is>
          <t>Ga68-pentixafor INJECTION, SOLUTION PARENTERAL 5 mCi</t>
        </is>
      </c>
      <c r="D1520" t="inlineStr">
        <is>
          <t>گاليوم-68-پنتيکسافور   محلول تزريقي پرنترال 5 mCi  mCi - پارس ايزوتوپ</t>
        </is>
      </c>
      <c r="E1520" t="inlineStr">
        <is>
          <t>تی‌تک و آریا</t>
        </is>
      </c>
    </row>
    <row r="1521">
      <c r="A1521" t="n">
        <v>1520</v>
      </c>
      <c r="B1521" t="n">
        <v>53552</v>
      </c>
      <c r="C1521" t="inlineStr">
        <is>
          <t>RA-223 DICHLORIDE INJECTION, SOLUTION PARENTERAL 0.2 mCi</t>
        </is>
      </c>
      <c r="D1521" t="inlineStr">
        <is>
          <t>راديوم-223-دي کلرايد   محلول تزريقي پرنترال 0.2 mCi  mCi - پارس ايزوتوپ</t>
        </is>
      </c>
      <c r="E1521" t="inlineStr">
        <is>
          <t>تی‌تک و آریا</t>
        </is>
      </c>
    </row>
    <row r="1522">
      <c r="A1522" t="n">
        <v>1521</v>
      </c>
      <c r="B1522" t="n">
        <v>53553</v>
      </c>
      <c r="C1522" t="inlineStr">
        <is>
          <t>AC-225-DOTATATE INJECTION, SOLUTION PARENTERAL 0.2 mCi</t>
        </is>
      </c>
      <c r="D1522" t="inlineStr">
        <is>
          <t>اکتينيم-225 دوتاتيت   محلول تزريقي پرنترال 0.2 mCi  mCi - پارس ايزوتوپ</t>
        </is>
      </c>
      <c r="E1522" t="inlineStr">
        <is>
          <t>تی‌تک و آریا</t>
        </is>
      </c>
    </row>
    <row r="1523">
      <c r="A1523" t="n">
        <v>1522</v>
      </c>
      <c r="B1523" t="n">
        <v>53554</v>
      </c>
      <c r="C1523" t="inlineStr">
        <is>
          <t>AC-225-PSMA INJECTION, SOLUTION PARENTERAL 0.2 mCi</t>
        </is>
      </c>
      <c r="D1523" t="inlineStr">
        <is>
          <t>اکتينيم 225 پي اس ام آ   محلول تزريقي پرنترال 0.2 mCi  mCi - پارس ايزوتوپ</t>
        </is>
      </c>
      <c r="E1523" t="inlineStr">
        <is>
          <t>تی‌تک و آریا</t>
        </is>
      </c>
    </row>
    <row r="1524">
      <c r="A1524" t="n">
        <v>1523</v>
      </c>
      <c r="B1524" t="n">
        <v>53555</v>
      </c>
      <c r="C1524" t="inlineStr">
        <is>
          <t>LU177-FAP-2286 INJECTION, SOLUTION PARENTERAL 250 mCi</t>
        </is>
      </c>
      <c r="D1524" t="inlineStr">
        <is>
          <t>لوتشيوم -177 فاپ-2286   محلول تزريقي پرنترال 250 mCi  mCi - پارس ايزوتوپ</t>
        </is>
      </c>
      <c r="E1524" t="inlineStr">
        <is>
          <t>تی‌تک و آریا</t>
        </is>
      </c>
    </row>
    <row r="1525">
      <c r="A1525" t="n">
        <v>1524</v>
      </c>
      <c r="B1525" t="n">
        <v>53556</v>
      </c>
      <c r="C1525" t="inlineStr">
        <is>
          <t>Ga-68-FAP-2286 INJECTION, SOLUTION PARENTERAL 5 mCi</t>
        </is>
      </c>
      <c r="D1525" t="inlineStr">
        <is>
          <t>گاليوم-68-فاپ-2286   محلول تزريقي پرنترال 5 mCi  mCi - پارس ايزوتوپ</t>
        </is>
      </c>
      <c r="E1525" t="inlineStr">
        <is>
          <t>تی‌تک و آریا</t>
        </is>
      </c>
    </row>
    <row r="1526">
      <c r="A1526" t="n">
        <v>1525</v>
      </c>
      <c r="B1526" t="n">
        <v>53557</v>
      </c>
      <c r="C1526" t="inlineStr">
        <is>
          <t>LUTETIUM (177LU) PSMA 617 INJECTION, POWDER PARENTERAL 135 ug</t>
        </is>
      </c>
      <c r="D1526" t="inlineStr">
        <is>
          <t>پارس -لوتو پي اس ام آ   پودر براي تهيه فرآورده تزريقي پرنترال 135 ug  ug - پارس ايزوتوپ</t>
        </is>
      </c>
      <c r="E1526" t="inlineStr">
        <is>
          <t>تی‌تک و آریا</t>
        </is>
      </c>
    </row>
    <row r="1527">
      <c r="A1527" t="n">
        <v>1526</v>
      </c>
      <c r="B1527" t="n">
        <v>53558</v>
      </c>
      <c r="C1527" t="inlineStr">
        <is>
          <t>TERBINAFINE SPRAY TOPICAL 1 % 50 mL</t>
        </is>
      </c>
      <c r="D1527" t="inlineStr">
        <is>
          <t>تربينافين   اسپري موضعي 1 % 50 mL - ايران دارو</t>
        </is>
      </c>
      <c r="E1527" t="inlineStr">
        <is>
          <t>تی‌تک و آریا</t>
        </is>
      </c>
    </row>
    <row r="1528">
      <c r="A1528" t="n">
        <v>1527</v>
      </c>
      <c r="B1528" t="n">
        <v>53559</v>
      </c>
      <c r="C1528" t="inlineStr">
        <is>
          <t>CICLOSPORIN SOLUTION, DROPS OPHTHALMIC 0.05 % 0.4 mL</t>
        </is>
      </c>
      <c r="D1528" t="inlineStr">
        <is>
          <t>رستاسيس   محلول، قطره چشمي 0.05 % 0.4 [Amb'a'1'U] - فوريتهاي سينا آرات گستر</t>
        </is>
      </c>
      <c r="E1528" t="inlineStr">
        <is>
          <t>تی‌تک و آریا</t>
        </is>
      </c>
    </row>
    <row r="1529">
      <c r="A1529" t="n">
        <v>1528</v>
      </c>
      <c r="B1529" t="n">
        <v>53560</v>
      </c>
      <c r="C1529" t="inlineStr">
        <is>
          <t>RESMETIROM TABLET ORAL 80 mg</t>
        </is>
      </c>
      <c r="D1529" t="inlineStr">
        <is>
          <t>اکساري   قرص خوراکي 80 mg - داروسازي دکتر عبيدي</t>
        </is>
      </c>
      <c r="E1529" t="inlineStr">
        <is>
          <t>تی‌تک و آریا</t>
        </is>
      </c>
    </row>
    <row r="1530">
      <c r="A1530" t="n">
        <v>1529</v>
      </c>
      <c r="B1530" t="n">
        <v>53561</v>
      </c>
      <c r="C1530" t="inlineStr">
        <is>
          <t>RESMETIROM TABLET ORAL 100 mg</t>
        </is>
      </c>
      <c r="D1530" t="inlineStr">
        <is>
          <t>اکساري   قرص خوراکي 100 mg - داروسازي دکتر عبيدي</t>
        </is>
      </c>
      <c r="E1530" t="inlineStr">
        <is>
          <t>تی‌تک و آریا</t>
        </is>
      </c>
    </row>
    <row r="1531">
      <c r="A1531" t="n">
        <v>1530</v>
      </c>
      <c r="B1531" t="n">
        <v>53567</v>
      </c>
      <c r="C1531" t="inlineStr">
        <is>
          <t>RHENIUM (SUP188/SUPRE) ETIDRONIC ACID INJECTION, SOLUTION PARENTERAL 1 mCi/1kg</t>
        </is>
      </c>
      <c r="D1531" t="inlineStr">
        <is>
          <t>رنيوم(رنيوم-188) اچ اي دي پي   محلول تزريقي پرنترال 1 mCi/1kg  mCi - پارس ايزوتوپ</t>
        </is>
      </c>
      <c r="E1531" t="inlineStr">
        <is>
          <t>تی‌تک و آریا</t>
        </is>
      </c>
    </row>
    <row r="1532">
      <c r="A1532" t="n">
        <v>1531</v>
      </c>
      <c r="B1532" t="n">
        <v>53569</v>
      </c>
      <c r="C1532" t="inlineStr">
        <is>
          <t>HEMODIALYSIS CONCENTRATED II ACIDIC SOLUTION, CONCENTRATE HEMODIALYSIS 3710 meq/70 meq/35 meq/87.5 meq/70 g/122.5 meq/3902.5 meq/1L 4000 mL</t>
        </is>
      </c>
      <c r="D1532" t="inlineStr">
        <is>
          <t>همودياليز اسيدي غليظ 2   محلول غليظ   همودياليز 3710 meq/70 meq/35 meq/87.5 meq/70 g/122.5 meq/3902.5 meq/1L 4000 L - داروسازي فاران شيمي</t>
        </is>
      </c>
      <c r="E1532" t="inlineStr">
        <is>
          <t>تی‌تک و آریا</t>
        </is>
      </c>
    </row>
    <row r="1533">
      <c r="A1533" t="n">
        <v>1532</v>
      </c>
      <c r="B1533" t="n">
        <v>53571</v>
      </c>
      <c r="C1533" t="inlineStr">
        <is>
          <t>LUTETIUM (177LU) EDTMP KIT PARENTERAL 50 mg</t>
        </is>
      </c>
      <c r="D1533" t="inlineStr">
        <is>
          <t>اي.دي.تي.ام.پي   کيت پرنترال 50 mg  mg - پارس ايزوتوپ</t>
        </is>
      </c>
      <c r="E1533" t="inlineStr">
        <is>
          <t>تی‌تک و آریا</t>
        </is>
      </c>
    </row>
    <row r="1534">
      <c r="A1534" t="n">
        <v>1533</v>
      </c>
      <c r="B1534" t="n">
        <v>53572</v>
      </c>
      <c r="C1534" t="inlineStr">
        <is>
          <t>POLATUZUMAB VEDOTIN INJECTION, POWDER, LYOPHILIZED, FOR SOLUTION PARENTERAL 30 mg</t>
        </is>
      </c>
      <c r="D1534" t="inlineStr">
        <is>
          <t>پوليوي   پودر لئوفيليزه براي تهيه محلول تزريقي پرنترال 30 mg  mg - بازرگاني سها کيش</t>
        </is>
      </c>
      <c r="E1534" t="inlineStr">
        <is>
          <t>تی‌تک و آریا</t>
        </is>
      </c>
    </row>
    <row r="1535">
      <c r="A1535" t="n">
        <v>1534</v>
      </c>
      <c r="B1535" t="n">
        <v>53573</v>
      </c>
      <c r="C1535" t="inlineStr">
        <is>
          <t>ATOVAQUONE SUSPENSION ORAL 750 mg/5mL 226 mL</t>
        </is>
      </c>
      <c r="D1535" t="inlineStr">
        <is>
          <t>آتوواکوآن   سوسپانسيون خوراکي 750 mg/5mL 226 mL - بازرگاني سها کيش</t>
        </is>
      </c>
      <c r="E1535" t="inlineStr">
        <is>
          <t>تی‌تک و آریا</t>
        </is>
      </c>
    </row>
    <row r="1536">
      <c r="A1536" t="n">
        <v>1535</v>
      </c>
      <c r="B1536" t="n">
        <v>53574</v>
      </c>
      <c r="C1536" t="inlineStr">
        <is>
          <t>MOMETASONE FUROATE / OLOPATADINE HYDROCHLORIDE SPRAY NASAL 0.025 mg/0.6 mg 240 {Puff}</t>
        </is>
      </c>
      <c r="D1536" t="inlineStr">
        <is>
          <t>ريالتريس   اسپري از راه بيني 0.025 mg/0.6 mg 240 {Puff} - کيميا آرا هرم</t>
        </is>
      </c>
      <c r="E1536" t="inlineStr">
        <is>
          <t>تی‌تک و آریا</t>
        </is>
      </c>
    </row>
    <row r="1537">
      <c r="A1537" t="n">
        <v>1536</v>
      </c>
      <c r="B1537" t="n">
        <v>53577</v>
      </c>
      <c r="C1537" t="inlineStr">
        <is>
          <t>VARDENAFIL (AS HYDROCHLORIDE) TABLET ORAL 20 mg</t>
        </is>
      </c>
      <c r="E1537" t="inlineStr">
        <is>
          <t>فقط تی‌تک</t>
        </is>
      </c>
    </row>
    <row r="1538">
      <c r="A1538" t="n">
        <v>1537</v>
      </c>
      <c r="B1538" t="n">
        <v>53578</v>
      </c>
      <c r="C1538" t="inlineStr">
        <is>
          <t>RABIES IMMUNE GLOBULIN (HUMAN) INJECTION PARENTERAL 300 [iU]/1mL 5 mL</t>
        </is>
      </c>
      <c r="D1538" t="inlineStr">
        <is>
          <t>پرمي - رب   تزريقي پرنترال 300 [iU]/1mL 5 [iU] - هيات امناي صرفه جويي ارزي در معالجه بيماران</t>
        </is>
      </c>
      <c r="E1538" t="inlineStr">
        <is>
          <t>تی‌تک و آریا</t>
        </is>
      </c>
    </row>
    <row r="1539">
      <c r="A1539" t="n">
        <v>1538</v>
      </c>
      <c r="B1539" t="n">
        <v>53579</v>
      </c>
      <c r="C1539" t="inlineStr">
        <is>
          <t>PRUCALOPRIDE (AS SUCCINATE) TABLET ORAL 2 mg</t>
        </is>
      </c>
      <c r="D1539" t="inlineStr">
        <is>
          <t>ايبتاکس   قرص خوراکي 2 mg - داروسازي دکتر عبيدي</t>
        </is>
      </c>
      <c r="E1539" t="inlineStr">
        <is>
          <t>تی‌تک و آریا</t>
        </is>
      </c>
    </row>
    <row r="1540">
      <c r="A1540" t="n">
        <v>1539</v>
      </c>
      <c r="B1540" t="n">
        <v>53584</v>
      </c>
      <c r="C1540" t="inlineStr">
        <is>
          <t>TIRZEPATIDE INJECTION, SOLUTION SUBCUTANEOUS 12.5 mg/0.5 mL</t>
        </is>
      </c>
      <c r="D1540" t="inlineStr">
        <is>
          <t>اسپارتينا   محلول تزريقي زير جلدي 12.5 mg/0.5 mL  mg - تحقيقاتي وتوليدي سينا ژن</t>
        </is>
      </c>
      <c r="E1540" t="inlineStr">
        <is>
          <t>تی‌تک و آریا</t>
        </is>
      </c>
    </row>
    <row r="1541">
      <c r="A1541" t="n">
        <v>1540</v>
      </c>
      <c r="B1541" t="n">
        <v>53586</v>
      </c>
      <c r="C1541" t="inlineStr">
        <is>
          <t>TIRZEPATIDE INJECTION, SOLUTION SUBCUTANEOUS 15 mg/0.5 mL</t>
        </is>
      </c>
      <c r="D1541" t="inlineStr">
        <is>
          <t>اسپارتينا   محلول تزريقي زير جلدي 15 mg/0.5 mL  mg - تحقيقاتي وتوليدي سينا ژن</t>
        </is>
      </c>
      <c r="E1541" t="inlineStr">
        <is>
          <t>تی‌تک و آریا</t>
        </is>
      </c>
    </row>
    <row r="1542">
      <c r="A1542" t="n">
        <v>1541</v>
      </c>
      <c r="B1542" t="n">
        <v>53587</v>
      </c>
      <c r="C1542" t="inlineStr">
        <is>
          <t>TIRZEPATIDE INJECTION, SOLUTION PARENTERAL 2.5 mg/0.6 mL</t>
        </is>
      </c>
      <c r="D1542" t="inlineStr">
        <is>
          <t>اسپارتينا   محلول تزريقي پرنترال 2.5 mg/0.6 mL  mL - تحقيقاتي وتوليدي سينا ژن</t>
        </is>
      </c>
      <c r="E1542" t="inlineStr">
        <is>
          <t>تی‌تک و آریا</t>
        </is>
      </c>
    </row>
    <row r="1543">
      <c r="A1543" t="n">
        <v>1542</v>
      </c>
      <c r="B1543" t="n">
        <v>53588</v>
      </c>
      <c r="C1543" t="inlineStr">
        <is>
          <t>TIRZEPATIDE INJECTION, SOLUTION PARENTERAL 5 mg/0.6 mL</t>
        </is>
      </c>
      <c r="D1543" t="inlineStr">
        <is>
          <t>اسپارتينا   محلول تزريقي پرنترال 5 mg/0.6 mL  mL - تحقيقاتي وتوليدي سينا ژن</t>
        </is>
      </c>
      <c r="E1543" t="inlineStr">
        <is>
          <t>تی‌تک و آریا</t>
        </is>
      </c>
    </row>
    <row r="1544">
      <c r="A1544" t="n">
        <v>1543</v>
      </c>
      <c r="B1544" t="n">
        <v>53589</v>
      </c>
      <c r="C1544" t="inlineStr">
        <is>
          <t>TIRZEPATIDE INJECTION, SOLUTION PARENTERAL 7.5 mg/0.6 mL</t>
        </is>
      </c>
      <c r="D1544" t="inlineStr">
        <is>
          <t>اسپارتينا   محلول تزريقي پرنترال 7.5 mg/0.6 mL  mL - تحقيقاتي وتوليدي سينا ژن</t>
        </is>
      </c>
      <c r="E1544" t="inlineStr">
        <is>
          <t>تی‌تک و آریا</t>
        </is>
      </c>
    </row>
    <row r="1545">
      <c r="A1545" t="n">
        <v>1544</v>
      </c>
      <c r="B1545" t="n">
        <v>53590</v>
      </c>
      <c r="C1545" t="inlineStr">
        <is>
          <t>TIRZEPATIDE INJECTION, SOLUTION PARENTERAL 10 mg/0.6 mL</t>
        </is>
      </c>
      <c r="D1545" t="inlineStr">
        <is>
          <t>اسپارتينا   محلول تزريقي پرنترال 10 mg/0.6 mL  mL - تحقيقاتي وتوليدي سينا ژن</t>
        </is>
      </c>
      <c r="E1545" t="inlineStr">
        <is>
          <t>تی‌تک و آریا</t>
        </is>
      </c>
    </row>
    <row r="1546">
      <c r="A1546" t="n">
        <v>1545</v>
      </c>
      <c r="B1546" t="n">
        <v>53591</v>
      </c>
      <c r="C1546" t="inlineStr">
        <is>
          <t>TIRZEPATIDE INJECTION, SOLUTION PARENTERAL 12.5 mg/0.6 mL</t>
        </is>
      </c>
      <c r="D1546" t="inlineStr">
        <is>
          <t>اسپارتينا   محلول تزريقي پرنترال 12.5 mg/0.6 mL  mL - تحقيقاتي وتوليدي سينا ژن</t>
        </is>
      </c>
      <c r="E1546" t="inlineStr">
        <is>
          <t>تی‌تک و آریا</t>
        </is>
      </c>
    </row>
    <row r="1547">
      <c r="A1547" t="n">
        <v>1546</v>
      </c>
      <c r="B1547" t="n">
        <v>53592</v>
      </c>
      <c r="C1547" t="inlineStr">
        <is>
          <t>TIRZEPATIDE INJECTION, SOLUTION PARENTERAL 15 mg/0.6 mL</t>
        </is>
      </c>
      <c r="D1547" t="inlineStr">
        <is>
          <t>اسپارتينا   محلول تزريقي پرنترال 15 mg/0.6 mL  mL - تحقيقاتي وتوليدي سينا ژن</t>
        </is>
      </c>
      <c r="E1547" t="inlineStr">
        <is>
          <t>تی‌تک و آریا</t>
        </is>
      </c>
    </row>
    <row r="1548">
      <c r="A1548" t="n">
        <v>1547</v>
      </c>
      <c r="B1548" t="n">
        <v>53594</v>
      </c>
      <c r="C1548" t="inlineStr">
        <is>
          <t>LUTETIUM (177LU) DOTATATE INJECTION, POWDER PARENTERAL 140 ug</t>
        </is>
      </c>
      <c r="D1548" t="inlineStr">
        <is>
          <t>پارس لوتوتيت   پودر براي تهيه فرآورده تزريقي پرنترال 140 ug  ug - پارس ايزوتوپ</t>
        </is>
      </c>
      <c r="E1548" t="inlineStr">
        <is>
          <t>تی‌تک و آریا</t>
        </is>
      </c>
    </row>
    <row r="1549">
      <c r="A1549" t="n">
        <v>1548</v>
      </c>
      <c r="B1549" t="n">
        <v>53599</v>
      </c>
      <c r="C1549" t="inlineStr">
        <is>
          <t>SODIUM CHLORIDE SPRAY NASAL 0.9 % 150 mL</t>
        </is>
      </c>
      <c r="D1549" t="inlineStr">
        <is>
          <t>زيماکس دلتازکس   اسپري از راه بيني 0.9 % 150 mL - دلتا دارو</t>
        </is>
      </c>
      <c r="E1549" t="inlineStr">
        <is>
          <t>تی‌تک و آریا</t>
        </is>
      </c>
    </row>
    <row r="1550">
      <c r="A1550" t="n">
        <v>1549</v>
      </c>
      <c r="B1550" t="n">
        <v>53601</v>
      </c>
      <c r="C1550" t="inlineStr">
        <is>
          <t>FAMOTIDINE POWDER, FOR SUSPENSION ORAL 40 mg/5mL 100 mL</t>
        </is>
      </c>
      <c r="D1550" t="inlineStr">
        <is>
          <t>فاموتيدين   پودر براي تهيه سوسپانسيون   خوراکي 40 mg/5mL 100 g - پور سينا</t>
        </is>
      </c>
      <c r="E1550" t="inlineStr">
        <is>
          <t>تی‌تک و آریا</t>
        </is>
      </c>
    </row>
    <row r="1551">
      <c r="A1551" t="n">
        <v>1550</v>
      </c>
      <c r="B1551" t="n">
        <v>53602</v>
      </c>
      <c r="C1551" t="inlineStr">
        <is>
          <t>DEXTROMETHORPHAN HYDROBROMIDE SYRUP ORAL 15 mg/5mL 100 mL</t>
        </is>
      </c>
      <c r="D1551" t="inlineStr">
        <is>
          <t>دکسترومتورفان   شربت خوراکي 15 mg/5mL 100 mL - البرز دارو</t>
        </is>
      </c>
      <c r="E1551" t="inlineStr">
        <is>
          <t>تی‌تک و آریا</t>
        </is>
      </c>
    </row>
    <row r="1552">
      <c r="A1552" t="n">
        <v>1551</v>
      </c>
      <c r="B1552" t="n">
        <v>53603</v>
      </c>
      <c r="C1552" t="inlineStr">
        <is>
          <t>ACETAMINOPHEN TABLET ORAL 1000 mg</t>
        </is>
      </c>
      <c r="D1552" t="inlineStr">
        <is>
          <t>استامينوفن   قرص خوراکي 1000 mg - داروسازي خوارزمي</t>
        </is>
      </c>
      <c r="E1552" t="inlineStr">
        <is>
          <t>تی‌تک و آریا</t>
        </is>
      </c>
    </row>
    <row r="1553">
      <c r="A1553" t="n">
        <v>1552</v>
      </c>
      <c r="B1553" t="n">
        <v>53604</v>
      </c>
      <c r="C1553" t="inlineStr">
        <is>
          <t>FACTOR VIII / VON WILLEBRAND FACTOR INJECTION, POWDER, LYOPHILIZED, FOR SOLUTION PARENTERAL 500 [iU]/375 [iU]</t>
        </is>
      </c>
      <c r="D1553" t="inlineStr">
        <is>
          <t>ايميونيت   پودر لئوفيليزه براي تهيه محلول تزريقي پرنترال 500 [iU]/375 [iU]  [iU] - کار و انديشه</t>
        </is>
      </c>
      <c r="E1553" t="inlineStr">
        <is>
          <t>تی‌تک و آریا</t>
        </is>
      </c>
    </row>
    <row r="1554">
      <c r="A1554" t="n">
        <v>1553</v>
      </c>
      <c r="B1554" t="n">
        <v>53605</v>
      </c>
      <c r="C1554" t="inlineStr">
        <is>
          <t>POLYSACCHARIDE IRON COMPLEX CAPSULE ORAL 150 mg</t>
        </is>
      </c>
      <c r="D1554" t="inlineStr">
        <is>
          <t>فرامکس   کپسول خوراکي 150 mg - بهستان بهداشت</t>
        </is>
      </c>
      <c r="E1554" t="inlineStr">
        <is>
          <t>تی‌تک و آریا</t>
        </is>
      </c>
    </row>
    <row r="1555">
      <c r="A1555" t="n">
        <v>1554</v>
      </c>
      <c r="B1555" t="n">
        <v>53607</v>
      </c>
      <c r="C1555" t="inlineStr">
        <is>
          <t>GILTERITINIB (AS FUMARATE) TABLET ORAL 40 mg</t>
        </is>
      </c>
      <c r="D1555" t="inlineStr">
        <is>
          <t>گيلترنيب   قرص خوراکي 40 mg - بازرگاني سها کيش</t>
        </is>
      </c>
      <c r="E1555" t="inlineStr">
        <is>
          <t>تی‌تک و آریا</t>
        </is>
      </c>
    </row>
    <row r="1556">
      <c r="A1556" t="n">
        <v>1555</v>
      </c>
      <c r="B1556" t="n">
        <v>53609</v>
      </c>
      <c r="C1556" t="inlineStr">
        <is>
          <t>VITAMIN B6 INJECTION PARENTERAL 100 mg/1mL 1 mL</t>
        </is>
      </c>
      <c r="D1556" t="inlineStr">
        <is>
          <t>ويتامين ب 6   تزريقي پرنترال 100 mg/1mL 1 mL - دارو سازي اسوه</t>
        </is>
      </c>
      <c r="E1556" t="inlineStr">
        <is>
          <t>تی‌تک و آریا</t>
        </is>
      </c>
    </row>
    <row r="1557">
      <c r="A1557" t="n">
        <v>1556</v>
      </c>
      <c r="B1557" t="n">
        <v>53610</v>
      </c>
      <c r="C1557" t="inlineStr">
        <is>
          <t>RUXOLITINIB (AS PHOSPHATE) CREAM TOPICAL 1.5 % 60 g</t>
        </is>
      </c>
      <c r="D1557" t="inlineStr">
        <is>
          <t>روکساوي   کرم موضعي 1.5 % 60 g - دارويي سورنا فارمد پويا</t>
        </is>
      </c>
      <c r="E1557" t="inlineStr">
        <is>
          <t>تی‌تک و آریا</t>
        </is>
      </c>
    </row>
    <row r="1558">
      <c r="A1558" t="n">
        <v>1557</v>
      </c>
      <c r="B1558" t="n">
        <v>53611</v>
      </c>
      <c r="C1558" t="inlineStr">
        <is>
          <t>VERICIGUAT TABLET ORAL 2.5 mg</t>
        </is>
      </c>
      <c r="D1558" t="inlineStr">
        <is>
          <t>وريسيگوات   قرص خوراکي 2.5 mg - آرنا حيات دانش</t>
        </is>
      </c>
      <c r="E1558" t="inlineStr">
        <is>
          <t>تی‌تک و آریا</t>
        </is>
      </c>
    </row>
    <row r="1559">
      <c r="A1559" t="n">
        <v>1558</v>
      </c>
      <c r="B1559" t="n">
        <v>53612</v>
      </c>
      <c r="C1559" t="inlineStr">
        <is>
          <t>VERICIGUAT TABLET ORAL 5 mg</t>
        </is>
      </c>
      <c r="D1559" t="inlineStr">
        <is>
          <t>وريسيگوات   قرص خوراکي 5 mg - آرنا حيات دانش</t>
        </is>
      </c>
      <c r="E1559" t="inlineStr">
        <is>
          <t>تی‌تک و آریا</t>
        </is>
      </c>
    </row>
    <row r="1560">
      <c r="A1560" t="n">
        <v>1559</v>
      </c>
      <c r="B1560" t="n">
        <v>53613</v>
      </c>
      <c r="C1560" t="inlineStr">
        <is>
          <t>VERICIGUAT TABLET ORAL 10 mg</t>
        </is>
      </c>
      <c r="D1560" t="inlineStr">
        <is>
          <t>وريسيگوات   قرص خوراکي 10 mg - آرنا حيات دانش</t>
        </is>
      </c>
      <c r="E1560" t="inlineStr">
        <is>
          <t>تی‌تک و آریا</t>
        </is>
      </c>
    </row>
    <row r="1561">
      <c r="A1561" t="n">
        <v>1560</v>
      </c>
      <c r="B1561" t="n">
        <v>53614</v>
      </c>
      <c r="C1561" t="inlineStr">
        <is>
          <t>DURVALUMAB INJECTION PARENTERAL 50 mg/1mL 2.4 mL</t>
        </is>
      </c>
      <c r="D1561" t="inlineStr">
        <is>
          <t>ايمفينزي   تزريقي پرنترال 50 mg/1mL 2.4 mg - کوبل دارو</t>
        </is>
      </c>
      <c r="E1561" t="inlineStr">
        <is>
          <t>تی‌تک و آریا</t>
        </is>
      </c>
    </row>
    <row r="1562">
      <c r="A1562" t="n">
        <v>1561</v>
      </c>
      <c r="B1562" t="n">
        <v>53615</v>
      </c>
      <c r="C1562" t="inlineStr">
        <is>
          <t>IOHEXOL SOLUTION ORAL 9 mg/1mL 500 mL</t>
        </is>
      </c>
      <c r="D1562" t="inlineStr">
        <is>
          <t>رادوسکن   محلول خوراکي 9 mg/1mL 500 mL - شفيع دارو آريا</t>
        </is>
      </c>
      <c r="E1562" t="inlineStr">
        <is>
          <t>تی‌تک و آریا</t>
        </is>
      </c>
    </row>
    <row r="1563">
      <c r="A1563" t="n">
        <v>1562</v>
      </c>
      <c r="B1563" t="n">
        <v>53616</v>
      </c>
      <c r="C1563" t="inlineStr">
        <is>
          <t>SEMAGLUTIDE INJECTION, SOLUTION PARENTERAL 1.7 mg/0.75 mL</t>
        </is>
      </c>
      <c r="D1563" t="inlineStr">
        <is>
          <t>تريموتايد   محلول تزريقي پرنترال 1.7 mg/0.75 mL  mg - تحقيقاتي وتوليدي سينا ژن</t>
        </is>
      </c>
      <c r="E1563" t="inlineStr">
        <is>
          <t>تی‌تک و آریا</t>
        </is>
      </c>
    </row>
    <row r="1564">
      <c r="A1564" t="n">
        <v>1563</v>
      </c>
      <c r="B1564" t="n">
        <v>53617</v>
      </c>
      <c r="C1564" t="inlineStr">
        <is>
          <t>SEMAGLUTIDE INJECTION, SOLUTION PARENTERAL 2.4 mg/0.75 mL</t>
        </is>
      </c>
      <c r="D1564" t="inlineStr">
        <is>
          <t>تريموتايد   محلول تزريقي پرنترال 2.4 mg/0.75 mL  mg - تحقيقاتي وتوليدي سينا ژن</t>
        </is>
      </c>
      <c r="E1564" t="inlineStr">
        <is>
          <t>تی‌تک و آریا</t>
        </is>
      </c>
    </row>
    <row r="1565">
      <c r="A1565" t="n">
        <v>1564</v>
      </c>
      <c r="B1565" t="n">
        <v>53618</v>
      </c>
      <c r="C1565" t="inlineStr">
        <is>
          <t>TRAMADOL HYDROCHLORIDE TABLET, EXTENDED RELEASE ORAL 225 mg</t>
        </is>
      </c>
      <c r="D1565" t="inlineStr">
        <is>
          <t>ترامادول   قرص پيوسته رهش خوراکي 225 mg - دارويي و نهاده هاي زاگرس دارو پارسيان</t>
        </is>
      </c>
      <c r="E1565" t="inlineStr">
        <is>
          <t>تی‌تک و آریا</t>
        </is>
      </c>
    </row>
    <row r="1566">
      <c r="A1566" t="n">
        <v>1565</v>
      </c>
      <c r="B1566" t="n">
        <v>53619</v>
      </c>
      <c r="C1566" t="inlineStr">
        <is>
          <t>ZOLBETUXIMAB-CLZB INJECTION, POWDER, LYOPHILIZED, FOR SOLUTION PARENTERAL 100 mg</t>
        </is>
      </c>
      <c r="D1566" t="inlineStr">
        <is>
          <t>ويلوي   پودر لئوفيليزه براي تهيه محلول تزريقي پرنترال 100 mg  mg - بازرگاني سها کيش</t>
        </is>
      </c>
      <c r="E1566" t="inlineStr">
        <is>
          <t>تی‌تک و آریا</t>
        </is>
      </c>
    </row>
    <row r="1567">
      <c r="A1567" t="n">
        <v>1566</v>
      </c>
      <c r="B1567" t="n">
        <v>53620</v>
      </c>
      <c r="C1567" t="inlineStr">
        <is>
          <t>VARICELLA, LIVE ATTENUATED INJECTION, POWDER, FOR SOLUTION PARENTERAL 2400 [PFU]/0.5 mL</t>
        </is>
      </c>
      <c r="D1567" t="inlineStr">
        <is>
          <t>اسکاي واريسلا   پودر براي تهيه محلول تزريقي پرنترال 2400 [PFU]/0.5 mL  [PFU] - کوبل دارو</t>
        </is>
      </c>
      <c r="E1567" t="inlineStr">
        <is>
          <t>تی‌تک و آریا</t>
        </is>
      </c>
    </row>
    <row r="1568">
      <c r="A1568" t="n">
        <v>1567</v>
      </c>
      <c r="B1568" t="n">
        <v>53621</v>
      </c>
      <c r="C1568" t="inlineStr">
        <is>
          <t>VERAPAMIL HYDROCHLORIDE INJECTION PARENTERAL 2.5 mg/1mL 4 mL</t>
        </is>
      </c>
      <c r="D1568" t="inlineStr">
        <is>
          <t>وراپاميل   تزريقي پرنترال 2.5 mg/1mL 4 mL - داروسازي کاسپين تأمين</t>
        </is>
      </c>
      <c r="E1568" t="inlineStr">
        <is>
          <t>تی‌تک و آریا</t>
        </is>
      </c>
    </row>
    <row r="1569">
      <c r="A1569" t="n">
        <v>1568</v>
      </c>
      <c r="B1569" t="n">
        <v>53622</v>
      </c>
      <c r="C1569" t="inlineStr">
        <is>
          <t>NAPROXEN SUSPENSION ORAL 125 mg/5 mL 120 mL</t>
        </is>
      </c>
      <c r="D1569" t="inlineStr">
        <is>
          <t>اناکسيپ   سوسپانسيون خوراکي 125 mg/5 mL 120 mL - رازان فارمد ايرانيان</t>
        </is>
      </c>
      <c r="E1569" t="inlineStr">
        <is>
          <t>تی‌تک و آریا</t>
        </is>
      </c>
    </row>
    <row r="1570">
      <c r="A1570" t="n">
        <v>1569</v>
      </c>
      <c r="B1570" t="n">
        <v>53623</v>
      </c>
      <c r="C1570" t="inlineStr">
        <is>
          <t>GLYCOPYRRONIUM BROMIDE CAPSULE RESPIRATORY 55 ug</t>
        </is>
      </c>
      <c r="E1570" t="inlineStr">
        <is>
          <t>فقط تی‌تک</t>
        </is>
      </c>
    </row>
    <row r="1571">
      <c r="A1571" t="n">
        <v>1570</v>
      </c>
      <c r="B1571" t="n">
        <v>53624</v>
      </c>
      <c r="C1571" t="inlineStr">
        <is>
          <t>ALENDRONATE (AS SODIUM) SOLUTION ORAL 70 mg/75 mL</t>
        </is>
      </c>
      <c r="D1571" t="inlineStr">
        <is>
          <t>درسونيت   محلول خوراکي 70 mg/75 mL  mg - توليد مواد داروئي درسا دارو</t>
        </is>
      </c>
      <c r="E1571" t="inlineStr">
        <is>
          <t>تی‌تک و آریا</t>
        </is>
      </c>
    </row>
    <row r="1572">
      <c r="A1572" t="n">
        <v>1571</v>
      </c>
      <c r="B1572" t="n">
        <v>53625</v>
      </c>
      <c r="C1572" t="inlineStr">
        <is>
          <t>LAROTRECTINIB (AS SULFATE) CAPSULE ORAL 100 mg</t>
        </is>
      </c>
      <c r="D1572" t="inlineStr">
        <is>
          <t>ويتراکوي   کپسول خوراکي 100 mg - بازرگاني سها کيش</t>
        </is>
      </c>
      <c r="E1572" t="inlineStr">
        <is>
          <t>تی‌تک و آریا</t>
        </is>
      </c>
    </row>
    <row r="1573">
      <c r="A1573" t="n">
        <v>1572</v>
      </c>
      <c r="B1573" t="n">
        <v>53626</v>
      </c>
      <c r="C1573" t="inlineStr">
        <is>
          <t>DATOPOTAMAB DERUXTECAN INJECTION, POWDER, LYOPHILIZED, FOR SOLUTION PARENTERAL 100 mg</t>
        </is>
      </c>
      <c r="D1573" t="inlineStr">
        <is>
          <t>داترووي   پودر لئوفيليزه براي تهيه محلول تزريقي پرنترال 100 mg - بازرگاني سها کيش</t>
        </is>
      </c>
      <c r="E1573" t="inlineStr">
        <is>
          <t>تی‌تک و آریا</t>
        </is>
      </c>
    </row>
    <row r="1574">
      <c r="A1574" t="n">
        <v>1573</v>
      </c>
      <c r="B1574" t="n">
        <v>53628</v>
      </c>
      <c r="C1574" t="inlineStr">
        <is>
          <t>OBETICHOLIC ACID TABLET ORAL 5 mg</t>
        </is>
      </c>
      <c r="D1574" t="inlineStr">
        <is>
          <t>اوبتوهپ   قرص خوراکي 5 mg - بازرگاني سها کيش</t>
        </is>
      </c>
      <c r="E1574" t="inlineStr">
        <is>
          <t>تی‌تک و آریا</t>
        </is>
      </c>
    </row>
    <row r="1575">
      <c r="A1575" t="n">
        <v>1574</v>
      </c>
      <c r="B1575" t="n">
        <v>53629</v>
      </c>
      <c r="C1575" t="inlineStr">
        <is>
          <t>RIOCIGUAT TABLET ORAL 0.5 mg</t>
        </is>
      </c>
      <c r="D1575" t="inlineStr">
        <is>
          <t>ريوسي   قرص خوراکي 0.5 mg - بازرگاني سها کيش</t>
        </is>
      </c>
      <c r="E1575" t="inlineStr">
        <is>
          <t>تی‌تک و آریا</t>
        </is>
      </c>
    </row>
    <row r="1576">
      <c r="A1576" t="n">
        <v>1575</v>
      </c>
      <c r="B1576" t="n">
        <v>53630</v>
      </c>
      <c r="C1576" t="inlineStr">
        <is>
          <t>GLOFITAMAB INJECTION, SOLUTION, CONCENTRATE PARENTERAL 1 mg/1mL 2.5 mL</t>
        </is>
      </c>
      <c r="D1576" t="inlineStr">
        <is>
          <t>کولوموي   محلول غليظ تزريقي پرنترال 1 mg/1mL 2.5 mg - مرز گستران فناوري آينده</t>
        </is>
      </c>
      <c r="E1576" t="inlineStr">
        <is>
          <t>تی‌تک و آریا</t>
        </is>
      </c>
    </row>
    <row r="1577">
      <c r="A1577" t="n">
        <v>1576</v>
      </c>
      <c r="B1577" t="n">
        <v>53631</v>
      </c>
      <c r="C1577" t="inlineStr">
        <is>
          <t>GLOFITAMAB INJECTION, SOLUTION, CONCENTRATE PARENTERAL 1 mg/1mL 10 mL</t>
        </is>
      </c>
      <c r="D1577" t="inlineStr">
        <is>
          <t>کولوموي   محلول غليظ تزريقي پرنترال 1 mg/1mL 10 mg - مرز گستران فناوري آينده</t>
        </is>
      </c>
      <c r="E1577" t="inlineStr">
        <is>
          <t>تی‌تک و آریا</t>
        </is>
      </c>
    </row>
    <row r="1578">
      <c r="A1578" t="n">
        <v>1577</v>
      </c>
      <c r="B1578" t="n">
        <v>53632</v>
      </c>
      <c r="C1578" t="inlineStr">
        <is>
          <t>AZACITIDINE TABLET ORAL 200 mg</t>
        </is>
      </c>
      <c r="D1578" t="inlineStr">
        <is>
          <t>آزاشين   قرص خوراکي 200 mg - بازرگاني سها کيش</t>
        </is>
      </c>
      <c r="E1578" t="inlineStr">
        <is>
          <t>تی‌تک و آریا</t>
        </is>
      </c>
    </row>
    <row r="1579">
      <c r="A1579" t="n">
        <v>1578</v>
      </c>
      <c r="B1579" t="n">
        <v>53633</v>
      </c>
      <c r="C1579" t="inlineStr">
        <is>
          <t>ARIPIPRAZOLE SOLUTION ORAL 1 mg/1mL 150 mL</t>
        </is>
      </c>
      <c r="D1579" t="inlineStr">
        <is>
          <t>آريپيپرازول جنريس   محلول خوراکي 1 mg/1mL 150 mL - سينا پيشگام دارو نوين</t>
        </is>
      </c>
      <c r="E1579" t="inlineStr">
        <is>
          <t>تی‌تک و آریا</t>
        </is>
      </c>
    </row>
    <row r="1580">
      <c r="A1580" t="n">
        <v>1579</v>
      </c>
      <c r="B1580" t="n">
        <v>53634</v>
      </c>
      <c r="C1580" t="inlineStr">
        <is>
          <t>PRIMAQUINE (AS PHOSPHATE) TABLET ORAL 7.5 mg</t>
        </is>
      </c>
      <c r="D1580" t="inlineStr">
        <is>
          <t>پريماکين   قرص خوراکي 7.5 mg - ماه داروي حکيم</t>
        </is>
      </c>
      <c r="E1580" t="inlineStr">
        <is>
          <t>تی‌تک و آریا</t>
        </is>
      </c>
    </row>
    <row r="1581">
      <c r="A1581" t="n">
        <v>1580</v>
      </c>
      <c r="B1581" t="n">
        <v>53635</v>
      </c>
      <c r="C1581" t="inlineStr">
        <is>
          <t>PRETOMANID TABLET ORAL 200 mg</t>
        </is>
      </c>
      <c r="D1581" t="inlineStr">
        <is>
          <t>پرتومانيد   قرص خوراکي 200 mg - ماه داروي حکيم</t>
        </is>
      </c>
      <c r="E1581" t="inlineStr">
        <is>
          <t>تی‌تک و آریا</t>
        </is>
      </c>
    </row>
    <row r="1582">
      <c r="A1582" t="n">
        <v>1581</v>
      </c>
      <c r="B1582" t="n">
        <v>53643</v>
      </c>
      <c r="C1582" t="inlineStr">
        <is>
          <t>AVALGLUCOSIDASE ALFA INJECTION, POWDER, FOR SOLUTION PARENTERAL 100 mg</t>
        </is>
      </c>
      <c r="D1582" t="inlineStr">
        <is>
          <t>نکسوياديم   پودر براي تهيه محلول تزريقي پرنترال 100 mg  mg - آريوژن فارمد</t>
        </is>
      </c>
      <c r="E1582" t="inlineStr">
        <is>
          <t>تی‌تک و آریا</t>
        </is>
      </c>
    </row>
    <row r="1583">
      <c r="A1583" t="n">
        <v>1582</v>
      </c>
      <c r="B1583" t="n">
        <v>53650</v>
      </c>
      <c r="C1583" t="inlineStr">
        <is>
          <t>PONATINIB (AS HYDROCHLORIDE) TABLET ORAL 15 mg</t>
        </is>
      </c>
      <c r="D1583" t="inlineStr">
        <is>
          <t>پوناکسن   قرص خوراکي 15 mg - بازرگاني سها کيش</t>
        </is>
      </c>
      <c r="E1583" t="inlineStr">
        <is>
          <t>تی‌تک و آریا</t>
        </is>
      </c>
    </row>
    <row r="1584">
      <c r="A1584" t="n">
        <v>1583</v>
      </c>
      <c r="B1584" t="n">
        <v>53651</v>
      </c>
      <c r="C1584" t="inlineStr">
        <is>
          <t>TENOFOVIR DISOPROXIL FUMARATE / DOLUTEGRAVIR / LAMIVUDINE TABLET ORAL 300 mg/50 mg/300 mg</t>
        </is>
      </c>
      <c r="D1584" t="inlineStr">
        <is>
          <t>تنوفووير/دالتگراوير/لاميوودين   قرص خوراکي 300 mg/50 mg/300 mg - ماه داروي حکيم</t>
        </is>
      </c>
      <c r="E1584" t="inlineStr">
        <is>
          <t>تی‌تک و آریا</t>
        </is>
      </c>
    </row>
    <row r="1585">
      <c r="A1585" t="n">
        <v>1584</v>
      </c>
      <c r="B1585" t="n">
        <v>53653</v>
      </c>
      <c r="C1585" t="inlineStr">
        <is>
          <t>NITROUS OXIDE GAS RESPIRATORY  19000 kg</t>
        </is>
      </c>
      <c r="D1585" t="inlineStr">
        <is>
          <t>نيتروس اکسايد   گاز استنشاقي  19000 kg - درمان گاز</t>
        </is>
      </c>
      <c r="E1585" t="inlineStr">
        <is>
          <t>تی‌تک و آریا</t>
        </is>
      </c>
    </row>
    <row r="1586">
      <c r="A1586" t="n">
        <v>1585</v>
      </c>
      <c r="B1586" t="n">
        <v>53654</v>
      </c>
      <c r="C1586" t="inlineStr">
        <is>
          <t>NITROUS OXIDE GAS RESPIRATORY  21000 kg</t>
        </is>
      </c>
      <c r="D1586" t="inlineStr">
        <is>
          <t>نيتروس اکسايد   گاز استنشاقي  21000 kg - درمان گاز</t>
        </is>
      </c>
      <c r="E1586" t="inlineStr">
        <is>
          <t>تی‌تک و آریا</t>
        </is>
      </c>
    </row>
    <row r="1587">
      <c r="A1587" t="n">
        <v>1586</v>
      </c>
      <c r="B1587" t="n">
        <v>53655</v>
      </c>
      <c r="C1587" t="inlineStr">
        <is>
          <t>RUXOLITINIB (AS PHOSPHATE) CREAM TOPICAL 1.5 % 30 g</t>
        </is>
      </c>
      <c r="D1587" t="inlineStr">
        <is>
          <t>زوليتاپ   کرم موضعي 1.5 % 30 g - نانو فناوران داروئي الوند</t>
        </is>
      </c>
      <c r="E1587" t="inlineStr">
        <is>
          <t>تی‌تک و آریا</t>
        </is>
      </c>
    </row>
    <row r="1588">
      <c r="A1588" t="n">
        <v>1587</v>
      </c>
      <c r="B1588" t="n">
        <v>53656</v>
      </c>
      <c r="C1588" t="inlineStr">
        <is>
          <t>RESMETIROM TABLET ORAL 60 mg</t>
        </is>
      </c>
      <c r="D1588" t="inlineStr">
        <is>
          <t>اکساري   قرص خوراکي 60 mg - داروسازي دکتر عبيدي</t>
        </is>
      </c>
      <c r="E1588" t="inlineStr">
        <is>
          <t>تی‌تک و آریا</t>
        </is>
      </c>
    </row>
    <row r="1589">
      <c r="A1589" t="n">
        <v>1588</v>
      </c>
      <c r="B1589" t="n">
        <v>53657</v>
      </c>
      <c r="C1589" t="inlineStr">
        <is>
          <t>FILGRASTIM INJECTION PARENTERAL 600 ug/1mL 0.8 mL</t>
        </is>
      </c>
      <c r="D1589" t="inlineStr">
        <is>
          <t>تيناگراست   تزريقي پرنترال 600 ug/1mL 0.8 mL - آريا تينا ژن</t>
        </is>
      </c>
      <c r="E1589" t="inlineStr">
        <is>
          <t>تی‌تک و آریا</t>
        </is>
      </c>
    </row>
    <row r="1590">
      <c r="A1590" t="n">
        <v>1589</v>
      </c>
      <c r="B1590" t="n">
        <v>53658</v>
      </c>
      <c r="C1590" t="inlineStr">
        <is>
          <t>TISAGENLECLEUCEL INJECTION, SUSPENSION INTRAVENOUS 1 cells</t>
        </is>
      </c>
      <c r="D1590" t="inlineStr">
        <is>
          <t>تيسا ژن لکلوسل   سوسپانسيون تزريقي داخل وريدي 1 cells - کارا ياخته تجهيز آزما</t>
        </is>
      </c>
      <c r="E1590" t="inlineStr">
        <is>
          <t>تی‌تک و آریا</t>
        </is>
      </c>
    </row>
    <row r="1591">
      <c r="A1591" t="n">
        <v>1590</v>
      </c>
      <c r="B1591" t="n">
        <v>53660</v>
      </c>
      <c r="C1591" t="inlineStr">
        <is>
          <t>PLACENTA DERIVED STROMAL MESENCHYMAL CELLS INJECTION, SUSPENSION PARENTERAL 2000000 cm2/1mL 5 mL</t>
        </is>
      </c>
      <c r="D1591" t="inlineStr">
        <is>
          <t>ويراپلاسل   سوسپانسيون تزريقي پرنترال 2000000 cm2/1mL 5 cells - ويرا سلول</t>
        </is>
      </c>
      <c r="E1591" t="inlineStr">
        <is>
          <t>تی‌تک و آریا</t>
        </is>
      </c>
    </row>
    <row r="1592">
      <c r="A1592" t="n">
        <v>1591</v>
      </c>
      <c r="B1592" t="n">
        <v>53661</v>
      </c>
      <c r="C1592" t="inlineStr">
        <is>
          <t>OSELTAMIVIR (AS PHOSPHATE) POWDER, FOR SOLUTION ORAL 60 mg/5 mL 60 mL</t>
        </is>
      </c>
      <c r="D1592" t="inlineStr">
        <is>
          <t>اسلتاميوير   پودر براي تهيه محلول خوراکي 60 mg/5 mL 60 g - داروسازي امين</t>
        </is>
      </c>
      <c r="E1592" t="inlineStr">
        <is>
          <t>تی‌تک و آریا</t>
        </is>
      </c>
    </row>
    <row r="1593">
      <c r="A1593" t="n">
        <v>1592</v>
      </c>
      <c r="B1593" t="n">
        <v>53662</v>
      </c>
      <c r="C1593" t="inlineStr">
        <is>
          <t>HUMAN AUTOLOGOUS CULTURED FIBROBLAST CELLS (AZFICEL-T) INJECTION, SUSPENSION PARENTERAL 30000000 cells/3mL</t>
        </is>
      </c>
      <c r="D1593" t="inlineStr">
        <is>
          <t>رنيودرم سل   سوسپانسيون تزريقي پرنترال 30000000 cells/3mL  cells - سل تک فارمد</t>
        </is>
      </c>
      <c r="E1593" t="inlineStr">
        <is>
          <t>تی‌تک و آریا</t>
        </is>
      </c>
    </row>
    <row r="1594">
      <c r="A1594" t="n">
        <v>1593</v>
      </c>
      <c r="B1594" t="n">
        <v>53663</v>
      </c>
      <c r="C1594" t="inlineStr">
        <is>
          <t>HUMAN ALLOGENIC UMBILICAL CORD TISSUE-DERIVED MESENCHYMAL STROMAL CELLS INJECTION, SUSPENSION PARENTERAL 30000000 cells/3mL</t>
        </is>
      </c>
      <c r="D1594" t="inlineStr">
        <is>
          <t>وارتوسل   سوسپانسيون تزريقي پرنترال 30000000 cells/3mL  cells - سل تک فارمد</t>
        </is>
      </c>
      <c r="E1594" t="inlineStr">
        <is>
          <t>تی‌تک و آریا</t>
        </is>
      </c>
    </row>
    <row r="1595">
      <c r="A1595" t="n">
        <v>1594</v>
      </c>
      <c r="B1595" t="n">
        <v>53664</v>
      </c>
      <c r="C1595" t="inlineStr">
        <is>
          <t>LUSPATERCEPT INJECTION, POWDER, FOR SOLUTION PARENTERAL 25 mg</t>
        </is>
      </c>
      <c r="D1595" t="inlineStr">
        <is>
          <t>ربلوزيل   پودر براي تهيه محلول تزريقي پرنترال 25 mg  mg - کي بي سي</t>
        </is>
      </c>
      <c r="E1595" t="inlineStr">
        <is>
          <t>تی‌تک و آریا</t>
        </is>
      </c>
    </row>
    <row r="1596">
      <c r="A1596" t="n">
        <v>1595</v>
      </c>
      <c r="B1596" t="n">
        <v>53665</v>
      </c>
      <c r="C1596" t="inlineStr">
        <is>
          <t>DICLOFENAC POTASSIUM POWDER, FOR SOLUTION ORAL 50 mg</t>
        </is>
      </c>
      <c r="D1596" t="inlineStr">
        <is>
          <t>ديکلوفناک پتاسيم   پودر براي تهيه محلول خوراکي 50 mg  mg - بارن فارمد پارسيان</t>
        </is>
      </c>
      <c r="E1596" t="inlineStr">
        <is>
          <t>تی‌تک و آریا</t>
        </is>
      </c>
    </row>
    <row r="1597">
      <c r="A1597" t="n">
        <v>1596</v>
      </c>
      <c r="B1597" t="n">
        <v>53666</v>
      </c>
      <c r="C1597" t="inlineStr">
        <is>
          <t>BLINATUMOMAB INJECTION, POWDER PARENTERAL 35 ug</t>
        </is>
      </c>
      <c r="D1597" t="inlineStr">
        <is>
          <t>بلينسيتو   پودر براي تهيه فرآورده تزريقي پرنترال 35 ug  ug - رايان دارو ايرانيان</t>
        </is>
      </c>
      <c r="E1597" t="inlineStr">
        <is>
          <t>تی‌تک و آریا</t>
        </is>
      </c>
    </row>
    <row r="1598">
      <c r="A1598" t="n">
        <v>1597</v>
      </c>
      <c r="B1598" t="n">
        <v>53667</v>
      </c>
      <c r="C1598" t="inlineStr">
        <is>
          <t>BETAMETHASONE (AS VALERATE) LOTION TOPICAL 0.1 % 30 mL</t>
        </is>
      </c>
      <c r="D1598" t="inlineStr">
        <is>
          <t>بتامتازون   لوسيون موضعي 0.1 % 30 mL - کيمياکالاي رازي</t>
        </is>
      </c>
      <c r="E1598" t="inlineStr">
        <is>
          <t>تی‌تک و آریا</t>
        </is>
      </c>
    </row>
    <row r="1599">
      <c r="A1599" t="n">
        <v>1598</v>
      </c>
      <c r="B1599" t="n">
        <v>53668</v>
      </c>
      <c r="C1599" t="inlineStr">
        <is>
          <t>CLOTRIMAZOLE SOLUTION TOPICAL 1 % 30 mL</t>
        </is>
      </c>
      <c r="D1599" t="inlineStr">
        <is>
          <t>کلوتريمازول   محلول موضعي 1 % 30 mL - کيمياکالاي رازي</t>
        </is>
      </c>
      <c r="E1599" t="inlineStr">
        <is>
          <t>تی‌تک و آریا</t>
        </is>
      </c>
    </row>
    <row r="1600">
      <c r="A1600" t="n">
        <v>1599</v>
      </c>
      <c r="B1600" t="n">
        <v>53669</v>
      </c>
      <c r="C1600" t="inlineStr">
        <is>
          <t>CLOBETASOL PROPIONATE SHAMPOO TOPICAL 0.05 % 150 mL</t>
        </is>
      </c>
      <c r="D1600" t="inlineStr">
        <is>
          <t>کورتيکووُيا   شامپو موضعي 0.05 % 150 mL - به سازان پژوهان اميد آريا</t>
        </is>
      </c>
      <c r="E1600" t="inlineStr">
        <is>
          <t>تی‌تک و آریا</t>
        </is>
      </c>
    </row>
    <row r="1601">
      <c r="A1601" t="n">
        <v>1600</v>
      </c>
      <c r="B1601" t="n">
        <v>53670</v>
      </c>
      <c r="C1601" t="inlineStr">
        <is>
          <t>COAGULATION FACTOR VIII, Long Acting INJECTION, POWDER, LYOPHILIZED PARENTERAL 250 [iU]</t>
        </is>
      </c>
      <c r="D1601" t="inlineStr">
        <is>
          <t>کوآگيت   پودر لئوفيليزه براي تهيه فرآورده تزريقي پرنترال 250 [iU]  [iU] - آريوژن فارمد</t>
        </is>
      </c>
      <c r="E1601" t="inlineStr">
        <is>
          <t>تی‌تک و آریا</t>
        </is>
      </c>
    </row>
    <row r="1602">
      <c r="A1602" t="n">
        <v>1601</v>
      </c>
      <c r="B1602" t="n">
        <v>53671</v>
      </c>
      <c r="C1602" t="inlineStr">
        <is>
          <t>KETAMINE (AS HYDROCHLORIDE) INJECTION PARENTERAL 50 mg/1mL 5 mL</t>
        </is>
      </c>
      <c r="D1602" t="inlineStr">
        <is>
          <t>کتامين   تزريقي پرنترال 50 mg/1mL 5 mL - تحقيقاتي و توليدي واريان فارمد</t>
        </is>
      </c>
      <c r="E1602" t="inlineStr">
        <is>
          <t>تی‌تک و آریا</t>
        </is>
      </c>
    </row>
    <row r="1603">
      <c r="A1603" t="n">
        <v>1602</v>
      </c>
      <c r="B1603" t="n">
        <v>53672</v>
      </c>
      <c r="C1603" t="inlineStr">
        <is>
          <t>VOSORITIDE INJECTION, POWDER, LYOPHILIZED, FOR SOLUTION PARENTERAL 0.56 mg</t>
        </is>
      </c>
      <c r="D1603" t="inlineStr">
        <is>
          <t>وُزوري   پودر لئوفيليزه براي تهيه محلول تزريقي پرنترال 0.56 mg  mg - زيست دارو دانش</t>
        </is>
      </c>
      <c r="E1603" t="inlineStr">
        <is>
          <t>تی‌تک و آریا</t>
        </is>
      </c>
    </row>
    <row r="1604">
      <c r="A1604" t="n">
        <v>1603</v>
      </c>
      <c r="B1604" t="n">
        <v>53674</v>
      </c>
      <c r="C1604" t="inlineStr">
        <is>
          <t>MAVACAMTEN CAPSULE ORAL 10 mg</t>
        </is>
      </c>
      <c r="D1604" t="inlineStr">
        <is>
          <t>پنفورزا   کپسول خوراکي 10 mg - داروسازي دکتر عبيدي</t>
        </is>
      </c>
      <c r="E1604" t="inlineStr">
        <is>
          <t>تی‌تک و آریا</t>
        </is>
      </c>
    </row>
    <row r="1605">
      <c r="A1605" t="n">
        <v>1604</v>
      </c>
      <c r="B1605" t="n">
        <v>53675</v>
      </c>
      <c r="C1605" t="inlineStr">
        <is>
          <t>MAVACAMTEN CAPSULE ORAL 15 mg</t>
        </is>
      </c>
      <c r="D1605" t="inlineStr">
        <is>
          <t>پنفورزا   کپسول خوراکي 15 mg - داروسازي دکتر عبيدي</t>
        </is>
      </c>
      <c r="E1605" t="inlineStr">
        <is>
          <t>تی‌تک و آریا</t>
        </is>
      </c>
    </row>
    <row r="1606">
      <c r="A1606" t="n">
        <v>1605</v>
      </c>
      <c r="B1606" t="n">
        <v>53676</v>
      </c>
      <c r="C1606" t="inlineStr">
        <is>
          <t>TOFERSEN INJECTION, SOLUTION PARENTERAL 6.7 mg/1mL 15 mL</t>
        </is>
      </c>
      <c r="D1606" t="inlineStr">
        <is>
          <t>کيوالسودي   محلول تزريقي پرنترال 6.7 mg/1mL 15 mg - مرز گستران فناوري آينده</t>
        </is>
      </c>
      <c r="E1606" t="inlineStr">
        <is>
          <t>تی‌تک و آریا</t>
        </is>
      </c>
    </row>
    <row r="1607">
      <c r="A1607" t="n">
        <v>1606</v>
      </c>
      <c r="B1607" t="n">
        <v>53677</v>
      </c>
      <c r="C1607" t="inlineStr">
        <is>
          <t>APREMILAST (10,20) TABLET ORAL</t>
        </is>
      </c>
      <c r="D1607" t="inlineStr">
        <is>
          <t>پرميلاتيک 10/20   قرص خوراکي - زيست اروند فارمد</t>
        </is>
      </c>
      <c r="E1607" t="inlineStr">
        <is>
          <t>تی‌تک و آریا</t>
        </is>
      </c>
    </row>
    <row r="1608">
      <c r="A1608" t="n">
        <v>1607</v>
      </c>
      <c r="B1608" t="n">
        <v>53678</v>
      </c>
      <c r="C1608" t="inlineStr">
        <is>
          <t>FEZOLINETANT TABLET ORAL 45 mg</t>
        </is>
      </c>
      <c r="D1608" t="inlineStr">
        <is>
          <t>کينوترم   قرص خوراکي 45 mg - زيست اروند فارمد</t>
        </is>
      </c>
      <c r="E1608" t="inlineStr">
        <is>
          <t>تی‌تک و آریا</t>
        </is>
      </c>
    </row>
    <row r="1609">
      <c r="A1609" t="n">
        <v>1608</v>
      </c>
      <c r="B1609" t="n">
        <v>53680</v>
      </c>
      <c r="C1609" t="inlineStr">
        <is>
          <t>PREDNISOLONE (AS SODIUM PHOSPHATE) SOLUTION ORAL 15 mg/5mL 120 mL</t>
        </is>
      </c>
      <c r="D1609" t="inlineStr">
        <is>
          <t>زايناکورت   محلول خوراکي 15 mg/5mL 120 mL - اشبال شيمي</t>
        </is>
      </c>
      <c r="E1609" t="inlineStr">
        <is>
          <t>تی‌تک و آریا</t>
        </is>
      </c>
    </row>
    <row r="1610">
      <c r="A1610" t="n">
        <v>1609</v>
      </c>
      <c r="B1610" t="n">
        <v>53681</v>
      </c>
      <c r="C1610" t="inlineStr">
        <is>
          <t>CENOBAMATE TABLET ORAL 200 mg</t>
        </is>
      </c>
      <c r="D1610" t="inlineStr">
        <is>
          <t>اونتوزري   قرص خوراکي 200 mg - مرز گستران فناوري آينده</t>
        </is>
      </c>
      <c r="E1610" t="inlineStr">
        <is>
          <t>تی‌تک و آریا</t>
        </is>
      </c>
    </row>
    <row r="1611">
      <c r="A1611" t="n">
        <v>1610</v>
      </c>
      <c r="B1611" t="n">
        <v>53682</v>
      </c>
      <c r="C1611" t="inlineStr">
        <is>
          <t>INDACATEROL (AS MALEATE) / GLYCOPYRRONIUM (AS BROMIDE) CAPSULE RESPIRATORY 85 ug/43 ug</t>
        </is>
      </c>
      <c r="E1611" t="inlineStr">
        <is>
          <t>فقط تی‌تک</t>
        </is>
      </c>
    </row>
    <row r="1612">
      <c r="A1612" t="n">
        <v>1611</v>
      </c>
      <c r="B1612" t="n">
        <v>53683</v>
      </c>
      <c r="C1612" t="inlineStr">
        <is>
          <t>CATRIDECACOG (RECOMBINANT COAGULATION FACTOR XIII) INJECTION, POWDER, FOR SOLUTION PARENTERAL 2500 TU/ML</t>
        </is>
      </c>
      <c r="D1612" t="inlineStr">
        <is>
          <t>نووترتين   پودر براي تهيه محلول تزريقي پرنترال 2500 TU/ML  [iU] - نوو نور ديسک پارس</t>
        </is>
      </c>
      <c r="E1612" t="inlineStr">
        <is>
          <t>تی‌تک و آریا</t>
        </is>
      </c>
    </row>
    <row r="1613">
      <c r="A1613" t="n">
        <v>1612</v>
      </c>
      <c r="B1613" t="n">
        <v>53684</v>
      </c>
      <c r="C1613" t="inlineStr">
        <is>
          <t>PACRITINIB CAPSULE ORAL 100 mg</t>
        </is>
      </c>
      <c r="D1613" t="inlineStr">
        <is>
          <t>لوسيپک   کپسول خوراکي 100 mg - مرز گستران فناوري آينده</t>
        </is>
      </c>
      <c r="E1613" t="inlineStr">
        <is>
          <t>تی‌تک و آریا</t>
        </is>
      </c>
    </row>
    <row r="1614">
      <c r="A1614" t="n">
        <v>1613</v>
      </c>
      <c r="B1614" t="n">
        <v>53685</v>
      </c>
      <c r="C1614" t="inlineStr">
        <is>
          <t>IRINOTECAN LIPOSOMAL INJECTION PARENTERAL 4.3 mg/1mL 10 mL</t>
        </is>
      </c>
      <c r="D1614" t="inlineStr">
        <is>
          <t>اونيويد   تزريقي پرنترال 4.3 mg/1mL 10 mg - مرز گستران فناوري آينده</t>
        </is>
      </c>
      <c r="E1614" t="inlineStr">
        <is>
          <t>تی‌تک و آریا</t>
        </is>
      </c>
    </row>
    <row r="1615">
      <c r="A1615" t="n">
        <v>1614</v>
      </c>
      <c r="B1615" t="n">
        <v>53686</v>
      </c>
      <c r="C1615" t="inlineStr">
        <is>
          <t>ISATUXIMAB INJECTION PARENTERAL 100 mg/1mL</t>
        </is>
      </c>
      <c r="D1615" t="inlineStr">
        <is>
          <t>َسارکليسا   تزريقي پرنترال 100 mg/1mL  mg - مرز گستران فناوري آينده</t>
        </is>
      </c>
      <c r="E1615" t="inlineStr">
        <is>
          <t>تی‌تک و آریا</t>
        </is>
      </c>
    </row>
    <row r="1616">
      <c r="A1616" t="n">
        <v>1615</v>
      </c>
      <c r="B1616" t="n">
        <v>53687</v>
      </c>
      <c r="C1616" t="inlineStr">
        <is>
          <t>MOMELOTINIB TABLET ORAL 100 mg</t>
        </is>
      </c>
      <c r="D1616" t="inlineStr">
        <is>
          <t>لوسيمومل   قرص خوراکي 100 mg - مرز گستران فناوري آينده</t>
        </is>
      </c>
      <c r="E1616" t="inlineStr">
        <is>
          <t>تی‌تک و آریا</t>
        </is>
      </c>
    </row>
    <row r="1617">
      <c r="A1617" t="n">
        <v>1616</v>
      </c>
      <c r="B1617" t="n">
        <v>53688</v>
      </c>
      <c r="C1617" t="inlineStr">
        <is>
          <t>SODIUM BICARBONATE CAPSULE ORAL 840 mg</t>
        </is>
      </c>
      <c r="D1617" t="inlineStr">
        <is>
          <t>نفروترنس   کپسول خوراکي 840 mg - تهران الکتريک</t>
        </is>
      </c>
      <c r="E1617" t="inlineStr">
        <is>
          <t>تی‌تک و آریا</t>
        </is>
      </c>
    </row>
    <row r="1618">
      <c r="A1618" t="n">
        <v>1617</v>
      </c>
      <c r="B1618" t="n">
        <v>53689</v>
      </c>
      <c r="C1618" t="inlineStr">
        <is>
          <t>CALCIUM FOLINATE INJECTION, POWDER PARENTERAL 50 mg</t>
        </is>
      </c>
      <c r="D1618" t="inlineStr">
        <is>
          <t>کلسيم فولينات   پودر براي تهيه فرآورده تزريقي پرنترال 50 mg  mg - تچرا دارو</t>
        </is>
      </c>
      <c r="E1618" t="inlineStr">
        <is>
          <t>تی‌تک و آریا</t>
        </is>
      </c>
    </row>
    <row r="1619">
      <c r="A1619" t="n">
        <v>1618</v>
      </c>
      <c r="B1619" t="n">
        <v>53690</v>
      </c>
      <c r="C1619" t="inlineStr">
        <is>
          <t>CALCIUM FOLINATE INJECTION, POWDER PARENTERAL 350 mg</t>
        </is>
      </c>
      <c r="D1619" t="inlineStr">
        <is>
          <t>کلسيم فولينات   پودر براي تهيه فرآورده تزريقي پرنترال 350 mg  mg - تچرا دارو</t>
        </is>
      </c>
      <c r="E1619" t="inlineStr">
        <is>
          <t>تی‌تک و آریا</t>
        </is>
      </c>
    </row>
    <row r="1620">
      <c r="A1620" t="n">
        <v>1619</v>
      </c>
      <c r="B1620" t="n">
        <v>53693</v>
      </c>
      <c r="C1620" t="inlineStr">
        <is>
          <t>BORTEZOMIB INJECTION, SOLUTION PARENTERAL 2.5 mg/1mL 1 mL</t>
        </is>
      </c>
      <c r="D1620" t="inlineStr">
        <is>
          <t>الوکيد   محلول تزريقي پرنترال 2.5 mg/1mL 1 mg - نانو فناوران داروئي الوند</t>
        </is>
      </c>
      <c r="E1620" t="inlineStr">
        <is>
          <t>تی‌تک و آریا</t>
        </is>
      </c>
    </row>
    <row r="1621">
      <c r="A1621" t="n">
        <v>1620</v>
      </c>
      <c r="B1621" t="n">
        <v>53696</v>
      </c>
      <c r="C1621" t="inlineStr">
        <is>
          <t>PALIPERIDONE PALMITATE INJECTION, SUSPENSION, EXTENDED RELEASE PARENTERAL 78 mg/0.5 mL</t>
        </is>
      </c>
      <c r="D1621" t="inlineStr">
        <is>
          <t>اينوگا ساستنا   سوسپانسيون تزريقي پيوسته رهش پرنترال 78 mg/0.5 mL  mL - بهستان دارو</t>
        </is>
      </c>
      <c r="E1621" t="inlineStr">
        <is>
          <t>تی‌تک و آریا</t>
        </is>
      </c>
    </row>
    <row r="1622">
      <c r="A1622" t="n">
        <v>1621</v>
      </c>
      <c r="B1622" t="n">
        <v>53697</v>
      </c>
      <c r="C1622" t="inlineStr">
        <is>
          <t>PALIPERIDONE PALMITATE INJECTION, SUSPENSION, EXTENDED RELEASE PARENTERAL 156 mg/1 mL</t>
        </is>
      </c>
      <c r="D1622" t="inlineStr">
        <is>
          <t>اينوگا ساستنا   سوسپانسيون تزريقي پيوسته رهش پرنترال 156 mg/1 mL  mL - بهستان دارو</t>
        </is>
      </c>
      <c r="E1622" t="inlineStr">
        <is>
          <t>تی‌تک و آریا</t>
        </is>
      </c>
    </row>
    <row r="1623">
      <c r="A1623" t="n">
        <v>1622</v>
      </c>
      <c r="B1623" t="n">
        <v>53698</v>
      </c>
      <c r="C1623" t="inlineStr">
        <is>
          <t>PALIPERIDONE PALMITATE INJECTION, SUSPENSION, EXTENDED RELEASE PARENTERAL 234 mg/1.5 mL</t>
        </is>
      </c>
      <c r="D1623" t="inlineStr">
        <is>
          <t>اينوگا ساستنا   سوسپانسيون تزريقي پيوسته رهش پرنترال 234 mg/1.5 mL  mL - بهستان دارو</t>
        </is>
      </c>
      <c r="E1623" t="inlineStr">
        <is>
          <t>تی‌تک و آریا</t>
        </is>
      </c>
    </row>
    <row r="1624">
      <c r="A1624" t="n">
        <v>1623</v>
      </c>
      <c r="B1624" t="n">
        <v>53700</v>
      </c>
      <c r="C1624" t="inlineStr">
        <is>
          <t>MIRVETUXIMAB SORAVTANSINE INJECTION, SOLUTION, CONCENTRATE PARENTERAL 5 mg/1mL 20 mL</t>
        </is>
      </c>
      <c r="D1624" t="inlineStr">
        <is>
          <t>الاهيري   محلول غليظ تزريقي پرنترال 5 mg/1mL 20 mg - مرز گستران فناوري آينده</t>
        </is>
      </c>
      <c r="E1624" t="inlineStr">
        <is>
          <t>تی‌تک و آریا</t>
        </is>
      </c>
    </row>
    <row r="1625">
      <c r="A1625" t="n">
        <v>1624</v>
      </c>
      <c r="B1625" t="n">
        <v>53701</v>
      </c>
      <c r="C1625" t="inlineStr">
        <is>
          <t>PREDNISOLONE (AS SODIUM PHOSPHATE) SOLUTION ORAL 25 mg/5 mL 60 mL</t>
        </is>
      </c>
      <c r="D1625" t="inlineStr">
        <is>
          <t>پريکان   محلول خوراکي 25 mg/5 mL 60 mL - رازان فارمد ايرانيان</t>
        </is>
      </c>
      <c r="E1625" t="inlineStr">
        <is>
          <t>تی‌تک و آریا</t>
        </is>
      </c>
    </row>
    <row r="1626">
      <c r="A1626" t="n">
        <v>1625</v>
      </c>
      <c r="B1626" t="n">
        <v>53704</v>
      </c>
      <c r="C1626" t="inlineStr">
        <is>
          <t>SEMAGLUTIDE INJECTION, SOLUTION PARENTERAL 0.25 mg/0.5 mL</t>
        </is>
      </c>
      <c r="D1626" t="inlineStr">
        <is>
          <t>تريموتايد   محلول تزريقي پرنترال 0.25 mg/0.5 mL  mg - تحقيقاتي وتوليدي سينا ژن</t>
        </is>
      </c>
      <c r="E1626" t="inlineStr">
        <is>
          <t>تی‌تک و آریا</t>
        </is>
      </c>
    </row>
    <row r="1627">
      <c r="A1627" t="n">
        <v>1626</v>
      </c>
      <c r="B1627" t="n">
        <v>53705</v>
      </c>
      <c r="C1627" t="inlineStr">
        <is>
          <t>SEMAGLUTIDE INJECTION, SOLUTION PARENTERAL 0.5 mg/0.5 mL</t>
        </is>
      </c>
      <c r="D1627" t="inlineStr">
        <is>
          <t>تريموتايد   محلول تزريقي پرنترال 0.5 mg/0.5 mL  mg - تحقيقاتي وتوليدي سينا ژن</t>
        </is>
      </c>
      <c r="E1627" t="inlineStr">
        <is>
          <t>تی‌تک و آریا</t>
        </is>
      </c>
    </row>
    <row r="1628">
      <c r="A1628" t="n">
        <v>1627</v>
      </c>
      <c r="B1628" t="n">
        <v>53706</v>
      </c>
      <c r="C1628" t="inlineStr">
        <is>
          <t>SEMAGLUTIDE INJECTION, SOLUTION PARENTERAL 1 mg/0.5 mL</t>
        </is>
      </c>
      <c r="D1628" t="inlineStr">
        <is>
          <t>تريموتايد   محلول تزريقي پرنترال 1 mg/0.5 mL  mg - تحقيقاتي وتوليدي سينا ژن</t>
        </is>
      </c>
      <c r="E1628" t="inlineStr">
        <is>
          <t>تی‌تک و آریا</t>
        </is>
      </c>
    </row>
    <row r="1629">
      <c r="A1629" t="n">
        <v>1628</v>
      </c>
      <c r="B1629" t="n">
        <v>53707</v>
      </c>
      <c r="C1629" t="inlineStr">
        <is>
          <t>BETAMETHASONE (AS VALERATE) / FUSIDIC ACID CREAM TOPICAL 1 mg/20 mg/1 g 15 g</t>
        </is>
      </c>
      <c r="D1629" t="inlineStr">
        <is>
          <t>فوزان-بي   کرم موضعي 1 mg/20 mg/1 g 15 g - دارو سازي بهوزان</t>
        </is>
      </c>
      <c r="E1629" t="inlineStr">
        <is>
          <t>تی‌تک و آریا</t>
        </is>
      </c>
    </row>
    <row r="1630">
      <c r="A1630" t="n">
        <v>1629</v>
      </c>
      <c r="B1630" t="n">
        <v>53708</v>
      </c>
      <c r="C1630" t="inlineStr">
        <is>
          <t>SEMAGLUTIDE INJECTION, SOLUTION SUBCUTANEOUS 1 mg/1.5 mL</t>
        </is>
      </c>
      <c r="D1630" t="inlineStr">
        <is>
          <t>ويگووي   محلول تزريقي زير جلدي 1 mg/1.5 mL  mL - نوو نور ديسک پارس</t>
        </is>
      </c>
      <c r="E1630" t="inlineStr">
        <is>
          <t>تی‌تک و آریا</t>
        </is>
      </c>
    </row>
    <row r="1631">
      <c r="A1631" t="n">
        <v>1630</v>
      </c>
      <c r="B1631" t="n">
        <v>53709</v>
      </c>
      <c r="C1631" t="inlineStr">
        <is>
          <t>SEMAGLUTIDE INJECTION, SOLUTION SUBCUTANEOUS 6.8 mg/3 mL</t>
        </is>
      </c>
      <c r="D1631" t="inlineStr">
        <is>
          <t>ويگووي   محلول تزريقي زير جلدي 6.8 mg/3 mL  mL - نوو نور ديسک پارس</t>
        </is>
      </c>
      <c r="E1631" t="inlineStr">
        <is>
          <t>تی‌تک و آریا</t>
        </is>
      </c>
    </row>
    <row r="1632">
      <c r="A1632" t="n">
        <v>1631</v>
      </c>
      <c r="B1632" t="n">
        <v>53710</v>
      </c>
      <c r="C1632" t="inlineStr">
        <is>
          <t>SEMAGLUTIDE INJECTION, SOLUTION SUBCUTANEOUS 9.6 mg/3 mL</t>
        </is>
      </c>
      <c r="D1632" t="inlineStr">
        <is>
          <t>ويگووي   محلول تزريقي زير جلدي 9.6 mg/3 mL  mL - نوو نور ديسک پارس</t>
        </is>
      </c>
      <c r="E1632" t="inlineStr">
        <is>
          <t>تی‌تک و آریا</t>
        </is>
      </c>
    </row>
    <row r="1633">
      <c r="A1633" t="n">
        <v>1632</v>
      </c>
      <c r="B1633" t="n">
        <v>53711</v>
      </c>
      <c r="C1633" t="inlineStr">
        <is>
          <t>FACTOR VIII / VON WILLEBRAND FACTOR INJECTION, POWDER, LYOPHILIZED, FOR SOLUTION PARENTERAL 250 [iU]/190 [iU]</t>
        </is>
      </c>
      <c r="D1633" t="inlineStr">
        <is>
          <t>ايميونيت   پودر لئوفيليزه براي تهيه محلول تزريقي پرنترال 250 [iU]/190 [iU]  [iU] - کار و انديشه</t>
        </is>
      </c>
      <c r="E1633" t="inlineStr">
        <is>
          <t>تی‌تک و آریا</t>
        </is>
      </c>
    </row>
    <row r="1634">
      <c r="A1634" t="n">
        <v>1633</v>
      </c>
      <c r="B1634" t="n">
        <v>53712</v>
      </c>
      <c r="C1634" t="inlineStr">
        <is>
          <t>AFATINIB (AS DIMALEATE) TABLET ORAL 40 mg</t>
        </is>
      </c>
      <c r="D1634" t="inlineStr">
        <is>
          <t>آفانات   قرص خوراکي 40 mg - مرز گستران فناوري آينده</t>
        </is>
      </c>
      <c r="E1634" t="inlineStr">
        <is>
          <t>تی‌تک و آریا</t>
        </is>
      </c>
    </row>
    <row r="1635">
      <c r="A1635" t="n">
        <v>1634</v>
      </c>
      <c r="B1635" t="n">
        <v>53713</v>
      </c>
      <c r="C1635" t="inlineStr">
        <is>
          <t>TECLISTAMAB INJECTION, SOLUTION PARENTERAL 90 mg/1 mL 1.7 mL</t>
        </is>
      </c>
      <c r="D1635" t="inlineStr">
        <is>
          <t>تکوايلي   محلول تزريقي پرنترال 90 mg/1 mL 1.7 mg - مرز گستران فناوري آينده</t>
        </is>
      </c>
      <c r="E1635" t="inlineStr">
        <is>
          <t>تی‌تک و آریا</t>
        </is>
      </c>
    </row>
    <row r="1636">
      <c r="A1636" t="n">
        <v>1635</v>
      </c>
      <c r="B1636" t="n">
        <v>53714</v>
      </c>
      <c r="C1636" t="inlineStr">
        <is>
          <t>DUPILUMAB INJECTION, SOLUTION SUBCUTANEOUS /1.14 mL</t>
        </is>
      </c>
      <c r="D1636" t="inlineStr">
        <is>
          <t>آريکسنت   محلول تزريقي زير جلدي /1.14 mL  mg - آريوژن فارمد</t>
        </is>
      </c>
      <c r="E1636" t="inlineStr">
        <is>
          <t>تی‌تک و آریا</t>
        </is>
      </c>
    </row>
    <row r="1637">
      <c r="A1637" t="n">
        <v>1636</v>
      </c>
      <c r="B1637" t="n">
        <v>53715</v>
      </c>
      <c r="C1637" t="inlineStr">
        <is>
          <t>LIDOCAINE HYDROCHLORIDE INJECTION PARENTERAL 2 % 20 mL</t>
        </is>
      </c>
      <c r="D1637" t="inlineStr">
        <is>
          <t>آرو-ليدوکائين   تزريقي پرنترال 2 % 20 mg - دارو درمان آرنگ</t>
        </is>
      </c>
      <c r="E1637" t="inlineStr">
        <is>
          <t>تی‌تک و آریا</t>
        </is>
      </c>
    </row>
    <row r="1638">
      <c r="A1638" t="n">
        <v>1637</v>
      </c>
      <c r="B1638" t="n">
        <v>53716</v>
      </c>
      <c r="C1638" t="inlineStr">
        <is>
          <t>VORTIOXETINE (AS HYDROBROMIDE) TABLET ORAL 5 mg</t>
        </is>
      </c>
      <c r="D1638" t="inlineStr">
        <is>
          <t>هبيزون   قرص خوراکي 5 mg - داروسازي دکتر عبيدي</t>
        </is>
      </c>
      <c r="E1638" t="inlineStr">
        <is>
          <t>تی‌تک و آریا</t>
        </is>
      </c>
    </row>
    <row r="1639">
      <c r="A1639" t="n">
        <v>1638</v>
      </c>
      <c r="B1639" t="n">
        <v>53717</v>
      </c>
      <c r="C1639" t="inlineStr">
        <is>
          <t>VORTIOXETINE (AS HYDROBROMIDE) TABLET ORAL 10 mg</t>
        </is>
      </c>
      <c r="D1639" t="inlineStr">
        <is>
          <t>ورتيوکستين   قرص خوراکي 10 mg - روناک</t>
        </is>
      </c>
      <c r="E1639" t="inlineStr">
        <is>
          <t>تی‌تک و آریا</t>
        </is>
      </c>
    </row>
    <row r="1640">
      <c r="A1640" t="n">
        <v>1639</v>
      </c>
      <c r="B1640" t="n">
        <v>53718</v>
      </c>
      <c r="C1640" t="inlineStr">
        <is>
          <t>VORTIOXETINE (AS HYDROBROMIDE) TABLET ORAL 20 mg</t>
        </is>
      </c>
      <c r="D1640" t="inlineStr">
        <is>
          <t>ورتيوکستين   قرص خوراکي 20 mg - روناک</t>
        </is>
      </c>
      <c r="E1640" t="inlineStr">
        <is>
          <t>تی‌تک و آریا</t>
        </is>
      </c>
    </row>
    <row r="1641">
      <c r="A1641" t="n">
        <v>1640</v>
      </c>
      <c r="B1641" t="n">
        <v>53720</v>
      </c>
      <c r="C1641" t="inlineStr">
        <is>
          <t>GALCANEZUMAB INJECTION, SOLUTION SUBCUTANEOUS 120 mg/1mL</t>
        </is>
      </c>
      <c r="D1641" t="inlineStr">
        <is>
          <t>ام گاليتي   محلول تزريقي زير جلدي 120 mg/1mL  mg - تحقيقاتي وتوليدي سينا ژن</t>
        </is>
      </c>
      <c r="E1641" t="inlineStr">
        <is>
          <t>تی‌تک و آریا</t>
        </is>
      </c>
    </row>
    <row r="1642">
      <c r="A1642" t="n">
        <v>1641</v>
      </c>
      <c r="B1642" t="n">
        <v>53721</v>
      </c>
      <c r="C1642" t="inlineStr">
        <is>
          <t>FERRIC DERISOMALTOSE INJECTION PARENTERAL 100 mg/1mL 10 mL</t>
        </is>
      </c>
      <c r="D1642" t="inlineStr">
        <is>
          <t>فروونتا   تزريقي پرنترال 100 mg/1mL 10 mL - زيست اروند فارمد</t>
        </is>
      </c>
      <c r="E1642" t="inlineStr">
        <is>
          <t>تی‌تک و آریا</t>
        </is>
      </c>
    </row>
    <row r="1643">
      <c r="A1643" t="n">
        <v>1642</v>
      </c>
      <c r="B1643" t="n">
        <v>53722</v>
      </c>
      <c r="C1643" t="inlineStr">
        <is>
          <t>RHENIUM (SUP186/SUPRE) HEDP KIT PARENTERAL 40 mg</t>
        </is>
      </c>
      <c r="D1643" t="inlineStr">
        <is>
          <t>اچ اي دي پي   کيت پرنترال 40 mg  mg - پارس ايزوتوپ</t>
        </is>
      </c>
      <c r="E1643" t="inlineStr">
        <is>
          <t>تی‌تک و آریا</t>
        </is>
      </c>
    </row>
    <row r="1644">
      <c r="A1644" t="n">
        <v>1643</v>
      </c>
      <c r="B1644" t="n">
        <v>53723</v>
      </c>
      <c r="C1644" t="inlineStr">
        <is>
          <t>IMMUNE GLOBULIN INJECTION PARENTERAL 100 mg/1mL 200 mL</t>
        </is>
      </c>
      <c r="D1644" t="inlineStr">
        <is>
          <t>ايميگو   تزريقي پرنترال 100 mg/1mL 200 mL - هيات امناي صرفه جويي ارزي در معالجه بيماران</t>
        </is>
      </c>
      <c r="E1644" t="inlineStr">
        <is>
          <t>تی‌تک و آریا</t>
        </is>
      </c>
    </row>
    <row r="1645">
      <c r="A1645" t="n">
        <v>1644</v>
      </c>
      <c r="B1645" t="n">
        <v>53727</v>
      </c>
      <c r="C1645" t="inlineStr">
        <is>
          <t>ACALABRUTINIB (AS MALEATE) CAPSULE ORAL 100 mg</t>
        </is>
      </c>
      <c r="D1645" t="inlineStr">
        <is>
          <t>اکالوکسن   کپسول خوراکي 100 mg - مرز گستران فناوري آينده</t>
        </is>
      </c>
      <c r="E1645" t="inlineStr">
        <is>
          <t>تی‌تک و آریا</t>
        </is>
      </c>
    </row>
    <row r="1646">
      <c r="A1646" t="n">
        <v>1645</v>
      </c>
      <c r="B1646" t="n">
        <v>53728</v>
      </c>
      <c r="C1646" t="inlineStr">
        <is>
          <t>ACETYLCYSTEINE INJECTION PARENTERAL 200 mg/1mL 1 mL</t>
        </is>
      </c>
      <c r="D1646" t="inlineStr">
        <is>
          <t>استيل سيستئين   تزريقي پرنترال 200 mg/1mL 1 mg - فرا درمان آذربايجان</t>
        </is>
      </c>
      <c r="E1646" t="inlineStr">
        <is>
          <t>تی‌تک و آریا</t>
        </is>
      </c>
    </row>
    <row r="1647">
      <c r="A1647" t="n">
        <v>1646</v>
      </c>
      <c r="B1647" t="n">
        <v>53729</v>
      </c>
      <c r="C1647" t="inlineStr">
        <is>
          <t>NITROGLYCERIN INJECTION PARENTERAL 5 mg/1mL 5 mg</t>
        </is>
      </c>
      <c r="D1647" t="inlineStr">
        <is>
          <t>نيتروگليسيرين   تزريقي پرنترال 5 mg/1mL 5 mL - فرا درمان آذربايجان</t>
        </is>
      </c>
      <c r="E1647" t="inlineStr">
        <is>
          <t>تی‌تک و آریا</t>
        </is>
      </c>
    </row>
    <row r="1648">
      <c r="A1648" t="n">
        <v>1647</v>
      </c>
      <c r="B1648" t="n">
        <v>53730</v>
      </c>
      <c r="C1648" t="inlineStr">
        <is>
          <t>ALLOGENEIC NATURAL KILLER CELLS INJECTION, SUSPENSION PARENTERAL 200000000 cells/1 mL</t>
        </is>
      </c>
      <c r="D1648" t="inlineStr">
        <is>
          <t>سلول هاي آلوژن کشنده طبيعي مشتق از خون محيطي انسان سالم   سوسپانسيون تزريقي پرنترال 200000000 cells/1 mL  cells - کيان ايمن سلول</t>
        </is>
      </c>
      <c r="E1648" t="inlineStr">
        <is>
          <t>تی‌تک و آریا</t>
        </is>
      </c>
    </row>
    <row r="1649">
      <c r="A1649" t="n">
        <v>1648</v>
      </c>
      <c r="B1649" t="n">
        <v>53731</v>
      </c>
      <c r="C1649" t="inlineStr">
        <is>
          <t>AZELAIC ACID GEL TOPICAL 15 % 30 g</t>
        </is>
      </c>
      <c r="D1649" t="inlineStr">
        <is>
          <t>آزلائيک اسيد   ژل موضعي 15 % 30 g - پارس دارو</t>
        </is>
      </c>
      <c r="E1649" t="inlineStr">
        <is>
          <t>تی‌تک و آریا</t>
        </is>
      </c>
    </row>
    <row r="1650">
      <c r="A1650" t="n">
        <v>1649</v>
      </c>
      <c r="B1650" t="n">
        <v>53738</v>
      </c>
      <c r="C1650" t="inlineStr">
        <is>
          <t>METHYLPREDNISOLONE (AS SODIUM SUCCINATE) INJECTION, POWDER, FOR SOLUTION PARENTERAL 40 mg</t>
        </is>
      </c>
      <c r="D1650" t="inlineStr">
        <is>
          <t>متيل پردنيزولون سديم سوکسينات   پودر براي تهيه محلول تزريقي پرنترال 40 mg  mg - فرا درمان آذربايجان</t>
        </is>
      </c>
      <c r="E1650" t="inlineStr">
        <is>
          <t>تی‌تک و آریا</t>
        </is>
      </c>
    </row>
    <row r="1651">
      <c r="A1651" t="n">
        <v>1650</v>
      </c>
      <c r="B1651" t="n">
        <v>53739</v>
      </c>
      <c r="C1651" t="inlineStr">
        <is>
          <t>TALAZOPARIB (AS TOSYLATE) CAPSULE ORAL 0.5 mg</t>
        </is>
      </c>
      <c r="D1651" t="inlineStr">
        <is>
          <t>تالازوپاريب   کپسول خوراکي 0.5 mg - مرز گستران فناوري آينده</t>
        </is>
      </c>
      <c r="E1651" t="inlineStr">
        <is>
          <t>تی‌تک و آریا</t>
        </is>
      </c>
    </row>
    <row r="1652">
      <c r="A1652" t="n">
        <v>1651</v>
      </c>
      <c r="B1652" t="n">
        <v>53740</v>
      </c>
      <c r="C1652" t="inlineStr">
        <is>
          <t>ZONGERTINIB TABLET ORAL 60 mg</t>
        </is>
      </c>
      <c r="D1652" t="inlineStr">
        <is>
          <t>لوسيزونگر   قرص خوراکي 60 mg - مرز گستران فناوري آينده</t>
        </is>
      </c>
      <c r="E1652" t="inlineStr">
        <is>
          <t>تی‌تک و آریا</t>
        </is>
      </c>
    </row>
    <row r="1653">
      <c r="A1653" t="n">
        <v>1652</v>
      </c>
      <c r="B1653" t="n">
        <v>53742</v>
      </c>
      <c r="C1653" t="inlineStr">
        <is>
          <t>UPADACITINIB TABLET, EXTENDED RELEASE ORAL 45 mg</t>
        </is>
      </c>
      <c r="D1653" t="inlineStr">
        <is>
          <t>اوپاووک   قرص پيوسته رهش خوراکي 45 mg - دارويي البرز زاگرس</t>
        </is>
      </c>
      <c r="E1653" t="inlineStr">
        <is>
          <t>تی‌تک و آریا</t>
        </is>
      </c>
    </row>
    <row r="1654">
      <c r="A1654" t="n">
        <v>1653</v>
      </c>
      <c r="B1654" t="n">
        <v>53743</v>
      </c>
      <c r="C1654" t="inlineStr">
        <is>
          <t>BOTULINUM A TOXIN INJECTION, POWDER, LYOPHILIZED, FOR SOLUTION PARENTERAL 150 [iU]</t>
        </is>
      </c>
      <c r="D1654" t="inlineStr">
        <is>
          <t>مصپورت   پودر لئوفيليزه براي تهيه محلول تزريقي پرنترال 150 [iU]  [iU] - داروسازي مصون دارو</t>
        </is>
      </c>
      <c r="E1654" t="inlineStr">
        <is>
          <t>تی‌تک و آریا</t>
        </is>
      </c>
    </row>
    <row r="1655">
      <c r="A1655" t="n">
        <v>1654</v>
      </c>
      <c r="B1655" t="n">
        <v>53745</v>
      </c>
      <c r="C1655" t="inlineStr">
        <is>
          <t>LUMASIRAN (AS SODIUM) INJECTION, SOLUTION SUBCUTANEOUS 94.5 mg/0.5mL</t>
        </is>
      </c>
      <c r="D1655" t="inlineStr">
        <is>
          <t>اگزالوما   محلول تزريقي زير جلدي 94.5 mg/0.5mL  mg - مرز گستران فناوري آينده</t>
        </is>
      </c>
      <c r="E1655" t="inlineStr">
        <is>
          <t>تی‌تک و آریا</t>
        </is>
      </c>
    </row>
    <row r="1656">
      <c r="A1656" t="n">
        <v>1655</v>
      </c>
      <c r="B1656" t="n">
        <v>53746</v>
      </c>
      <c r="C1656" t="inlineStr">
        <is>
          <t>SELINEXOR TABLET ORAL 20 mg</t>
        </is>
      </c>
      <c r="D1656" t="inlineStr">
        <is>
          <t>سلنيکس   قرص خوراکي 20 mg - مرز گستران فناوري آينده</t>
        </is>
      </c>
      <c r="E1656" t="inlineStr">
        <is>
          <t>تی‌تک و آریا</t>
        </is>
      </c>
    </row>
    <row r="1657">
      <c r="A1657" t="n">
        <v>1656</v>
      </c>
      <c r="B1657" t="n">
        <v>53747</v>
      </c>
      <c r="C1657" t="inlineStr">
        <is>
          <t>MOMELOTINIB TABLET ORAL 200 mg</t>
        </is>
      </c>
      <c r="D1657" t="inlineStr">
        <is>
          <t>مولوتينيب   قرص خوراکي 200 mg - مرز گستران فناوري آينده</t>
        </is>
      </c>
      <c r="E1657" t="inlineStr">
        <is>
          <t>تی‌تک و آریا</t>
        </is>
      </c>
    </row>
    <row r="1658">
      <c r="A1658" t="n">
        <v>1657</v>
      </c>
      <c r="B1658" t="n">
        <v>53748</v>
      </c>
      <c r="C1658" t="inlineStr">
        <is>
          <t>OBINUTUZUMAB INJECTION, SOLUTION, CONCENTRATE PARENTERAL 25 mg/1 mL 40 mL</t>
        </is>
      </c>
      <c r="D1658" t="inlineStr">
        <is>
          <t>گازيوا   محلول غليظ تزريقي پرنترال 25 mg/1 mL 40 mg - مرز گستران فناوري آينده</t>
        </is>
      </c>
      <c r="E1658" t="inlineStr">
        <is>
          <t>تی‌تک و آریا</t>
        </is>
      </c>
    </row>
    <row r="1659">
      <c r="A1659" t="n">
        <v>1658</v>
      </c>
      <c r="B1659" t="n">
        <v>53749</v>
      </c>
      <c r="C1659" t="inlineStr">
        <is>
          <t>FACTOR XIII INJECTION, POWDER, LYOPHILIZED, FOR SOLUTION PARENTERAL 1250 [iU]</t>
        </is>
      </c>
      <c r="D1659" t="inlineStr">
        <is>
          <t>فيبروگامين   پودر لئوفيليزه براي تهيه محلول تزريقي پرنترال 1250 [iU]  [iU] - فارماشيمي</t>
        </is>
      </c>
      <c r="E1659" t="inlineStr">
        <is>
          <t>تی‌تک و آریا</t>
        </is>
      </c>
    </row>
    <row r="1660">
      <c r="A1660" t="n">
        <v>1659</v>
      </c>
      <c r="B1660" t="n">
        <v>53753</v>
      </c>
      <c r="C1660" t="inlineStr">
        <is>
          <t>LEVOFLOXACIN SOLUTION ORAL 25 mg/1 mL 120 mL</t>
        </is>
      </c>
      <c r="D1660" t="inlineStr">
        <is>
          <t>تاواسيدال   محلول خوراکي 25 mg/1 mL 120 mL - الحاوي</t>
        </is>
      </c>
      <c r="E1660" t="inlineStr">
        <is>
          <t>تی‌تک و آریا</t>
        </is>
      </c>
    </row>
    <row r="1661">
      <c r="A1661" t="n">
        <v>1660</v>
      </c>
      <c r="B1661" t="n">
        <v>53754</v>
      </c>
      <c r="C1661" t="inlineStr">
        <is>
          <t>HEMODIALYSIS CONCENTRATED II ACIDIC SOLUTION, CONCENTRATE HEMODIALYSIS 3710 meq/70 meq/35 meq/87.5 meq/70 g/122.5 meq/3902.5 meq/1L 4500 mL</t>
        </is>
      </c>
      <c r="D1661" t="inlineStr">
        <is>
          <t>همودياليز اسيدي اا   محلول غليظ   همودياليز 3710 meq/70 meq/35 meq/87.5 meq/70 g/122.5 meq/3902.5 meq/1L 4500 mL - تجهيزات پزشکي هلال ايران</t>
        </is>
      </c>
      <c r="E1661" t="inlineStr">
        <is>
          <t>تی‌تک و آریا</t>
        </is>
      </c>
    </row>
    <row r="1662">
      <c r="A1662" t="n">
        <v>1661</v>
      </c>
      <c r="B1662" t="n">
        <v>53755</v>
      </c>
      <c r="C1662" t="inlineStr">
        <is>
          <t>DARIDOREXANT (AS HYDROCHLORIDE) TABLET ORAL 25 mg</t>
        </is>
      </c>
      <c r="D1662" t="inlineStr">
        <is>
          <t>داريدورکسانت   قرص خوراکي 25 mg - زيست اروند فارمد</t>
        </is>
      </c>
      <c r="E1662" t="inlineStr">
        <is>
          <t>تی‌تک و آریا</t>
        </is>
      </c>
    </row>
    <row r="1663">
      <c r="A1663" t="n">
        <v>1662</v>
      </c>
      <c r="B1663" t="n">
        <v>53756</v>
      </c>
      <c r="C1663" t="inlineStr">
        <is>
          <t>DARIDOREXANT (AS HYDROCHLORIDE) TABLET ORAL 50 mg</t>
        </is>
      </c>
      <c r="D1663" t="inlineStr">
        <is>
          <t>داريدورکسانت   قرص خوراکي 50 mg - زيست اروند فارمد</t>
        </is>
      </c>
      <c r="E1663" t="inlineStr">
        <is>
          <t>تی‌تک و آریا</t>
        </is>
      </c>
    </row>
    <row r="1664">
      <c r="A1664" t="n">
        <v>1663</v>
      </c>
      <c r="B1664" t="n">
        <v>53758</v>
      </c>
      <c r="C1664" t="inlineStr">
        <is>
          <t>AZITHROMYCIN POWDER, FOR SUSPENSION ORAL 200 mg/5mL 20 mL</t>
        </is>
      </c>
      <c r="D1664" t="inlineStr">
        <is>
          <t>آزيترومايسين اس زد   پودر براي تهيه سوسپانسيون   خوراکي 200 mg/5mL 20 mg - بهستان دارو</t>
        </is>
      </c>
      <c r="E1664" t="inlineStr">
        <is>
          <t>تی‌تک و آریا</t>
        </is>
      </c>
    </row>
    <row r="1665">
      <c r="A1665" t="n">
        <v>1664</v>
      </c>
      <c r="B1665" t="n">
        <v>53764</v>
      </c>
      <c r="C1665" t="inlineStr">
        <is>
          <t>SEMAGLUTIDE INJECTION, SOLUTION PARENTERAL 7.2 mg/0.75mL</t>
        </is>
      </c>
      <c r="D1665" t="inlineStr">
        <is>
          <t>ويگووي   محلول تزريقي پرنترال 7.2 mg/0.75mL  mL - نوو نور ديسک پارس</t>
        </is>
      </c>
      <c r="E1665" t="inlineStr">
        <is>
          <t>تی‌تک و آریا</t>
        </is>
      </c>
    </row>
    <row r="1666">
      <c r="A1666" t="n">
        <v>1665</v>
      </c>
      <c r="B1666" t="n">
        <v>53770</v>
      </c>
      <c r="C1666" t="inlineStr">
        <is>
          <t>DEXMEDETOMIDINE (AS HYDROCHLORIDE) INJECTION, SOLUTION, CONCENTRATE PARENTERAL 100 ug/1mL 4 mL</t>
        </is>
      </c>
      <c r="D1666" t="inlineStr">
        <is>
          <t>دکسمدتوميدين اورفارما   محلول غليظ تزريقي پرنترال 100 ug/1mL 4 ug - کوبل دارو</t>
        </is>
      </c>
      <c r="E1666" t="inlineStr">
        <is>
          <t>تی‌تک و آریا</t>
        </is>
      </c>
    </row>
    <row r="1667">
      <c r="A1667" t="n">
        <v>1666</v>
      </c>
      <c r="B1667" t="n">
        <v>53772</v>
      </c>
      <c r="C1667" t="inlineStr">
        <is>
          <t>DEXMEDETOMIDINE (AS HYDROCHLORIDE) INJECTION, SOLUTION, CONCENTRATE PARENTERAL 100 ug/1mL 10 mL</t>
        </is>
      </c>
      <c r="D1667" t="inlineStr">
        <is>
          <t>دکسمدتوميدين اورفارما   محلول غليظ تزريقي پرنترال 100 ug/1mL 10 ug - کوبل دارو</t>
        </is>
      </c>
      <c r="E1667" t="inlineStr">
        <is>
          <t>تی‌تک و آریا</t>
        </is>
      </c>
    </row>
    <row r="1668">
      <c r="A1668" t="n">
        <v>1667</v>
      </c>
      <c r="B1668" t="n">
        <v>53773</v>
      </c>
      <c r="C1668" t="inlineStr">
        <is>
          <t>SELUMETINIB (AS HYDROGEN SULFATE) CAPSULE ORAL 10 mg</t>
        </is>
      </c>
      <c r="D1668" t="inlineStr">
        <is>
          <t>ُکسل يوگو   کپسول خوراکي 10 mg - مرز گستران فناوري آينده</t>
        </is>
      </c>
      <c r="E1668" t="inlineStr">
        <is>
          <t>تی‌تک و آریا</t>
        </is>
      </c>
    </row>
    <row r="1669">
      <c r="A1669" t="n">
        <v>1668</v>
      </c>
      <c r="B1669" t="n">
        <v>53774</v>
      </c>
      <c r="C1669" t="inlineStr">
        <is>
          <t>MARGETUXIMAB INJECTION INTRAVENOUS 25 mg/1mL 10 mL</t>
        </is>
      </c>
      <c r="D1669" t="inlineStr">
        <is>
          <t>مارگنزا   تزريقي داخل وريدي 25 mg/1mL 10 mg - مرز گستران فناوري آينده</t>
        </is>
      </c>
      <c r="E1669" t="inlineStr">
        <is>
          <t>تی‌تک و آریا</t>
        </is>
      </c>
    </row>
    <row r="1670">
      <c r="A1670" t="n">
        <v>1669</v>
      </c>
      <c r="B1670" t="n">
        <v>53777</v>
      </c>
      <c r="C1670" t="inlineStr">
        <is>
          <t>MESNA INJECTION PARENTERAL 100 mg/1mL 2 mL</t>
        </is>
      </c>
      <c r="E1670" t="inlineStr">
        <is>
          <t>فقط تی‌تک</t>
        </is>
      </c>
    </row>
    <row r="1671">
      <c r="A1671" t="n">
        <v>1670</v>
      </c>
      <c r="B1671" t="n">
        <v>53778</v>
      </c>
      <c r="C1671" t="inlineStr">
        <is>
          <t>MOGAMULIZUMAB INJECTION, SOLUTION, CONCENTRATE PARENTERAL 4 mg/1mL 5 mL</t>
        </is>
      </c>
      <c r="D1671" t="inlineStr">
        <is>
          <t>پوتليجيو   محلول غليظ تزريقي پرنترال 4 mg/1mL 5 mg - جوان آذر دارو</t>
        </is>
      </c>
      <c r="E1671" t="inlineStr">
        <is>
          <t>تی‌تک و آریا</t>
        </is>
      </c>
    </row>
    <row r="1672">
      <c r="A1672" t="n">
        <v>1671</v>
      </c>
      <c r="B1672" t="n">
        <v>53779</v>
      </c>
      <c r="C1672" t="inlineStr">
        <is>
          <t>MENINGOCOCCAL GROUP B VACCINE (RECOMBINANT, ADSORBED) MONOVALENT INJECTION, SUSPENSION PARENTERAL 120 ug/0.5 mL 1 {dose}</t>
        </is>
      </c>
      <c r="D1672" t="inlineStr">
        <is>
          <t>ترومنبا   سوسپانسيون تزريقي پرنترال 120 ug/0.5 mL 1 ug - بهستان دارو</t>
        </is>
      </c>
      <c r="E1672" t="inlineStr">
        <is>
          <t>تی‌تک و آریا</t>
        </is>
      </c>
    </row>
    <row r="1673">
      <c r="A1673" t="n">
        <v>1672</v>
      </c>
      <c r="B1673" t="n">
        <v>53786</v>
      </c>
      <c r="C1673" t="inlineStr">
        <is>
          <t>IMLUNESTRANT TABLET ORAL 200 mg</t>
        </is>
      </c>
      <c r="E1673" t="inlineStr">
        <is>
          <t>فقط تی‌تک</t>
        </is>
      </c>
    </row>
    <row r="1674">
      <c r="A1674" t="n">
        <v>1673</v>
      </c>
      <c r="B1674" t="n">
        <v>53787</v>
      </c>
      <c r="C1674" t="inlineStr">
        <is>
          <t>ACETAMINOPHEN SUSPENSION ORAL 160 mg/5mL 120 mL</t>
        </is>
      </c>
      <c r="D1674" t="inlineStr">
        <is>
          <t>پاناروژ   سوسپانسيون خوراکي 160 mg/5mL 120 mL - داروسازي روژين</t>
        </is>
      </c>
      <c r="E1674" t="inlineStr">
        <is>
          <t>تی‌تک و آریا</t>
        </is>
      </c>
    </row>
    <row r="1675">
      <c r="A1675" t="n">
        <v>1674</v>
      </c>
      <c r="B1675" t="n">
        <v>60080</v>
      </c>
      <c r="D1675" t="inlineStr">
        <is>
          <t>گليسيرين فنيکه 10 م ل قطره گوش - کيمياگرطوس</t>
        </is>
      </c>
      <c r="E1675" t="inlineStr">
        <is>
          <t>فقط آریا</t>
        </is>
      </c>
    </row>
    <row r="1676">
      <c r="A1676" t="n">
        <v>1675</v>
      </c>
      <c r="B1676" t="n">
        <v>66661</v>
      </c>
      <c r="D1676" t="inlineStr">
        <is>
          <t>دورنيکا ست سرم_طب و جراح</t>
        </is>
      </c>
      <c r="E1676" t="inlineStr">
        <is>
          <t>فقط آریا</t>
        </is>
      </c>
    </row>
    <row r="1677">
      <c r="A1677" t="n">
        <v>1676</v>
      </c>
      <c r="B1677" t="n">
        <v>66669</v>
      </c>
      <c r="D1677" t="inlineStr">
        <is>
          <t>چي بزنم</t>
        </is>
      </c>
      <c r="E1677" t="inlineStr">
        <is>
          <t>فقط آریا</t>
        </is>
      </c>
    </row>
    <row r="1678">
      <c r="A1678" t="n">
        <v>1677</v>
      </c>
      <c r="B1678" t="n">
        <v>92207</v>
      </c>
      <c r="D1678" t="inlineStr">
        <is>
          <t>سنالين 7/5 م گ قرص - گل دارو</t>
        </is>
      </c>
      <c r="E1678" t="inlineStr">
        <is>
          <t>فقط آریا</t>
        </is>
      </c>
    </row>
    <row r="1679">
      <c r="A1679" t="n">
        <v>1678</v>
      </c>
      <c r="B1679" t="n">
        <v>98196</v>
      </c>
      <c r="D1679" t="inlineStr">
        <is>
          <t>آباساگلار 100(انسولين گلارژين)قلم آماده تزريق - LILLY</t>
        </is>
      </c>
      <c r="E1679" t="inlineStr">
        <is>
          <t>فقط آریا</t>
        </is>
      </c>
    </row>
    <row r="1680">
      <c r="A1680" t="n">
        <v>1679</v>
      </c>
      <c r="B1680" t="n">
        <v>99870</v>
      </c>
      <c r="D1680" t="inlineStr">
        <is>
          <t>ونوسيف آنژوکت آبي 22</t>
        </is>
      </c>
      <c r="E1680" t="inlineStr">
        <is>
          <t>فقط آریا</t>
        </is>
      </c>
    </row>
    <row r="1681">
      <c r="A1681" t="n">
        <v>1680</v>
      </c>
      <c r="B1681" t="n">
        <v>99880</v>
      </c>
      <c r="D1681" t="inlineStr">
        <is>
          <t>ارکتو (سيلدنافيل) 100 م گ قرص - سيپلا</t>
        </is>
      </c>
      <c r="E1681" t="inlineStr">
        <is>
          <t>فقط آریا</t>
        </is>
      </c>
    </row>
    <row r="1682">
      <c r="A1682" t="n">
        <v>1681</v>
      </c>
      <c r="B1682" t="n">
        <v>99882</v>
      </c>
      <c r="D1682" t="inlineStr">
        <is>
          <t>آلتادين قرص -  دينه</t>
        </is>
      </c>
      <c r="E1682" t="inlineStr">
        <is>
          <t>فقط آریا</t>
        </is>
      </c>
    </row>
    <row r="1683">
      <c r="A1683" t="n">
        <v>1682</v>
      </c>
      <c r="B1683" t="n">
        <v>99892</v>
      </c>
      <c r="D1683" t="inlineStr">
        <is>
          <t>آنتي فيشر 20 گرمي کرم مقعدي با 6 اپليکاتور - باريج اسانس</t>
        </is>
      </c>
      <c r="E1683" t="inlineStr">
        <is>
          <t>فقط آریا</t>
        </is>
      </c>
    </row>
    <row r="1684">
      <c r="A1684" t="n">
        <v>1683</v>
      </c>
      <c r="B1684" t="n">
        <v>99899</v>
      </c>
      <c r="D1684" t="inlineStr">
        <is>
          <t>ليورگل 140 م گ قرص - گل دارو</t>
        </is>
      </c>
      <c r="E1684" t="inlineStr">
        <is>
          <t>فقط آریا</t>
        </is>
      </c>
    </row>
    <row r="1685">
      <c r="A1685" t="n">
        <v>1684</v>
      </c>
      <c r="B1685" t="n">
        <v>99946</v>
      </c>
      <c r="D1685" t="inlineStr">
        <is>
          <t>وي مد سرنگ 20CC</t>
        </is>
      </c>
      <c r="E1685" t="inlineStr">
        <is>
          <t>فقط آریا</t>
        </is>
      </c>
    </row>
    <row r="1686">
      <c r="A1686" t="n">
        <v>1685</v>
      </c>
      <c r="B1686" t="n">
        <v>99947</v>
      </c>
      <c r="D1686" t="inlineStr">
        <is>
          <t xml:space="preserve">پارس سرنگ 10 سي سي </t>
        </is>
      </c>
      <c r="E1686" t="inlineStr">
        <is>
          <t>فقط آریا</t>
        </is>
      </c>
    </row>
    <row r="1687">
      <c r="A1687" t="n">
        <v>1686</v>
      </c>
      <c r="B1687" t="n">
        <v>99966</v>
      </c>
      <c r="D1687" t="inlineStr">
        <is>
          <t>گليسيرين فنيکه 6.4 گرم 10 ميلي ليتر قطره گوشي  - کيمياداروسپهر</t>
        </is>
      </c>
      <c r="E1687" t="inlineStr">
        <is>
          <t>فقط آریا</t>
        </is>
      </c>
    </row>
    <row r="1688">
      <c r="A1688" t="n">
        <v>1687</v>
      </c>
      <c r="B1688" t="n">
        <v>99984</v>
      </c>
      <c r="D1688" t="inlineStr">
        <is>
          <t>الکل بوريکه قطره گوش 10ML- کيميا پک</t>
        </is>
      </c>
      <c r="E1688" t="inlineStr">
        <is>
          <t>فقط آریا</t>
        </is>
      </c>
    </row>
    <row r="1689">
      <c r="A1689" t="n">
        <v>1688</v>
      </c>
      <c r="B1689" t="n">
        <v>99989</v>
      </c>
      <c r="D1689" t="inlineStr">
        <is>
          <t>سوپرمينت کپسول نرم - باريج اسانس</t>
        </is>
      </c>
      <c r="E1689" t="inlineStr">
        <is>
          <t>فقط آریا</t>
        </is>
      </c>
    </row>
    <row r="1690">
      <c r="A1690" t="n">
        <v>1689</v>
      </c>
      <c r="B1690" t="n">
        <v>370011</v>
      </c>
      <c r="D1690" t="inlineStr">
        <is>
          <t>ليورکر قرص - هلث ايد</t>
        </is>
      </c>
      <c r="E1690" t="inlineStr">
        <is>
          <t>فقط آریا</t>
        </is>
      </c>
    </row>
    <row r="1691">
      <c r="A1691" t="n">
        <v>1690</v>
      </c>
      <c r="B1691" t="n">
        <v>500986</v>
      </c>
      <c r="D1691" t="inlineStr">
        <is>
          <t>کپسول نرم کلسيم سوپريم باريويتال باريج اسانس 30 عددي</t>
        </is>
      </c>
      <c r="E1691" t="inlineStr">
        <is>
          <t>فقط آریا</t>
        </is>
      </c>
    </row>
    <row r="1692">
      <c r="A1692" t="n">
        <v>1691</v>
      </c>
      <c r="B1692" t="n">
        <v>630299</v>
      </c>
      <c r="D1692" t="inlineStr">
        <is>
          <t xml:space="preserve">قرص آنژيپول 23.75  م گ ER (متوپرولول سوکسينات) رها </t>
        </is>
      </c>
      <c r="E1692" t="inlineStr">
        <is>
          <t>فقط آریا</t>
        </is>
      </c>
    </row>
    <row r="1693">
      <c r="A1693" t="n">
        <v>1692</v>
      </c>
      <c r="B1693" t="n">
        <v>970095</v>
      </c>
      <c r="D1693" t="inlineStr">
        <is>
          <t>تائيد نسخه کاغذي</t>
        </is>
      </c>
      <c r="E1693" t="inlineStr">
        <is>
          <t>فقط آریا</t>
        </is>
      </c>
    </row>
    <row r="1694">
      <c r="A1694" t="n">
        <v>1693</v>
      </c>
      <c r="B1694" t="n">
        <v>1007172</v>
      </c>
      <c r="D1694" t="inlineStr">
        <is>
          <t>کالمرز پلاس کا2 30 عدد قرص سيمر غ داروي عطار</t>
        </is>
      </c>
      <c r="E1694" t="inlineStr">
        <is>
          <t>فقط آریا</t>
        </is>
      </c>
    </row>
    <row r="1695">
      <c r="A1695" t="n">
        <v>1694</v>
      </c>
      <c r="B1695" t="n">
        <v>2564646</v>
      </c>
      <c r="D1695" t="inlineStr">
        <is>
          <t>رژ لب مايع اکليلي ماي310</t>
        </is>
      </c>
      <c r="E1695" t="inlineStr">
        <is>
          <t>فقط آریا</t>
        </is>
      </c>
    </row>
    <row r="1696">
      <c r="A1696" t="n">
        <v>1695</v>
      </c>
      <c r="B1696" t="n">
        <v>4998000</v>
      </c>
      <c r="D1696" t="inlineStr">
        <is>
          <t>سي بي پاريس کرم ضد جوش</t>
        </is>
      </c>
      <c r="E1696" t="inlineStr">
        <is>
          <t>فقط آریا</t>
        </is>
      </c>
    </row>
    <row r="1697">
      <c r="A1697" t="n">
        <v>1696</v>
      </c>
      <c r="B1697" t="n">
        <v>6260000</v>
      </c>
      <c r="D1697" t="inlineStr">
        <is>
          <t>سرم مناسب پوست هاي جوشدار رويوال</t>
        </is>
      </c>
      <c r="E1697" t="inlineStr">
        <is>
          <t>فقط آریا</t>
        </is>
      </c>
    </row>
    <row r="1698">
      <c r="A1698" t="n">
        <v>1697</v>
      </c>
      <c r="B1698" t="n">
        <v>6764634</v>
      </c>
      <c r="D1698" t="inlineStr">
        <is>
          <t>ادليو ژل شستشو پوست خشک</t>
        </is>
      </c>
      <c r="E1698" t="inlineStr">
        <is>
          <t>فقط آریا</t>
        </is>
      </c>
    </row>
    <row r="1699">
      <c r="A1699" t="n">
        <v>1698</v>
      </c>
      <c r="B1699" t="n">
        <v>62602127</v>
      </c>
      <c r="D1699" t="inlineStr">
        <is>
          <t xml:space="preserve">فيروز پوآر بيني </t>
        </is>
      </c>
      <c r="E1699" t="inlineStr">
        <is>
          <t>فقط آریا</t>
        </is>
      </c>
    </row>
    <row r="1700">
      <c r="A1700" t="n">
        <v>1699</v>
      </c>
      <c r="B1700" t="n">
        <v>62627073</v>
      </c>
      <c r="D1700" t="inlineStr">
        <is>
          <t>اسپري ژک ساف داوينچي 150ML</t>
        </is>
      </c>
      <c r="E1700" t="inlineStr">
        <is>
          <t>فقط آریا</t>
        </is>
      </c>
    </row>
    <row r="1701">
      <c r="A1701" t="n">
        <v>1700</v>
      </c>
      <c r="B1701" t="n">
        <v>62627209</v>
      </c>
      <c r="D1701" t="inlineStr">
        <is>
          <t xml:space="preserve">فيس دوکس کرم ترميم کننده </t>
        </is>
      </c>
      <c r="E1701" t="inlineStr">
        <is>
          <t>فقط آریا</t>
        </is>
      </c>
    </row>
    <row r="1702">
      <c r="A1702" t="n">
        <v>1701</v>
      </c>
      <c r="B1702" t="n">
        <v>62627923</v>
      </c>
      <c r="D1702" t="inlineStr">
        <is>
          <t>پستانک نوک گرد کيوتي 6تا12</t>
        </is>
      </c>
      <c r="E1702" t="inlineStr">
        <is>
          <t>فقط آریا</t>
        </is>
      </c>
    </row>
    <row r="1703">
      <c r="A1703" t="n">
        <v>1702</v>
      </c>
      <c r="B1703" t="n">
        <v>62679274</v>
      </c>
      <c r="D1703" t="inlineStr">
        <is>
          <t xml:space="preserve">پرسيکا مسواک مديوم </t>
        </is>
      </c>
      <c r="E1703" t="inlineStr">
        <is>
          <t>فقط آریا</t>
        </is>
      </c>
    </row>
    <row r="1704">
      <c r="A1704" t="n">
        <v>1703</v>
      </c>
      <c r="B1704" t="n">
        <v>62687021</v>
      </c>
      <c r="D1704" t="inlineStr">
        <is>
          <t xml:space="preserve">نوپريت تونيک موي سر </t>
        </is>
      </c>
      <c r="E1704" t="inlineStr">
        <is>
          <t>فقط آریا</t>
        </is>
      </c>
    </row>
    <row r="1705">
      <c r="A1705" t="n">
        <v>1704</v>
      </c>
      <c r="B1705" t="n">
        <v>86902457</v>
      </c>
      <c r="D1705" t="inlineStr">
        <is>
          <t>ژل ليفت ابرو رنکل</t>
        </is>
      </c>
      <c r="E1705" t="inlineStr">
        <is>
          <t>فقط آریا</t>
        </is>
      </c>
    </row>
  </sheetData>
  <autoFilter ref="A1:F1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2026-09-22T07:00:21Z</dcterms:created>
  <dcterms:modified xsi:type="dcterms:W3CDTF">2026-09-22T08:56:06Z</dcterms:modified>
  <cp:revision>0</cp:revision>
</cp:coreProperties>
</file>